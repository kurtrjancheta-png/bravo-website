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" sheetId="1" r:id="rId5"/>
    <sheet state="visible" name="SUMMARY" sheetId="2" r:id="rId6"/>
    <sheet state="visible" name="ALFA" sheetId="3" r:id="rId7"/>
    <sheet state="visible" name="BRAVO" sheetId="4" r:id="rId8"/>
    <sheet state="visible" name="CHARLIE" sheetId="5" r:id="rId9"/>
    <sheet state="visible" name="DELTA" sheetId="6" r:id="rId10"/>
    <sheet state="visible" name="ECHO" sheetId="7" r:id="rId11"/>
    <sheet state="visible" name="FOXTROT" sheetId="8" r:id="rId12"/>
    <sheet state="visible" name="GOLF" sheetId="9" r:id="rId13"/>
    <sheet state="visible" name="HAWK" sheetId="10" r:id="rId14"/>
    <sheet state="visible" name="CONDUCT" sheetId="11" r:id="rId15"/>
  </sheets>
  <definedNames>
    <definedName localSheetId="8" name="CLASS">GOLF!$E:$E</definedName>
    <definedName localSheetId="5" name="CLASS">DELTA!$E:$E</definedName>
    <definedName localSheetId="8" name="NATURE">GOLF!$F:$F</definedName>
    <definedName localSheetId="8" name="CONFINEMENT">GOLF!$H:$H</definedName>
    <definedName localSheetId="6" name="NATURE">ECHO!$E:$E</definedName>
    <definedName localSheetId="3" name="NATURE">BRAVO!$F:$F</definedName>
    <definedName name="CONFINEMENT">ALFA!$H:$H</definedName>
    <definedName localSheetId="9" name="RANK">HAWK!$B:$B</definedName>
    <definedName localSheetId="4" name="RANK">CHARLIE!$B:$B</definedName>
    <definedName localSheetId="9" name="CONFINEMENT">HAWK!$H:$H</definedName>
    <definedName localSheetId="3" name="CLASS">BRAVO!$E:$E</definedName>
    <definedName localSheetId="4" name="CONFINEMENT">CHARLIE!$H:$H</definedName>
    <definedName localSheetId="6" name="CONFINEMENT">ECHO!$G:$G</definedName>
    <definedName name="NATURE">ALFA!$F:$F</definedName>
    <definedName localSheetId="5" name="NATURE">DELTA!$F:$F</definedName>
    <definedName localSheetId="3" name="REMARKS">BRAVO!$P:$P</definedName>
    <definedName localSheetId="5" name="REMARKS">DELTA!$P:$P</definedName>
    <definedName localSheetId="6" name="RANK">ECHO!$A:$A</definedName>
    <definedName localSheetId="7" name="NATURE">FOXTROT!$F:$F</definedName>
    <definedName localSheetId="5" name="CONFINEMENT">DELTA!$H:$H</definedName>
    <definedName localSheetId="4" name="REMARKS">CHARLIE!$P:$P</definedName>
    <definedName name="NamedRange1">BRAVO!$B:$B</definedName>
    <definedName localSheetId="7" name="REMARKS">FOXTROT!$P:$P</definedName>
    <definedName localSheetId="7" name="RANK">FOXTROT!$B:$B</definedName>
    <definedName localSheetId="4" name="CLASS">CHARLIE!$E:$E</definedName>
    <definedName localSheetId="6" name="REMARKS">ECHO!$O:$O</definedName>
    <definedName localSheetId="5" name="RANK">DELTA!$B:$B</definedName>
    <definedName localSheetId="4" name="NATURE">CHARLIE!$F:$F</definedName>
    <definedName localSheetId="6" name="CLASS">ECHO!$D:$D</definedName>
    <definedName localSheetId="9" name="REMARKS">HAWK!$P:$P</definedName>
    <definedName name="RANK">ALFA!$B:$B</definedName>
    <definedName localSheetId="7" name="CONFINEMENT">FOXTROT!$H:$H</definedName>
    <definedName localSheetId="7" name="CLASS">FOXTROT!$E:$E</definedName>
    <definedName localSheetId="3" name="CONFINEMENT">BRAVO!$H:$H</definedName>
    <definedName localSheetId="9" name="NATURE">HAWK!$F:$F</definedName>
    <definedName localSheetId="9" name="CLASS">HAWK!$E:$E</definedName>
    <definedName localSheetId="3" name="RANK">BRAVO!$B:$B</definedName>
    <definedName localSheetId="8" name="RANK">GOLF!$B:$B</definedName>
    <definedName localSheetId="8" name="REMARKS">GOLF!$P:$P</definedName>
    <definedName name="CLASS">ALFA!$E:$E</definedName>
    <definedName name="REMARKS">ALFA!$P:$P</definedName>
    <definedName hidden="1" localSheetId="2" name="_xlnm._FilterDatabase">ALFA!$A$1:$P$21</definedName>
    <definedName hidden="1" localSheetId="7" name="_xlnm._FilterDatabase">FOXTROT!$A$9:$P$168</definedName>
  </definedNames>
  <calcPr/>
</workbook>
</file>

<file path=xl/sharedStrings.xml><?xml version="1.0" encoding="utf-8"?>
<sst xmlns="http://schemas.openxmlformats.org/spreadsheetml/2006/main" count="10118" uniqueCount="1763">
  <si>
    <t xml:space="preserve">TOTAL NUMBER OF TOURING CADETS </t>
  </si>
  <si>
    <t xml:space="preserve">TOTAL NUMBER OF CONFINED CADETS </t>
  </si>
  <si>
    <t xml:space="preserve">TOTAL NUMBER OF TOURING/CONFINED CADETS </t>
  </si>
  <si>
    <t>.</t>
  </si>
  <si>
    <t>ALFA</t>
  </si>
  <si>
    <t>BRAVO</t>
  </si>
  <si>
    <t>CHARLIE</t>
  </si>
  <si>
    <t>DELTA</t>
  </si>
  <si>
    <t>ECHO</t>
  </si>
  <si>
    <t>FOXTROT</t>
  </si>
  <si>
    <t>GOLF</t>
  </si>
  <si>
    <t>HAWK</t>
  </si>
  <si>
    <t>CONDUCT</t>
  </si>
  <si>
    <t>SUMMARY</t>
  </si>
  <si>
    <t>NATURE OF REPORT</t>
  </si>
  <si>
    <t>1CL</t>
  </si>
  <si>
    <t>2CL</t>
  </si>
  <si>
    <t>3CL</t>
  </si>
  <si>
    <t>4CL</t>
  </si>
  <si>
    <t>UNNACCOUNTED/ABSENT</t>
  </si>
  <si>
    <t>LATE</t>
  </si>
  <si>
    <t>NEGLIGENCE OF DUTY</t>
  </si>
  <si>
    <t>POSSESSING/USING UNAUTHORIZED ITEM</t>
  </si>
  <si>
    <t>DOING UNAUTHORIZED THINGS</t>
  </si>
  <si>
    <t>SEXUAL MISCONDUCT/HARASSMENT</t>
  </si>
  <si>
    <t>MALTREATMENT/NTP/CTP</t>
  </si>
  <si>
    <t>HONOR</t>
  </si>
  <si>
    <t xml:space="preserve"> </t>
  </si>
  <si>
    <t>CLEANLINESS OF ROOM</t>
  </si>
  <si>
    <t>UNIFORM</t>
  </si>
  <si>
    <t>TOTAL</t>
  </si>
  <si>
    <t>PER CLASS OF OFFENSES</t>
  </si>
  <si>
    <t>CLASS OF OFFENSE</t>
  </si>
  <si>
    <t>I</t>
  </si>
  <si>
    <t>II</t>
  </si>
  <si>
    <t>III</t>
  </si>
  <si>
    <t>CONFINED CADETS</t>
  </si>
  <si>
    <t>TOURING/CONFINED</t>
  </si>
  <si>
    <t>TOURING</t>
  </si>
  <si>
    <t xml:space="preserve">CONFINED </t>
  </si>
  <si>
    <t>A</t>
  </si>
  <si>
    <t>B</t>
  </si>
  <si>
    <t>C</t>
  </si>
  <si>
    <t>D</t>
  </si>
  <si>
    <t>E</t>
  </si>
  <si>
    <t>F</t>
  </si>
  <si>
    <t>G</t>
  </si>
  <si>
    <t>H</t>
  </si>
  <si>
    <t>TOURING PER CLASS</t>
  </si>
  <si>
    <t>total</t>
  </si>
  <si>
    <t xml:space="preserve">ALFA COMPANY PUNISHMENT MONITORING LIST </t>
  </si>
  <si>
    <t>F/SGT: CDT 2CL TORRES LCM</t>
  </si>
  <si>
    <t xml:space="preserve">UPDATED AS OF : </t>
  </si>
  <si>
    <t xml:space="preserve">NOTED BY: CDT SGT MAJ 2CL JOSHUA J MASCULINO 'G' Co CCAFP </t>
  </si>
  <si>
    <t>ACTIVE PUNISHMENTS</t>
  </si>
  <si>
    <t>NO</t>
  </si>
  <si>
    <t>RANK</t>
  </si>
  <si>
    <t>LAST NAME</t>
  </si>
  <si>
    <t>OFFENSE</t>
  </si>
  <si>
    <t xml:space="preserve">CLASS </t>
  </si>
  <si>
    <t>NATURE OF OFFENSE</t>
  </si>
  <si>
    <t xml:space="preserve">DEMERITS </t>
  </si>
  <si>
    <t>CONFINEMENT</t>
  </si>
  <si>
    <t xml:space="preserve">TOURING HOURS </t>
  </si>
  <si>
    <t>REFERENCE</t>
  </si>
  <si>
    <t xml:space="preserve">REMARKS </t>
  </si>
  <si>
    <t>CONFINED?</t>
  </si>
  <si>
    <t>START</t>
  </si>
  <si>
    <t>END</t>
  </si>
  <si>
    <t>CONVERTED</t>
  </si>
  <si>
    <t>SERVED</t>
  </si>
  <si>
    <t>REMAINING</t>
  </si>
  <si>
    <t>UPDATED AS OF :</t>
  </si>
  <si>
    <t>ATIWEN</t>
  </si>
  <si>
    <t>USING UNAUTHORIZED SMARTPHONE  AFTER TAPS OA 04 2230 SEPTEMBER 2025</t>
  </si>
  <si>
    <t>POSSESSING UNAUTHORIZED ITEM</t>
  </si>
  <si>
    <t>Yes</t>
  </si>
  <si>
    <t>S.O. NR 104 dtd 03 Septe</t>
  </si>
  <si>
    <t>ONGOING/CONFINED</t>
  </si>
  <si>
    <t>UNAUTHORIZED PRESENCE INSIDE BARRACKS DURING AOC'S INSPECTION OA 25 1500 SEPTEMBER 2025</t>
  </si>
  <si>
    <t>UNAUTHORIZED PRESENCE/OFF LIMITS</t>
  </si>
  <si>
    <t>BLANCO</t>
  </si>
  <si>
    <t>POSSESSING SMARTPHONE OA 28 0820 SEPTEMBER 2025</t>
  </si>
  <si>
    <t>S.O. NR 131 dtd 13 October 2025</t>
  </si>
  <si>
    <t>CONFINED</t>
  </si>
  <si>
    <t>MALANOT</t>
  </si>
  <si>
    <t>POSSESSING SMARTPHONE OA 19 0800 OCTOBER 2025</t>
  </si>
  <si>
    <t>SO 153</t>
  </si>
  <si>
    <t>POSSESSING VAPE OA 04 1500 NOVEMBER 2025</t>
  </si>
  <si>
    <t>SO 162</t>
  </si>
  <si>
    <t>TUMARAO</t>
  </si>
  <si>
    <t>ACCESSING TIKTOK AFTER TAPS 0A 22 2300 JANUARY 2026</t>
  </si>
  <si>
    <t>No</t>
  </si>
  <si>
    <t>SO NR 34</t>
  </si>
  <si>
    <t>LADIONG</t>
  </si>
  <si>
    <t>VIDEO CALLING AFTER TAPS OA  22 2300 JANUARY 2026</t>
  </si>
  <si>
    <t xml:space="preserve">DE MESA </t>
  </si>
  <si>
    <t xml:space="preserve"> THAT IS TAKING ANOTHER CADETS' LAPTOP AND VIEWING ITS CONTENT AND SPREADING FALSE INFORMATION O/A 03 1100H NOVEMBER 2025.</t>
  </si>
  <si>
    <t>VIOLATING OTHER PEOPLE'S PRIVACY</t>
  </si>
  <si>
    <t>S.O. Nr. 09 dts 23 JANUARY 2026</t>
  </si>
  <si>
    <t>ONGOING</t>
  </si>
  <si>
    <t>CARAG</t>
  </si>
  <si>
    <t>CAUGHT SMOKING A CIGARETTE AT THE REGIS HALL BASEMENT 0A 06 0645 DECEMBER 2025 DURING THE NCOD RANDOM INSPECTION</t>
  </si>
  <si>
    <t>SO 02</t>
  </si>
  <si>
    <t>DOMALLIG</t>
  </si>
  <si>
    <t>UNAUTHORIZED ELECTRONIC THAT IS POSSESSING SMARTPHONE OA 0623 MARCH 2026</t>
  </si>
  <si>
    <t>IDULSA</t>
  </si>
  <si>
    <t>UNACCOUNTED DURING SILENT DRILL A/A 09 0800H MAY 2026</t>
  </si>
  <si>
    <t>UNACCOUNTED</t>
  </si>
  <si>
    <t>AVISADO</t>
  </si>
  <si>
    <t>SLEEPING WITH ANOTHER CADET O/A 06 1150H 2026</t>
  </si>
  <si>
    <t>DOING UNATHORIZED THINGS</t>
  </si>
  <si>
    <t>SENSANO</t>
  </si>
  <si>
    <t>SLEEPING WITH ANOTHER CADET WHILE ACCESSING UNAUTHORIZED  WEBSITE O/A 06 1150H 2026</t>
  </si>
  <si>
    <t>DOING UNATHORIZED THINS</t>
  </si>
  <si>
    <t>NAMBONG</t>
  </si>
  <si>
    <t>AS A RESPONSIBLE 2ND RELIEF SENTINEL, LATE FROM POSTING O/A 25 0020H APRIL 2026</t>
  </si>
  <si>
    <t>CARTAGENAS</t>
  </si>
  <si>
    <t>ACCESSING FACEBOOK O/A 15 0030H MAY 2026</t>
  </si>
  <si>
    <t>S0 69</t>
  </si>
  <si>
    <t>FOCASAN</t>
  </si>
  <si>
    <t>LAPTOPING AFTER COMPLETENESS INSPECTION O/A 19 0010 MAY 2026</t>
  </si>
  <si>
    <t>SO 69</t>
  </si>
  <si>
    <t>LACADEN</t>
  </si>
  <si>
    <t>POSSESSING SMARTPHONE O/A 15 0030 MAY 2026</t>
  </si>
  <si>
    <t>MALOMAY</t>
  </si>
  <si>
    <t>DOING UNATHORIZED THINGS AFTER TAPS THAT IS WATCHING SERIES (LIONESS) O/A 20 23200 MAY 2026</t>
  </si>
  <si>
    <t>PAMONAG</t>
  </si>
  <si>
    <t>POSSESSING POCKET WIFI O/A 15 1115H MAY 2026</t>
  </si>
  <si>
    <t>POSSESSING UNAUTHORIZED ITEMS</t>
  </si>
  <si>
    <t>HAVING UNATHORIZED POCKET WIFI O/A 19 0005 MAY 2026</t>
  </si>
  <si>
    <t>POSSESING UNAUTHORIZED ITEMS</t>
  </si>
  <si>
    <t xml:space="preserve">BRAVO COMPANY PUNISHMENT MONITORING LIST </t>
  </si>
  <si>
    <t>F/SGT: CDT 2CL ADAY KAC</t>
  </si>
  <si>
    <t>NOTED BY: CDT SGT MAJ 2CL FIONA LISA C DEMARAYE 'H' Co CCAFP</t>
  </si>
  <si>
    <t>2LT</t>
  </si>
  <si>
    <t>BUCO</t>
  </si>
  <si>
    <t>FORCING A POSTED ACCQ TO WATCH PORNOGRAPHIC VIDEO O/A 10 1315H NOVEMBER 2025</t>
  </si>
  <si>
    <t>S.R. Nr 32 dtd 20 FEBRUARY 2026</t>
  </si>
  <si>
    <t>UNDANG</t>
  </si>
  <si>
    <t>NOT POSTING AS 2ND RELIEF SENTINEL AT 4TH FLOOR REGIS HALL OA 13 2325 FEBUARY 2026</t>
  </si>
  <si>
    <t>S.O. NR 56 dtd 16 APRIL 2026</t>
  </si>
  <si>
    <t>DULAY</t>
  </si>
  <si>
    <t>UNACCOUNTED DURING COMMAND FLAG RAISING OA 02 0710 MARCH 2026</t>
  </si>
  <si>
    <t xml:space="preserve">SERVED PUNISHMENTS </t>
  </si>
  <si>
    <t>RAMBAGIZED ROOM DURING POLICE CALL INSPECTION O/A 27 1730H JANUARY 2026</t>
  </si>
  <si>
    <t>S.R. Nr 44 dtd 23 MARCH 2026</t>
  </si>
  <si>
    <t>AQUINO</t>
  </si>
  <si>
    <t>ACCESSING TIKTOK DURING UNAUTHORIZED PERIOD 09 1540H FEBRUARY 2026</t>
  </si>
  <si>
    <t>BERNARDO</t>
  </si>
  <si>
    <t>POSSESSING UNAUTHORIZED ITEM (VAPE) O/A 27 0720H FEBRUARY 2026</t>
  </si>
  <si>
    <t>S.R. Nr 49 dtd 30 MARCH 2026</t>
  </si>
  <si>
    <t>ANTOLIN</t>
  </si>
  <si>
    <t>PURSUANT TO SECTION XIX, PARAGRAPH 1.A OF THE CCAFPR SERIES 2024</t>
  </si>
  <si>
    <t>S.R. Nr 320 dtd 24 NOVEMBER 2025</t>
  </si>
  <si>
    <t>BANAN</t>
  </si>
  <si>
    <t>VIOLATION OF PARAGRAPH 5 AND PARAGRAPH 6, SECTION XXVII OF THE CCAFPR SERIES 2024</t>
  </si>
  <si>
    <t>VIOLATION OF CCAFPR</t>
  </si>
  <si>
    <t>S.O. NR 269 dtd 26 SEPTEMBER 2025</t>
  </si>
  <si>
    <t>BEDANA</t>
  </si>
  <si>
    <t>ABSENT FROM DUTY THAT IS NOT ATTENDING 2CL SWORD PICTORIAL DESPITE NUMEROUS ANNOUNCEMENTS TO DO SO FROM THE GUARDROOM O/A 11 1000 JANUARY 2026</t>
  </si>
  <si>
    <t>S.O. Nr. 18 dtd 23 JANUARY 2025</t>
  </si>
  <si>
    <t>MARTINEZ</t>
  </si>
  <si>
    <t>21HRS LATE FROM TERMINATION OF EMERGENCY LEAVE OA 07 0430 OCTOBER 2025</t>
  </si>
  <si>
    <t>S.O. NR 145 dtd 23 OCTOBER 2025</t>
  </si>
  <si>
    <t>OLASO</t>
  </si>
  <si>
    <t>SARMIENTO</t>
  </si>
  <si>
    <t xml:space="preserve">SARMIENTO </t>
  </si>
  <si>
    <t>UNAUTHORIZED LENDING OF HIS PERSONAL COMPUTER TO HIS 4CL SQUADMATE AT HC WHICH RESULTED IN MISUSE, AS THE LATTER WAS PLAYING AN OFFLINE GAME DURING AOCS INSPECTION O/A 09 1540H FEBRUARY 2026</t>
  </si>
  <si>
    <t>ARAOJO</t>
  </si>
  <si>
    <t>TALKING TO THE GUARD IN THE HALLWAY WHILE BEING INDECENT OA 18 0830 FEBUARY 2026</t>
  </si>
  <si>
    <t>S.O. Nr 53 dtd 4 APRIL 2026</t>
  </si>
  <si>
    <t>ATTEMPTING TO BUY AT MHAAN'S DURING FELXIBLE EVEING MESS OA 28 1230 FEBUARY 2026</t>
  </si>
  <si>
    <t>GARCIA</t>
  </si>
  <si>
    <t>RAMBAGIZED ROOM OA 01 0740 MARCH 2026</t>
  </si>
  <si>
    <t>IRAL</t>
  </si>
  <si>
    <t>AS A 5TH RELIEF SENTINEL, LATE FROM POSTING AT THE HOLDING CENTER OA 13 0210 FEBRUARY 2026</t>
  </si>
  <si>
    <t>BALAGUER</t>
  </si>
  <si>
    <t>ACCESSING FACEBOOK AFTER TAPS O/A 22 2300H JANUARY 2026</t>
  </si>
  <si>
    <t>S.R. Nr 34 dtd 26 FEBRUARY 2026</t>
  </si>
  <si>
    <t>AS A RESPONSIBLE CCQ NOT ATTENDING THE FLAG RAISING O/A 02 0500 JANUARY 2026</t>
  </si>
  <si>
    <t>S.O. Nr. 16 dtd 23 JANUARY 2025</t>
  </si>
  <si>
    <t>FACEBOOKING AFTER TAPS O/A 14 2310 JANUARY 2026</t>
  </si>
  <si>
    <t>DIAZ</t>
  </si>
  <si>
    <t>OFF LIMITS THAT IS SLEEPING IN ANOTHER CADET'S ROOM AFTER TAPS O/A 12 2345H FEBRUARY 2026</t>
  </si>
  <si>
    <t>ASUNCION MH</t>
  </si>
  <si>
    <t>FIVE MINS LATE FROM STUDY PERIOD OA 20 1305 MARCH 2026</t>
  </si>
  <si>
    <t>GABUYA</t>
  </si>
  <si>
    <t>ACADEMIC NEGLIGENCE THAT IS NOT ANSWERING GPS NR 23 MAT133 DTD 10 MARCH 2026</t>
  </si>
  <si>
    <t>PATULOT</t>
  </si>
  <si>
    <t>S.O. Nr 53 dtd 4 APRIL 2028</t>
  </si>
  <si>
    <t>RAMASTA</t>
  </si>
  <si>
    <t>S.O. Nr 53 dtd 4 APRIL 2029</t>
  </si>
  <si>
    <t>ACADEMIC NEGLIGENCE THAT IS NOT ANSWERING GPS NR 16  MAT133 DTD 02 FEBRUARY 2026</t>
  </si>
  <si>
    <t>S.O. Nr 53 dtd 4 APRIL 2030</t>
  </si>
  <si>
    <t>GOING OFF LIMITS THAT IS GOING TO 1ST FLOOR ENRILE HALL OA 12 1010 MARCH 2026</t>
  </si>
  <si>
    <t>S.O. Nr 53 dtd 4 APRIL 2031</t>
  </si>
  <si>
    <t>MANUEL</t>
  </si>
  <si>
    <t>RAMBAGIZED FOOT LOCKER DURING OC'S INSPECTION OA 19 2000 MARCH 2026</t>
  </si>
  <si>
    <t>S.O. Nr 53 dtd 4 APRIL 2033</t>
  </si>
  <si>
    <t>VILLARIAZA</t>
  </si>
  <si>
    <t>S.O. Nr 53 dtd 4 APRIL 2035</t>
  </si>
  <si>
    <t>SANCHEZ</t>
  </si>
  <si>
    <t>S.O. Nr 53 dtd 4 APRIL 2036</t>
  </si>
  <si>
    <t xml:space="preserve">ASUNCION AJ </t>
  </si>
  <si>
    <t>AS A RESPONSIBLE GUARD, ACCESSING SOCIAL MEDIA (FACEBOOK) O/A 26 1920H FEBRUARY 2026</t>
  </si>
  <si>
    <t>POSSESSING UNAUTHORIZED APPLIANCE THAT IS HEATER ON OR ABOUT 24 JANUARY 2026</t>
  </si>
  <si>
    <t>S.O. Nr. 18 dtd 23 JANUARY 2024</t>
  </si>
  <si>
    <t>SUNGA</t>
  </si>
  <si>
    <t>NOT ATTENDING FLAG RAISING O/A 06 0710 JANUARY 2026</t>
  </si>
  <si>
    <t>GOING OFF LIMITS THAT IS GOING TO POST-COMMISSARY OA 20 1320 MARCH 2026</t>
  </si>
  <si>
    <t>POSSESSING UNAUTHORIZED ELECTRONIC DEVICE THAT IS POSSESSING VAPE ON OR ABOUT 24 JANUARY 2026</t>
  </si>
  <si>
    <t>S.O. Nr. 18 dtd 23 JANUARY 2026</t>
  </si>
  <si>
    <t>POSSESSING UNAUTHORIZED APPLIANCE THAT IS HEAT GUN DURING AOC INSPECTION ON OR ABOUT 24 JANUARY 2026</t>
  </si>
  <si>
    <t>S.O. Nr. 32 dtd 20 FEBRUARY 2030</t>
  </si>
  <si>
    <t>ACCESSING FACEBOOK AS A GUARD O/A 06 1230H MARCH 2026</t>
  </si>
  <si>
    <t>SORIO</t>
  </si>
  <si>
    <t>OFF LIMITS THAT IS BEING IN MAYO ANNEX AS A HOLDING CENTER CADET ON OR ABOUT 03 FEBRUARY 2025</t>
  </si>
  <si>
    <t>S.O. Nr. 32 dtd 20 FEBRUARY 2032</t>
  </si>
  <si>
    <t>LORENZO</t>
  </si>
  <si>
    <t>DOING UNAUTHORIZED THING THAT IS ACCESSING FACEBOOK IN THE E-LIBRARY ON OR ABOUT 03 FEBRUARY 2026</t>
  </si>
  <si>
    <t>PENAREDONDO</t>
  </si>
  <si>
    <t>NOT MAINTAINING DIGNITY AS A GUARD THAT IS USING THE CQ PHONE TO TAKE PICTURES O/A 07 FEBRUARY 2026</t>
  </si>
  <si>
    <t>POLLESCAS</t>
  </si>
  <si>
    <t>NOT OBSERVING POLICE CALL INSPECTION THAT IS NOT STANDING BESIDE BUNKS O/A 14 FEBRUARY 2026</t>
  </si>
  <si>
    <t>HAVING RAMBAGIZED ROOM DURING AOCS INSPECTION O/A 28 1735H JANUARY 2026</t>
  </si>
  <si>
    <t>TENOSO</t>
  </si>
  <si>
    <t xml:space="preserve">CHARLIE COMPANY PUNISHMENT MONITORING LIST </t>
  </si>
  <si>
    <t>F/SGT: CDT 2CL NANALE DF</t>
  </si>
  <si>
    <t xml:space="preserve">NOTED BY: CDT SGT MAJ 2CL FIONA LISA C DEMARAYE 'H' Co CCAFP </t>
  </si>
  <si>
    <t>GATO</t>
  </si>
  <si>
    <t>UNAUTHORIZED PRESENCE INSIDE BARRACKS DURING MORNING MESS O/A 21 0600 JANUARY 2026</t>
  </si>
  <si>
    <t>S.O. Nr 20 dtd 04 FEBRUARY 2026</t>
  </si>
  <si>
    <t xml:space="preserve">PADALOY </t>
  </si>
  <si>
    <t>POSSESSING VAPE DURING INS DUTY AT DNW LABORATORY ROOM O/A 01 1750 DECEMBER 2025</t>
  </si>
  <si>
    <t>S.O. Nr 03 dtd 14 January 2026</t>
  </si>
  <si>
    <t>PULIDO</t>
  </si>
  <si>
    <t>POSSESSING UNAUTHORIZED SMARTPHONE AFTER TAPS O/A 18 0049 DECEMBER 2025</t>
  </si>
  <si>
    <t>BAYOT</t>
  </si>
  <si>
    <t>BOGGING DOWN DURING PARADE ON OR ABOUT 21 FEBRUARY 2026</t>
  </si>
  <si>
    <t>S.O Nr 51 DTD 13 April 2026</t>
  </si>
  <si>
    <t>PEDROSO</t>
  </si>
  <si>
    <t>GOING ON OFF LIMITS THAT IS GOING TO THE HOLDING CENTER ON OR ABOUT 15 0840 FEBRUARY 2026</t>
  </si>
  <si>
    <t>S.O Nr 51 DTD 16 April 2026</t>
  </si>
  <si>
    <t>BAYOD</t>
  </si>
  <si>
    <t>ACCESSING YOUTUBE ON OR ABOUT 20 2250 FEBRUARY 2026</t>
  </si>
  <si>
    <t>PEDRO</t>
  </si>
  <si>
    <t>ABSENT FROM MORNING MESS DUTY O/A 30 0450 NOVEMBER 2025</t>
  </si>
  <si>
    <t xml:space="preserve">PEDRO </t>
  </si>
  <si>
    <t>ABSENT FROM ECTQ INSPECTION ON OR ABOUT 11 1900 FEBRUARY 2026</t>
  </si>
  <si>
    <t>FERRERAS</t>
  </si>
  <si>
    <t>NOT ATTENDING 4CL PRP DUTY O/A 10 0500 FEBRUARY 2026</t>
  </si>
  <si>
    <t>S.O. Nr 32 dtd 20 February 2026</t>
  </si>
  <si>
    <t>LAURETA</t>
  </si>
  <si>
    <t>POSSESSING A SMARTPHONE AS A FOURTH CLASS CADET O/A 06 2135 JANUARY 2026</t>
  </si>
  <si>
    <t>RODICILLAS</t>
  </si>
  <si>
    <t>URBANO</t>
  </si>
  <si>
    <t>AS A RESPONSIBLE CADET-IN-CHARGE OF QUARTERS, ABANDONING POST WHILE THE ARMORY IS OPEN O/A 31 1610 JANUARY 2026</t>
  </si>
  <si>
    <t>S.O. Nr 39 dtd 4 March 2026</t>
  </si>
  <si>
    <t>IMPAS</t>
  </si>
  <si>
    <t>NOT ATTENDING FLEXIBLE EVENING MESS ON OR ABOUT 26 1730 FEBRUARY 2026</t>
  </si>
  <si>
    <t>S.O. Nr 20 dtd 16 April 2026</t>
  </si>
  <si>
    <t>MAATA</t>
  </si>
  <si>
    <t>UNAUTHORIZED USE OF LAPTOP DURING OC'S INSPECTION ON OR ABOUT 18 1320 MARCH 2026</t>
  </si>
  <si>
    <t>ORZAME</t>
  </si>
  <si>
    <t>BAUTISTA</t>
  </si>
  <si>
    <t>NOT ATTENDING RELIGIOUS SERVICE O/A 18 0830 JANUARY 2026</t>
  </si>
  <si>
    <t>SUPRESENCIA</t>
  </si>
  <si>
    <t>PLAYING MOBILE GAMES ON HIS PHONE O/A 05 2015 DECEMBER 2025</t>
  </si>
  <si>
    <t>ROBINOS</t>
  </si>
  <si>
    <t>LATE FROM RELIGIOUS SPIRITUAL ENHANCEMENT FORMATION ON OR ABOUT 09 0640 NOVEMBER 2025</t>
  </si>
  <si>
    <t>S.O. Nr 176 dtd 01 DECEMBER 2025</t>
  </si>
  <si>
    <t>BACALSO</t>
  </si>
  <si>
    <t>ABSENT FROM MORNING MESS ON OR ABOUT 16 0450 NOVEMBER 2025</t>
  </si>
  <si>
    <t>S.O. Nr 185 dtd 09 DECEMBER 2025</t>
  </si>
  <si>
    <t>HAVING UNPLUGGED CHARGER ON OR ABOUT 06 1650 NOVEMBER 2025</t>
  </si>
  <si>
    <t>UNACCOUNTED FROM 1CL AEROCADETS DUTY ON OR ABOUT 06 0410 NOVEMBER 2025</t>
  </si>
  <si>
    <t>LLANZANA</t>
  </si>
  <si>
    <t>USING CELLPHONE AFTER TAPS ON OR ABOUT 12 2300 OCTOBER 2025</t>
  </si>
  <si>
    <t>S.O. Nr 145 dtd 23 OCTOBER 2025</t>
  </si>
  <si>
    <t>LATE FROM MORNING MESS FORMATION ON OR ABOUT 26 0450 OCTOBER 2025</t>
  </si>
  <si>
    <t>S.O. Nr 156 dtd 12 NOVEMBER 2025</t>
  </si>
  <si>
    <t>LEAVING PLUGGED CHARGER UNATTENDED ON OR ABOUT 07 2100 OCTOBER 2025</t>
  </si>
  <si>
    <t>S.O. Nr 141 dtd 23 OCTOBER 2025</t>
  </si>
  <si>
    <t>UNACCOUNTED DURING CORPS FORMATION ON OR ABOUT 15 0500 OCTOBER 2025</t>
  </si>
  <si>
    <t>MOVILLA</t>
  </si>
  <si>
    <t>NOT ATTENDING THEIR RESPECTIVE RELIGIOUS SERVICE DURING SUNDAY SERVICE ON OR ABOUT 13 0540 JULY 2025</t>
  </si>
  <si>
    <t>S.O. Nr 094 dtd 14 AUGUST 2025</t>
  </si>
  <si>
    <t>USING CELLPHONE DURING UNAUTHORIZED PERIOD ON OR ABOUT 25 0100 JULY 2025</t>
  </si>
  <si>
    <t>S.O. Nr 101 dtd 02 SEPTEMBER 2025</t>
  </si>
  <si>
    <t>CALLING USING MESSENGER AFTER TAPS ON OR ABOUT 04 2255 AUGUST 2025</t>
  </si>
  <si>
    <t>NOT ATTENDING SEVENTH DAY ADVENTIST RELIGIOUS SERVICE ON OR ABOUT 30 1300 AUGUST 2025</t>
  </si>
  <si>
    <t>S.O. Nr 118 dtd 018 SEMPTEMBER 2025</t>
  </si>
  <si>
    <t>CALUBAD</t>
  </si>
  <si>
    <t>POSSESSING UNAUTHORIZE FLIPFLOPS DURING OC INSPECTION OA 01 2300 JUNE 2025</t>
  </si>
  <si>
    <t>S.O. Nr 068 dtd 24 June 2025</t>
  </si>
  <si>
    <t>DALAGAN</t>
  </si>
  <si>
    <t>WEARING UNAUTHORIZE FLIPFLOPS DURING OC INSPECTION OA 01 0930 JUNE 2025</t>
  </si>
  <si>
    <t>POLLENTES</t>
  </si>
  <si>
    <t>9 MINS LATE FROM TERMINATION OF PRIVILEGE OA 14 2109 JUNE 2025</t>
  </si>
  <si>
    <t>PLAYING NINTENDO WHILE POSSESSING SMARTPHONE DURING AOC'S INSPECTION OA 28 MAY 2025</t>
  </si>
  <si>
    <t>S.O. Nr 063 dtd 11 June 2025</t>
  </si>
  <si>
    <t>POSSESSING POCKET WIFI DURING OC INSPECTION OA 01 2300 JUNE 2025</t>
  </si>
  <si>
    <t>SALSI</t>
  </si>
  <si>
    <t>POSSESSING VAPE OA 05 1920 JUNE 2025</t>
  </si>
  <si>
    <t>RAPOSO</t>
  </si>
  <si>
    <t>USING SMARTPHONE AFTER TAPS OA 12 0005 JUNE 2025</t>
  </si>
  <si>
    <t>S.O. Nr 075 dtd 08 JULY 2025</t>
  </si>
  <si>
    <t>VAPING DURING OC INSECTION OA 03 2300 JULY 2025</t>
  </si>
  <si>
    <t>S.O. Nr 083 dtd 18 JULY 2025</t>
  </si>
  <si>
    <t>SAUMAY</t>
  </si>
  <si>
    <t>20 MIN LATE DURING 5TH PERIOD CLASS ON OR ABOUT 16 1440 JULY 2025</t>
  </si>
  <si>
    <t>S.O. Nr 100 dtd 27 AUG 2025</t>
  </si>
  <si>
    <t>GILO</t>
  </si>
  <si>
    <t>BARAN</t>
  </si>
  <si>
    <t>ABSENT FROM DUTY THAT IS NOT ATTENDING LATEMESS FOR CADET WHO ATTENDED WORKOUT ON OR ABOUT 05 0625 SEPTEMBER 2025</t>
  </si>
  <si>
    <t>S.O. Nr 122 dtd 19 SEPT 2025</t>
  </si>
  <si>
    <t>GERALDE</t>
  </si>
  <si>
    <t>LATE FROM RELIGIOUS SPIRITUAL ENHANCEMENT DUTY ON OR ABOUT 27 JULY 2025.</t>
  </si>
  <si>
    <t>AS A 1CL CADET, ORDERING THE 3CL CADETS TO REPORT TO HIM AT THE STOCK ROOM ON OR ABOUT 13 0930 JULY</t>
  </si>
  <si>
    <t>S.O. Nr 084 dtd 18 JULY 2025</t>
  </si>
  <si>
    <t>UNACCOUNTED DURING CORPS FORMATION ON OR ABOUT 10 1300 AUGUST 2025</t>
  </si>
  <si>
    <t>UNAUTHORIZED USE OF CELLPHONE OA 28 2300 APRIL 2025</t>
  </si>
  <si>
    <t>S.O. Nr 049 dtd 08 May 2025</t>
  </si>
  <si>
    <t>USING SMARTPHONE OA 10 0750 APRIL 2025</t>
  </si>
  <si>
    <t>GARAY</t>
  </si>
  <si>
    <t>USING CELLPHONE DURING UNAUTHORIZE PERIOD OA 08 2400 JUNE 2025</t>
  </si>
  <si>
    <t>MONDA</t>
  </si>
  <si>
    <t>20 MINUTES LATE FROM AFS 332 CLASS O/A 16 1355 JANUARY 2026</t>
  </si>
  <si>
    <t>DOING UNAUTHORIZED THINGS DURING INTEGRATION PERIOD (STUDY PERIOD) O/A 18 1520 JANUARY 2026</t>
  </si>
  <si>
    <t>ESCALONA</t>
  </si>
  <si>
    <t>ACCESSING TELEGRAM AFTER TAPS ON OR ABOUT 21 2320 NOVEMBER 2025</t>
  </si>
  <si>
    <t>S.O. Nr 184 dtd 05 DECEMBER 2025</t>
  </si>
  <si>
    <t>LIBATON</t>
  </si>
  <si>
    <t>19 MINS LATE FROM TERMINATION ON OR ABOUT 08 1500 NOVEMBER 2025</t>
  </si>
  <si>
    <t>UNACCOUNTED DURING MORNING MESS FORMATION ON OR ABOUT 13 0545
SEPTEMBER 2025.</t>
  </si>
  <si>
    <t>S.O. Nr 130 dtd 13 October 2025</t>
  </si>
  <si>
    <t>ARIP</t>
  </si>
  <si>
    <t>NULUD</t>
  </si>
  <si>
    <t>UNGENTLEMANLY CONDUCT OA 04 0915 FEBRUARY 2025</t>
  </si>
  <si>
    <t>GENTOLEO</t>
  </si>
  <si>
    <t>GENERALLY UNPREPARED DURING BARRACKS INSPECTION ON OR ABOUT 05 0750 JULY 2025.</t>
  </si>
  <si>
    <t>FELIPE</t>
  </si>
  <si>
    <t>UNACCOUNTED DURING CORPS FORMATION ON OR ABOUT 16 1515 AUGUST 2025</t>
  </si>
  <si>
    <t>S.O. Nr 118 dtd 18 SEPTEMBER 2025</t>
  </si>
  <si>
    <t>UNACCOUNTED DURING EARLY MESS ON OR ABOUT 16 0500 AUGUST 2025</t>
  </si>
  <si>
    <t>S.O. Nr 112 dtd 10 SEPTEMBER 2025</t>
  </si>
  <si>
    <t>NANALE</t>
  </si>
  <si>
    <t>UNACCOUNTED FROM EVENING MESS FORMATION ON OR ABOUT 13 1630 JULY 2025</t>
  </si>
  <si>
    <t>GOROSPE</t>
  </si>
  <si>
    <t>RANA</t>
  </si>
  <si>
    <t>LEAVING PLUGGED LAPTOP ON TOP OF STUDY TABLE ON OR ABOUT 25 0100 JULY 2025.</t>
  </si>
  <si>
    <t>ABSENT FROM DUTY THAT IS NOT ATTENDING NOON MESS OA 06 1130 JUNE 2025</t>
  </si>
  <si>
    <t>POSSESSING CELLPHONE DURING OC'S INSPECTION ON OR ABOUT 18 2230 AUGUST 2025</t>
  </si>
  <si>
    <t>SILAO</t>
  </si>
  <si>
    <t>SAYING PROFANE LANGUAGE IN FRONT OF 4CL OA 12 2110 JUNE 2025</t>
  </si>
  <si>
    <t>JANDULONG</t>
  </si>
  <si>
    <t>GETTING ZERO SCORE IN LE IN AFS 311 OA 09 JULY 2025</t>
  </si>
  <si>
    <t>S.O. Nr 086 dtd 21 July 2025</t>
  </si>
  <si>
    <t>UNAUTHORIZE PRESSENCE INSIDE BARRACKS OA 11 0730 MAY 2025</t>
  </si>
  <si>
    <t>30 MINS LATE FROM PRIVILEGE OA 12 1900 JUNE 2025</t>
  </si>
  <si>
    <t xml:space="preserve">UNDANG </t>
  </si>
  <si>
    <t>POSSESSION OF POCKET WIFI OA 23 2300 JUNE 2025</t>
  </si>
  <si>
    <t>BALDONADO</t>
  </si>
  <si>
    <t>UNACCOUNTED DURING ATHLETIC PD OA 01 1600 JULY 2025</t>
  </si>
  <si>
    <t>DE LEON</t>
  </si>
  <si>
    <t>NOT ATTENDING SMC DUTY OA 29 0500 JULY 2025</t>
  </si>
  <si>
    <t>BUENO</t>
  </si>
  <si>
    <t>CAJELES</t>
  </si>
  <si>
    <t>14 MIN LATE FROM TERMINATION OF PRIVILEGE ON OR ABOUT 25 1714 AUGUST 2025</t>
  </si>
  <si>
    <t>S.O. Nr 118 dtd 18 SEPT 2025</t>
  </si>
  <si>
    <t>CASTRO</t>
  </si>
  <si>
    <t>USING PROFANE LANGUAGE AT THE BARRIO AREA ON OR ABOUT 21 1300 AUGUST 2025</t>
  </si>
  <si>
    <t>AS A RESPONSIBLE CADET, HAVING THE DOOR LOCKED THAT THE PREVENTED HIM TO BE INFORMED AS INCOMING INTERIOR GUARD ON OR ABOUT 31 0100 AUGUST 2025</t>
  </si>
  <si>
    <t>UNACCOUNTED DURING LATE MESS FOR CADETS WHO ATTENDED WORKOUT ON OR ABOUT 01 0700 OCTOBER 2025</t>
  </si>
  <si>
    <t>S.O. Nr 141 dtd 23 October 2025</t>
  </si>
  <si>
    <t>NOT ATTENDING SILENT DRILL PRACTICE ON OR ABOUT 04 1400 OCTOBER 2025.</t>
  </si>
  <si>
    <t>UNAUTHORIZED PRESENCE INSIDE BARRACKS ON OR ABOUT 25 1410 SEPTEMBER 2025.</t>
  </si>
  <si>
    <t>TOLEDO</t>
  </si>
  <si>
    <t>UNAUTHORIZED PRESENCE INSIDE BARRACKS THAT IS NOT ATTENDING MORNING MESS ON OR ABOUT 28 0550 SEPTEMBER 2025.</t>
  </si>
  <si>
    <t>S.O. Nr 129 dtd 13 October 2025</t>
  </si>
  <si>
    <t>USING IPAD AFTER TAPS DURING OC'S INSPECTION ON OR ABOUT 12 0010 OCTOBER 2025</t>
  </si>
  <si>
    <t>S.O. Nr 145 dtd 23 October 2025</t>
  </si>
  <si>
    <t>LATUPAN</t>
  </si>
  <si>
    <t>UNACCOUNTED FROM NOON MESS FORMATION ON OR ABOUT 31 1212 OCTOBER 2025</t>
  </si>
  <si>
    <t>ABSENT FROM MORNING MESS ON OR ABOUT 23 0450 NOVEMBER 2025</t>
  </si>
  <si>
    <t>DIVINA</t>
  </si>
  <si>
    <t>LOST M14 MAGAZINE ON OR ABOUT 19 1820 FEBRUARY 2026</t>
  </si>
  <si>
    <t xml:space="preserve">GUMASING </t>
  </si>
  <si>
    <t>LATE FROM RELIGIOUS SPIRITUAL ENHANCEMENT FORMATION ON OR ABOUT 07 0540 DECEMBER 2025</t>
  </si>
  <si>
    <t>S.O. Nr 158 dtd 12 NOVEMBER 2025</t>
  </si>
  <si>
    <t>VILLAFLOR</t>
  </si>
  <si>
    <t>LOST M14 MAGAZINE ON OR ABOUT 31 JANUARY 2026</t>
  </si>
  <si>
    <t>CAMPANA</t>
  </si>
  <si>
    <t>GOING OFF LIMITS THAT IS GOING TO BARRIO AREA SPECIFICALLY AT THE BACK OF MAYO HALL ANNEX SECRETLY TALKING TO 4CL CADETS ON OR ABOUT 21 1250 OCTOBER 2025</t>
  </si>
  <si>
    <t>MARAMBA</t>
  </si>
  <si>
    <t>PADALOY</t>
  </si>
  <si>
    <t>AS A GUARD, 14 MINS LATE FOR FLAG RAISING FOR CADET-IN-CHARGE OF QUARTERS ON OR ABOUT 05 0500 NOVEMBER 2025</t>
  </si>
  <si>
    <t>SESUCA</t>
  </si>
  <si>
    <t>NOT GOING ON SCHEDULED SICK CALL ON OR ABOUT 29 1600 OCTOBER 2025</t>
  </si>
  <si>
    <t>TAYABAN</t>
  </si>
  <si>
    <t>POSSESING VAPE O/A 06 1300H SEPTEMBER 2025</t>
  </si>
  <si>
    <t>S.O. Nr 01 dtd 10 Oct 2025</t>
  </si>
  <si>
    <t>LACANDULA</t>
  </si>
  <si>
    <t>UNACCOUNTED DURING SLOW DRILL FORMATION ON OR ABOUT 15 0930 NOVEMBER 2025</t>
  </si>
  <si>
    <t>POSSESSING VAPE/VAPING DURING OC'S INSPECTION ON OR ABOUT 16 2150 OCTOBER 2025</t>
  </si>
  <si>
    <t>S.O. Nr 154 dtd 07 NOVEMBER 2025</t>
  </si>
  <si>
    <t>FAILURE TO TAKE THE MANDATORY DRUG TEST DESPITE REPEATED ANNOUNCEMENT ON OR ABOUT 07 NOVEMBER 2025</t>
  </si>
  <si>
    <t>S.O. Nr 164 dtd 24 Nov 2025</t>
  </si>
  <si>
    <t>WATCHING MOVIE AFTER TAPS O/A 09 2315 DECEMBER 2025</t>
  </si>
  <si>
    <t>NOT ATTENDING NOON MESS O/A 06 1200 DECEMBER 2025</t>
  </si>
  <si>
    <t>MENDOZA</t>
  </si>
  <si>
    <t>POSSESSING UNAUTHORIZED POCKET WIFI DURING AOC'S INSPECTION ON OR ABOUT 11 2000 NOVEMBER 2025</t>
  </si>
  <si>
    <t>S.O. Nr 183 dtd 05 DECEMBER 2025</t>
  </si>
  <si>
    <t>BARABONA</t>
  </si>
  <si>
    <t>AS A RESPONSIBLE CADET-IN-CHARGE OF QUARTERS NOT ATTENDING FLAG RETREAT ON OR ABOUT 12 1700 NOVEMBER 2025</t>
  </si>
  <si>
    <t>BERSO</t>
  </si>
  <si>
    <t>DELA RAMA</t>
  </si>
  <si>
    <t>LATE FROM SENTINEL POSTING ON OR ABOUT 30 0030 OCTOBER 2025</t>
  </si>
  <si>
    <t>LANGAHID</t>
  </si>
  <si>
    <t>WATCHING TIKTOK DURING OC'S INSPECTION ON OR ABOUT 20 2015 OCTOBER 2025</t>
  </si>
  <si>
    <t>MAADIL</t>
  </si>
  <si>
    <t>AS A 4TH RELIEF SENTINEL, SLEEPING DURING POSTING ON OR ABOUT 23 0200 NOVEMBER 2025</t>
  </si>
  <si>
    <t>DOZING DURING POSTING AS A 6TH RELIEF SENTINEL ON OR ABOUT 17 0330 NOVEMBER 2025</t>
  </si>
  <si>
    <t>AS A 4TH RELIEF SENTINEL, LATE FROM POSTING ON OR ABOUT 19 0120 NOVEMBER 2025</t>
  </si>
  <si>
    <t>GAMAL</t>
  </si>
  <si>
    <t>LATE FOR 3CL TUTORING ON OR ABOUT 30 1330 AUGUST 2025</t>
  </si>
  <si>
    <t>9 MINS LATE FROM PRIVILEGE OA 21 2009 JUNE 2025</t>
  </si>
  <si>
    <t>GUMASING</t>
  </si>
  <si>
    <t>UNACCOUNTED DURING MORNING MESS FORMATION OA 030530 JULY 2025</t>
  </si>
  <si>
    <t>HAVING UNAUTHORIZED APPLIANCES DURING OC'S INSPECTION ON OR ABOUT 08 1100 JULY 2025.</t>
  </si>
  <si>
    <t>GOING ON DUTY WHILE HAVING UNPLUGGED LAPTOP ON OR ABOUT 24 0930 JULY 2025.</t>
  </si>
  <si>
    <t>CALAMBRO</t>
  </si>
  <si>
    <t>1 HOUR AND 30 MINS LATE FROM PRIVILEGE OA 12 1900 JUNE 2025</t>
  </si>
  <si>
    <t>AS A SENTINEL, GIVING WARNING ON THE PRESENCE OF AN INSPECTING OFFICER ON OR ABOUT 13 0126 JULY 2025</t>
  </si>
  <si>
    <t>LADERA</t>
  </si>
  <si>
    <t>AS A RESPONSIBLE SECOND RELIEF SENTINEL, LEAVING POST WITHOUT PROPERLY RELIEVE ON OR ABOUT 22 0015 JULY 2025.</t>
  </si>
  <si>
    <t>SALVACION</t>
  </si>
  <si>
    <t>NOT EXECUTING PRESS RIFLE DURING PASS AND REVIEW ON OR ABOUT 30 1040 AUGUST 2025</t>
  </si>
  <si>
    <t>PINGOL</t>
  </si>
  <si>
    <t>LOST CONNECTION ASSEMBLY OA 13 1305 JUNE 2025</t>
  </si>
  <si>
    <t>30 MINS LATE FROM PRIVELEGE OA 12 1900 JUNE 2025</t>
  </si>
  <si>
    <t>INTRODUCING SHABBITY THAT IS TAKING INITIATIE TO IRON THE DRILL A UNIFORM OF CDT 1CL SALSI OA 03 2340 JULY 2025</t>
  </si>
  <si>
    <t>BUHONG</t>
  </si>
  <si>
    <t>LATE FROM MORNING MESS ON OR ABOUT 06 AUGUST 2025</t>
  </si>
  <si>
    <t>LATE FROM SENTINEL POSTING ON OR ABOUT 24 0305 JUNE 2025</t>
  </si>
  <si>
    <t>RICAFRENTE</t>
  </si>
  <si>
    <t>LATE FROM RANKS AND BARRACKS INSECTION OA 29 JUNE 2025</t>
  </si>
  <si>
    <t>NACARIO</t>
  </si>
  <si>
    <t>SIENES</t>
  </si>
  <si>
    <t>UNACCOUNTED DURING INC CADETS RELIGIOUS SERVICE FORMATION ON OR ABOUT 13 0530 JULY 2025</t>
  </si>
  <si>
    <t>ACCESSING UNAUTHORIZED WEBSITE THTAT IS X DURING AOC'S INSPECTION ON OR ABOUT 13 1142 JULY 2025</t>
  </si>
  <si>
    <t>S.O. Nr 091 dtd 07 Aug 2025</t>
  </si>
  <si>
    <t>LATE FROM GUARD MOUNTING OA 08 1630 JUNE 2025</t>
  </si>
  <si>
    <t>USING LATE LIGHTS TAPS DURING OC INSPECTION OA 01 2300 JUNE 2026</t>
  </si>
  <si>
    <t>UNACCOUNTED DURING PUNISHMENT DUTY OA 04 1910 MAY 2025</t>
  </si>
  <si>
    <t>PADILLO</t>
  </si>
  <si>
    <t>UNACCOUNTED DURING EVENING MESS FORMATION OA 31 1745 MAY 2025</t>
  </si>
  <si>
    <t>KIMAKIM</t>
  </si>
  <si>
    <t>DOING UNAUTHORIZED THINGS AFTER TAPS THAT IS FALLING ASLEEP WHILE ACCESSING SOCIAL MEDIA OA 28 0001 APRIL 2025</t>
  </si>
  <si>
    <t>USING LATE LIGHTS TAPS DURING OC INSPECTION OA 01 2300 JUNE 2025</t>
  </si>
  <si>
    <t>LATE FROM SENTINEL POSTING OA 01 0115 JUNE 2025</t>
  </si>
  <si>
    <t>LATE FROM 4TH PERIOD CLASS ON OR ABOUT 26 1300 AUGUST 2025</t>
  </si>
  <si>
    <t>MARCELO</t>
  </si>
  <si>
    <t>LATE FROM POLICE CALL INSPECTION ON OR ABOUT 07 0730 OCTOBER 2025</t>
  </si>
  <si>
    <t>DIOKNO</t>
  </si>
  <si>
    <t>LATE FROM 2nd PERIOD CLASS ON OR ABOUT 29 0910 SEPTEMBER 2025.</t>
  </si>
  <si>
    <t>10 MINS LATE FROM SENTINEL POSTING ON OR ABOUT 09 0310 SEPTEMBER 2025.</t>
  </si>
  <si>
    <t>10 MINS LATE FROM 3RD PERIOD SD CLASS ON OR ABOUT 28 1040 JULY 2025</t>
  </si>
  <si>
    <t>ANGOT</t>
  </si>
  <si>
    <t>10 MINS LATE AFTER FIRST CALL OF FLEXIBLE EVENING MESS ON OR ABOUT 09 OCTOBER 2025</t>
  </si>
  <si>
    <t>ABSENT FROM DUTY THAT IS NOT ATTENDING LATE MESS FOR CADETS WHO ATTENDED WORKOUT ON OR ABOUT 05 0625 SEPTEMBER 2025</t>
  </si>
  <si>
    <t>Sept 16</t>
  </si>
  <si>
    <t>COLLADO</t>
  </si>
  <si>
    <t>LEAVING UNPLUGGED IRON DURING OC'S INSPECTION ON OR ABOUT 08 1100 JULY 2025.</t>
  </si>
  <si>
    <t>S.O. Nr 100 dtd 27 AUGUST 2025</t>
  </si>
  <si>
    <t>AS A MESS HALL CORPORAL, NOT REPORTING VIOLATIONS ON OR ABOUT 09 0623 OCTOBER 2025</t>
  </si>
  <si>
    <t>RIVERA</t>
  </si>
  <si>
    <t>UNACCOUNTED DURING MORNING MESS FORMATION ON OR ABOUT 03 0550 MARCH 2026</t>
  </si>
  <si>
    <t>MANLANGIT</t>
  </si>
  <si>
    <t>LEAVING THE ARMORY UNLOCKED ON OR ABOUT 24 0000 FEBRUARY 2026</t>
  </si>
  <si>
    <t>AS A RESPONSIBLE ARCCQ THAT IS SLEEPING DURING POSTING O/A 06 1000 DECEMBER 2025</t>
  </si>
  <si>
    <t>CABAUATAN</t>
  </si>
  <si>
    <t>LATE FROM 5TH PERIOD CLASS O/A 20 1430 JANUARY 2026</t>
  </si>
  <si>
    <t>AS A RESPONSIBLE ACCQ, INSISTING TO DOZE O/A 31 JANUARY 2026</t>
  </si>
  <si>
    <t>VILORIA</t>
  </si>
  <si>
    <t>GOING ON OFF LIMITS THAT IS GOING ON MALE BARRACKS O/A 20 0430 JANUARY 2026</t>
  </si>
  <si>
    <t>VILDA</t>
  </si>
  <si>
    <t>ALVEZ</t>
  </si>
  <si>
    <t>DISRESPECTING THE INSTRUCTOR DURING THE CONDUCT OF MAT133 CLASS ON OR ABOUT 12 0815 FEBRUARY 2026</t>
  </si>
  <si>
    <t>ARANDA</t>
  </si>
  <si>
    <t>LATE FROM MORNING MESS FORMATION ON OR ABOUT 03 0600 OCTOBER 2025</t>
  </si>
  <si>
    <t>GAMINDE</t>
  </si>
  <si>
    <t>LATE FROM CORPS FORMATION ON OR ABOUT 24 0720 OCTOBER 2025</t>
  </si>
  <si>
    <t>LATE FROM MORNING MESS FORMATION ON OR ABOUT 12 0545 OCTOBER 2025</t>
  </si>
  <si>
    <t>CORPUZ</t>
  </si>
  <si>
    <t>BEING SEVEN (7) MINS LATE FROM 4TH PERIOD SD CLASS ON OR ABOUT 28 1037 OCTOBER 2025</t>
  </si>
  <si>
    <t>ABSENT FROM CORPS FORMATION AND MORNING MESS ON OR ABOUT 29 0520 OCTOBER 2025</t>
  </si>
  <si>
    <t>S.O. Nr 163 dtd 17 November 2025</t>
  </si>
  <si>
    <t>GOING ON OFF LIMITS THAT IS GOING AT THE BACK OF RAMOS HALL TO ENTER HIS ROOM ON OR ABOUT 28 2100 OCTOBER 2025</t>
  </si>
  <si>
    <t>EMILIO</t>
  </si>
  <si>
    <t>28 MIN LATE FROM REP DUTY ON OR ABOUT 04 0535 NOVEMBER 2025</t>
  </si>
  <si>
    <t>REMO</t>
  </si>
  <si>
    <t>BEING TWENTY-THREE MINS LATE FROM 4TH PERIOD SD CLASS ON OR ABOUT 28 1053 OCTOBER 2025</t>
  </si>
  <si>
    <t>GRACIA</t>
  </si>
  <si>
    <t>OFF LIMITS, GOING TO SINK IN THE TENNIS COURT DURING ECTQ ON OR ABOUT 03 100 NOVEMBER 2025</t>
  </si>
  <si>
    <t>USING LAPTOP ON PURPOSES OTHER THAN ACADEMICS OA 04 2130H FEBRUARY 2025</t>
  </si>
  <si>
    <t>S.O. Nr 047 dtd 05 May 2025</t>
  </si>
  <si>
    <t>QUIRIMIT</t>
  </si>
  <si>
    <t>5 MINSLATE FROM 4TH PERIOD CLASS ON OR ABOUT 26 1310 AUGUST 2025</t>
  </si>
  <si>
    <t>5 MINS LATE ON SD122 CLASS ON OR ABOUT 10 1300 SEPTEMBER 2025</t>
  </si>
  <si>
    <t>UNACCOUNTED DURING CAMP PROFICIENCY PERIOD ON OR ABOUT 07 0640 SEPTEMBER 2025</t>
  </si>
  <si>
    <t>UNACCOUNTED DURING 5TH PERIOD CLASS FORMATION ON OR ABOUT 13 1420 OCTOBER 2025</t>
  </si>
  <si>
    <t>PEREZ</t>
  </si>
  <si>
    <t>LATE DURING RELIGEOUS SPIRITUAL ENHANCEMENT DUTY ON OR ABOUT 07 0640 SEPTEMBER 2025</t>
  </si>
  <si>
    <t>MOVING IN RANKS DURING CLASS FORMATION ON OR ABOUT 14 1030 OCTOBER 2025</t>
  </si>
  <si>
    <t>BUENAOBRA</t>
  </si>
  <si>
    <t>LATE DURING RELIGEOUS SPIRITUAL ENHANCEMENT DUTY ON OR ABOUT 12 0545 OCTOBER 2025</t>
  </si>
  <si>
    <t>15 MINS LATE FOR FOURTHPERIOD SD CLASS ON OR ABOUT 13 1335 OCTOBER 2025</t>
  </si>
  <si>
    <t>UNACCOUNTED FROM MORNING MESS ON OR ABOUT 23 0450 NOVEMBER 2025</t>
  </si>
  <si>
    <t>S.O. Nr 181 dtd 05 DECEMBER 2025</t>
  </si>
  <si>
    <t>POSTIGO</t>
  </si>
  <si>
    <t>UNACCOUNTED FROM 4CL FATIGUE DUTY O/A 26 1345 DECEMBER 2026</t>
  </si>
  <si>
    <t>RAMOGA</t>
  </si>
  <si>
    <t>LATE FROM 4CL SUNSET PARADE DRILLS FORMATION O/A 30 1504 DECEMBER 2025</t>
  </si>
  <si>
    <t>AGUILAR</t>
  </si>
  <si>
    <t>LATE DURING MORNING MESS FORMATION O/A 02 0630 JANUARY 2026</t>
  </si>
  <si>
    <t xml:space="preserve">ALVEZ </t>
  </si>
  <si>
    <t>BROKEN ELEVATION PIN ON M14 RIFLE O/A 17 DECEMBER 2025</t>
  </si>
  <si>
    <t>UNACCOUNTED FROM COMMAND FLAG RAISING O/A 06 0715 JANUARY 2026</t>
  </si>
  <si>
    <t>2 MINS LATE FROM 5TH PERIOD SD CLASS O/A 06 1427 JANUARY 2026</t>
  </si>
  <si>
    <t>UNACCOUNTED FROM NOON MESS ON OR ABOUT 02 0530 DECEMBER 2025</t>
  </si>
  <si>
    <t>F/SGT: CDT 2CL REOJA</t>
  </si>
  <si>
    <t>PALACIOS</t>
  </si>
  <si>
    <t>UNAUTHORIZED PRESENCE INSIDE BARRACKS OA 26 1725 OCTOBER 2025</t>
  </si>
  <si>
    <t>S.O. Nr 165 dtd 24 November 2025</t>
  </si>
  <si>
    <t>RAMAS</t>
  </si>
  <si>
    <t>ABSENT FROM DUTY THAT IS NOT ATTENDING 4CL ATHLETICS DESPITE NUMEROUS CAUTIONS ON OR BEFORE 10 1600 FEBRUARY 2026</t>
  </si>
  <si>
    <t>S.O. Nr 38 dtd 04 March 2026</t>
  </si>
  <si>
    <t>ALCANTARA</t>
  </si>
  <si>
    <t>ACCESSING FACEBOOK ON OR ABOUT 08 JANUARY 2026 AT TG1 OFFICE.</t>
  </si>
  <si>
    <t>S.O. Nr 37 dtd 04 March 2026</t>
  </si>
  <si>
    <t>14 MINUTES LATE FROM MORNING MESS FORMATION ON OR ABOUT 14 0530 JANUARY 2026</t>
  </si>
  <si>
    <t>SOLLANO</t>
  </si>
  <si>
    <t>AS A GUARD (CAMO 1), USING PERSONAL CELLPHONE WHILE LYING AT THE UPPER BUNK OF HIS ROOM OA 09 0905 OCTOBER 2025</t>
  </si>
  <si>
    <t>S.O. Nr 137 dtd 20 October 2025</t>
  </si>
  <si>
    <t>NOT ATTENDING MORNING MESS OA 06 0630 NOVEMBER 2025</t>
  </si>
  <si>
    <t>S.O. Nr 177 dtd 26 November 2025</t>
  </si>
  <si>
    <t>RAMOS</t>
  </si>
  <si>
    <t>OFF LIMITS THAT IS GOING INSIDE AN UPPER-CLASS ROOM DURING INSIDE BARRACKS NOON MESS ON OR ABOUT 25 1200 JANUARY 2026</t>
  </si>
  <si>
    <t>OBED</t>
  </si>
  <si>
    <t>NOT RENDERING DAMAGE OF ISSUED FA'S TO THE HTG ARMORY CUSTODIAN AFTER 72 HRS UPON NOTICE OA 14 FEBRUARY 2025</t>
  </si>
  <si>
    <t>S.O. Nr 111 dtd 10 September 2025</t>
  </si>
  <si>
    <t>POSSESSING POCKET WIFI DURING OC INSPECTION OA 01 1000 JUNE 2025</t>
  </si>
  <si>
    <t>S.O. Nr 069 dtd 25 June 2025</t>
  </si>
  <si>
    <t>CARSON</t>
  </si>
  <si>
    <t>LATE FROM EARLY MESS FORMATION ON OR ABOUT 16 0500 JANUARY 2026</t>
  </si>
  <si>
    <t>CESNEROS</t>
  </si>
  <si>
    <t>NOT ATTENDING HIS FOLLOW-UP CHECK-UP ON OR BEFORE 03 1600 FEBRUARY 2026</t>
  </si>
  <si>
    <t xml:space="preserve">BERBANO </t>
  </si>
  <si>
    <t>HITTING 4CL CESNEROS INSIDE ROOM OA ABOUT 23 2235 SEPTEMBER 2025</t>
  </si>
  <si>
    <t>S.O. Nr 132 dtd 13 October 2025</t>
  </si>
  <si>
    <t>SARAPUDDIN</t>
  </si>
  <si>
    <t>USING BORROWED OVERSEE CAP FOR CAL POSTING OA 28 OCTOBER 2025</t>
  </si>
  <si>
    <t>UNACCOUNTED FROM 1CL AEROCADETS FORMATION OA 06 0410 NOVEMBER 2025</t>
  </si>
  <si>
    <t>ABONITA</t>
  </si>
  <si>
    <t>UTILIZING AN UNREGISTERED AND UNAUTHORIZED LAPTOP FOR YOUTUBE O/A 03 1400 JANUARY 2026</t>
  </si>
  <si>
    <t>UNACCOUNTED DURING PUNISHMENT FORMATION ON OR ABOUT 11 1300 JANUARY 2026</t>
  </si>
  <si>
    <t>BORJA</t>
  </si>
  <si>
    <t>SLEEPING WITH ANOTHER CADET DURING AOC'S INSPECTION ON OR ABOUT 10 2020 JANUARY 2026</t>
  </si>
  <si>
    <t>FLORES</t>
  </si>
  <si>
    <t>REPORTING TO THE DTO WEARING UN-IRONED GABARDINE PANTS ON OR ABOUT 02 FEBRUARY 2026</t>
  </si>
  <si>
    <t>RAMILLANO</t>
  </si>
  <si>
    <t>DOSOL</t>
  </si>
  <si>
    <t>SANICO</t>
  </si>
  <si>
    <t>AQUITANIA</t>
  </si>
  <si>
    <t>UNACCOUNTED DURING ARRIVAL HONORS FORMATIONS ON OR ABOUT 10 0730 JANUARY 2026</t>
  </si>
  <si>
    <t>LEYESA</t>
  </si>
  <si>
    <t>LATE FROM MORNING MESS FORMATION OA 12 0545 OCTOBER 2025</t>
  </si>
  <si>
    <t>S.O. Nr 157 dtd 12 November 2025</t>
  </si>
  <si>
    <t>LATE FROM RELIGIOUS SPIRITUAL ENHANCEMENT DUTY OA 12 0645 OCTOBER 2025</t>
  </si>
  <si>
    <t>LATE FROM 2ND PERIOD CLASS OA 12 0820H NOVEBER 2025</t>
  </si>
  <si>
    <t>S.O. Nr 182 dtd 05 December 2025</t>
  </si>
  <si>
    <t>LATE FROM RELIGIOUS SPIRITUAL ENHANCEMENT DUTY OA 12 0645 OCTOBER 2026</t>
  </si>
  <si>
    <t>LATE FROM 4CL EVENING MESS OA 13 1745 OCTOBER 2025</t>
  </si>
  <si>
    <t>FORONDA</t>
  </si>
  <si>
    <t>LATE FROM 4CL EVENING MESS OA 13 1745 OCTOBER 2026</t>
  </si>
  <si>
    <t>S.O. Nr 157 dtd 12 November 2026</t>
  </si>
  <si>
    <t>LIWANAG</t>
  </si>
  <si>
    <t>UNACCOUNTED FROM 5TH PERIOD CLASS OA 23 1430 OCTOBER 2025</t>
  </si>
  <si>
    <t>AS A RESPONSIBLE SIGNIFIED CATHOLIC CADET, THAT IS INSISITING TO GO IN CCCC RELIGIOUS SERVICE DESPITE THE NUMEROUS CAUTIONED FROM THE UPPERCLASS OA 09 0640H NOVEMBER 2025</t>
  </si>
  <si>
    <t>S.O. Nr 177 dtd 20November 2025</t>
  </si>
  <si>
    <t>VITAO</t>
  </si>
  <si>
    <t>LATE FROM 4CL EVENING MESS OA 13 1745 OCTOBER 2028</t>
  </si>
  <si>
    <t>S.O. Nr 157 dtd 12 November 2028</t>
  </si>
  <si>
    <t>LATE DURING MOMING MESS FORMATION ON OR ABOUT 02 0630 JANUARY 2026</t>
  </si>
  <si>
    <t>UNAUTHORIZED PRESENCE INSIDE CITY BARRACKS OA 19 0330H NOVEMBER 2025</t>
  </si>
  <si>
    <t>S.O. Nr 120 dtd 18 September 2025</t>
  </si>
  <si>
    <t>UNAUTHORIZED PRESENCE IN THE CITY BARRACKS OA 17 0322 NOVEMBER 2025</t>
  </si>
  <si>
    <t>FALCON</t>
  </si>
  <si>
    <t>LOST BOPER RETAINER AND SPRING OA 04 MAY 2025</t>
  </si>
  <si>
    <t>YABUT</t>
  </si>
  <si>
    <t>UNACCOUNTED DURING ATHLETIC PD OA 08 1600 JULY 2025</t>
  </si>
  <si>
    <t>SIOCO</t>
  </si>
  <si>
    <t>UNACCOUNTED FROM NOON MESS FORMATION ON OR ABOUT 13 1205 JANUARY 2026</t>
  </si>
  <si>
    <t>GOMEZ</t>
  </si>
  <si>
    <t>AS A RESPONSIBLE MARCHER, NOT ENSURING HIS SECTION TO FORM AT THE QUEZON AVENUE FACING REGIS HALL BEFORE PROCEEDING TO SD CLASS OA 12 0820 SEPTEMBER 2025</t>
  </si>
  <si>
    <t>JIMENEZ</t>
  </si>
  <si>
    <t>WATCHING YOUTUBE DURING OC'S INSPECTION OA 22 2000 NOVEMBER 2025</t>
  </si>
  <si>
    <t>S.O. Nr 183 dtd 05 December 2025</t>
  </si>
  <si>
    <t>OFFLIMITS OA 07  0300 SEPTEMBER 2025</t>
  </si>
  <si>
    <t>NOT LOGGING IN PROPERLY AT THE DEPARTURE BOOK ON OR ABOUT 01 FEBRUARY 2026</t>
  </si>
  <si>
    <t>FERRER</t>
  </si>
  <si>
    <t>LATE FROM 3CL TUTORING OA 30 1330 AUGUST 2025</t>
  </si>
  <si>
    <t>S.O. Nr 111 dtd 01 September 2025</t>
  </si>
  <si>
    <t>DRINKING DUTCHMILL  YOGURT DRINK IN SGD 231</t>
  </si>
  <si>
    <t>ESTING PEANUTS IN SGD 231 O/A 01 1310 JULY 2025</t>
  </si>
  <si>
    <t xml:space="preserve">Nr </t>
  </si>
  <si>
    <t>MORETO</t>
  </si>
  <si>
    <t>LATE FROM 1ST PERIOD CLASS FORMATION OA 21 0650 OCTOBER 2025</t>
  </si>
  <si>
    <t>NANGCAS</t>
  </si>
  <si>
    <t>UNPLUGGED LAPTOP CHARGER OA 24 1615 JULY 2025</t>
  </si>
  <si>
    <t>AS A CCQ, SLEEPING WHILE ON POST OA 05 10000 AUGUST 2025</t>
  </si>
  <si>
    <t xml:space="preserve">
S.O. Nr 111 dtd 10 September 2025
</t>
  </si>
  <si>
    <t>DURAN</t>
  </si>
  <si>
    <t>LEAVING HIS RIFLE UNATTENDED DURING RANKS AND BARRACKS INSPECTION ON OR ABOUT 31 0830 JANUARY 2026</t>
  </si>
  <si>
    <t>ALEJANDRE</t>
  </si>
  <si>
    <t>UNACCOUNTED DURING MORNING MESS ON OR ABOUT 11 0500 JANUARY 2026</t>
  </si>
  <si>
    <t>ALIVEN</t>
  </si>
  <si>
    <t>S.O. Nr 064 dtd 11 June 2025</t>
  </si>
  <si>
    <t>LAO-ING</t>
  </si>
  <si>
    <t>UNACCOUNTED DURING MORNING MESS FORMATION OA 17 0530 MAY 2025</t>
  </si>
  <si>
    <t>ODSINADA</t>
  </si>
  <si>
    <t>BROKEN FRONT SIGHT OA 31 1720 MAY 2025</t>
  </si>
  <si>
    <t>NOT FOLLOWING SPECIFIC INSTRUCTION THAT IS NOT REPORTING TO DEPARTMENT OF AIR WARFARE OA 07 1930 AUGUST 2025</t>
  </si>
  <si>
    <t>S.O. Nr 109 dtd 09  September 2025</t>
  </si>
  <si>
    <t>DACARA</t>
  </si>
  <si>
    <t>GENERALLY UNPREPARED RIFLE OA 30 0900 AUGUST 2025</t>
  </si>
  <si>
    <t>S.O. Nr 116 dtd 18 Septmebr 2025</t>
  </si>
  <si>
    <t>DE JESUS</t>
  </si>
  <si>
    <t>UNAUTHORIZED PRESENCE INSIDE BARRCAKS OA 22 0600 OCTOBER 2025 THAT IS NOT ATTENDING SLOW DRILL PRACTICE</t>
  </si>
  <si>
    <t>AGUSTIN</t>
  </si>
  <si>
    <t>UNACCOUNTED FROM MORNING MESS FORMATION OA 12 0545 MAY 2025</t>
  </si>
  <si>
    <t>ISRAEL</t>
  </si>
  <si>
    <t>MOVING DURING FIRST CALL OF BARRACKS AND RANKS INSPECTION OA 07 0800 JUNE 2025</t>
  </si>
  <si>
    <t>PINTO</t>
  </si>
  <si>
    <t>BALQUIN</t>
  </si>
  <si>
    <t>POSSESSING BLENDER DURING OC INSPECTION OA 01 1000 JUNE 2025</t>
  </si>
  <si>
    <t>CELAJES</t>
  </si>
  <si>
    <t>UNACCOUNTED FROM SMC CADETS DUTY OA 09 JULY 2025</t>
  </si>
  <si>
    <t>MONTEFALCON</t>
  </si>
  <si>
    <t>SCAGGING WHILE COSING THE DOOR OA 17 2150 MAY 2028</t>
  </si>
  <si>
    <t>S.O. Nr 062 dtd 05  June 2029</t>
  </si>
  <si>
    <t>LABARINTO</t>
  </si>
  <si>
    <t>ABSENT DURING CONDUCT OF MAT231 EXTRA INSTRUCTION O/A 13 JULY 2025</t>
  </si>
  <si>
    <t>SCAGGING WHILE COSING THE DOOR OA 17 2150 MAY 2026</t>
  </si>
  <si>
    <t>S.O. Nr 062 dtd 05  June 2025</t>
  </si>
  <si>
    <t>BELTRAN</t>
  </si>
  <si>
    <t>VIDEOCALLING 2CL RELLEVE OA 14 0800 MARCH 2025</t>
  </si>
  <si>
    <t>DEL ROSARIO</t>
  </si>
  <si>
    <t>ABSENT FROM RELIGIOUS SPIRITUAL ENHANCEMENT DUTY OA 24 0640 AUGUST 2025</t>
  </si>
  <si>
    <t>DAMASCO</t>
  </si>
  <si>
    <t>SHOWING UNPROFESSIONAL CONDUCT AND MAKING IRRELEVANT VIDEO THA WOULD DIMINISH THE IMAGE OF PMA OA 15 APRIL 2025</t>
  </si>
  <si>
    <t>S.O. Nr 066 dtd 20 June 2025</t>
  </si>
  <si>
    <t>HONCULADA</t>
  </si>
  <si>
    <t>UNACCOUNTED DURING MORNING MESS FORMATION OA 16 0450 NOVEMBER 2025</t>
  </si>
  <si>
    <t>S.O. Nr 185 dtd 09 December 2025</t>
  </si>
  <si>
    <t>PALALIO</t>
  </si>
  <si>
    <t>SCAGGING WHILE COSING THE DOOR OA 17 2150 MAY 2029</t>
  </si>
  <si>
    <t>S.O. Nr 062 dtd 05  June 2028</t>
  </si>
  <si>
    <t>LOBETE</t>
  </si>
  <si>
    <t>13 MIN LATE FROM 5TH PERIOD CLASS OA 15 1440 AUGUST 2025</t>
  </si>
  <si>
    <t xml:space="preserve"> LATE FROM RELIGIOUS SERVICE OA 0600 JULY 2025 </t>
  </si>
  <si>
    <t>S.O. Nr 106 dtd 08  September 2025</t>
  </si>
  <si>
    <t>PONTILLO</t>
  </si>
  <si>
    <t>NOT RENDERING DAMAGE FA'S TO HTG ARMORY CUSTODIAN AFTER 72 HRS UPON NOTICE OA 14 FEBRUARY 2025</t>
  </si>
  <si>
    <t xml:space="preserve">LATE FROM RELIGIOUS SERVICE OA 0600 JULY 2025 </t>
  </si>
  <si>
    <t>CANTO</t>
  </si>
  <si>
    <t>UNACCOUNTED FROM MORNING MESS FORMATION OA 09 0530 AUGUST 2025</t>
  </si>
  <si>
    <t>HUARDE</t>
  </si>
  <si>
    <t>USING UMBRELLA WHILE ON PICNIC UNIFORM OA 24 0745 AUGUST 2025</t>
  </si>
  <si>
    <t>S.O. Nr 116 dtd 18  September 2025</t>
  </si>
  <si>
    <t>WANIA</t>
  </si>
  <si>
    <t>NOT ATTENDING FLEXIBLE EVENING MESS OA 08 OCTOBER 2025</t>
  </si>
  <si>
    <t>S.O. Nr 149 dtd 29 October 2025</t>
  </si>
  <si>
    <t>PABUNAN</t>
  </si>
  <si>
    <t>UNAUTHORIZED HANGING AT THE WINDOW THAT CAN BES EEN OUTSIDE THE BARRACKS OA 09 1345 OCTOBER 2025</t>
  </si>
  <si>
    <t>S.O. Nr 148 dtd 29 October 2025</t>
  </si>
  <si>
    <t>PERCIL</t>
  </si>
  <si>
    <t>NOT ATTENDING DUTY FOR NOON MESS OA 13 1130 JULY 2025</t>
  </si>
  <si>
    <t>CALINGACION</t>
  </si>
  <si>
    <t>ACCESSING YOUTUBE DURING ECTQ OA 28 2100 JULY 2025</t>
  </si>
  <si>
    <t>ABSENT FROM DUTY DURING NCBN EVENING MESS OA 10 AUGUST 2025</t>
  </si>
  <si>
    <t>BOLINGET</t>
  </si>
  <si>
    <t>SCAGGING WHILE COSING THE DOOR OA 17 2150 MAY 2027</t>
  </si>
  <si>
    <t>S.O. Nr 062 dtd 05  June 202</t>
  </si>
  <si>
    <t>CABANAYAN</t>
  </si>
  <si>
    <t>UNACCOUNTED FROM EVENING MESS FORMATION OA 13 1630 JULY 2025</t>
  </si>
  <si>
    <t>DABALOS</t>
  </si>
  <si>
    <t>SLEEPING DURING POSTING OA 04 2300 JULY 2025</t>
  </si>
  <si>
    <t>S.O. Nr 095 dtd 06 August 2025</t>
  </si>
  <si>
    <t>EATING PEANUTS IN SGD231 CLASS OA 10 1310 JULY 2025</t>
  </si>
  <si>
    <t>SLEEPING WITH ANOTHER CADET OA 29 JUNE 2025</t>
  </si>
  <si>
    <t>GAMAO</t>
  </si>
  <si>
    <t>LATE FROM ASSEMBLY CALL OF RI/BI FORMATION OA 29 JUNE 2025</t>
  </si>
  <si>
    <t>JANDONERO</t>
  </si>
  <si>
    <t>NOT FOLLOWING INSTRUCTIONS THAT IS INSISTING TO USE VACANT ROOMS INTENDED FOR VISITORS OA  18 OCTOBER 2025</t>
  </si>
  <si>
    <t xml:space="preserve">MOJICA </t>
  </si>
  <si>
    <t>NOT POSTING AS A 5TH RELIEF SENTINEL OA 18 0750 OCTOBER 2025</t>
  </si>
  <si>
    <t>UNACCOUNTED DURING INC RELIGOUS SERVICE O/A 13 0530 JULY 2025</t>
  </si>
  <si>
    <t>ACCESSING YOUTUBE DURING TAPS OA 30 2325H JULY 2025</t>
  </si>
  <si>
    <t>BENITEZ</t>
  </si>
  <si>
    <t>SIBAL</t>
  </si>
  <si>
    <t>SLEEPING WITH ANOTHER CADET OA 03 0330 SEPTEMBER 2025</t>
  </si>
  <si>
    <t>S.O Nr 119 dtd 18 September 2025</t>
  </si>
  <si>
    <t>ABSENT FROM ATHLETIC PERIOD OA 14 1600 JULY 2025</t>
  </si>
  <si>
    <t>PLAYING MOBILE GAMES DURING ECTQ OA 20 2005 JULY 2025</t>
  </si>
  <si>
    <t>ANDRADA</t>
  </si>
  <si>
    <t>DISPLAYING CIVILIAN ITEMS THAT IS WE BARE BEARS OA 28 1415 AUGUST 2025</t>
  </si>
  <si>
    <t>VAPING INSIDE SINK AREA, 2nd FLOOR, MAYO HALL, ANNEX OA 27 JULY 2025</t>
  </si>
  <si>
    <t>S.O. Nr 095 dtd 08 August 2025</t>
  </si>
  <si>
    <t>TUMAPANG</t>
  </si>
  <si>
    <t>UNACCOUNTED DURING CAMP PROFICIENCY PD OA 02 JULY 2025</t>
  </si>
  <si>
    <t>DERILO</t>
  </si>
  <si>
    <t>POSESSING VAPE DURING RANKS AND BARRACKS INSPECTION OA 30 0840 AUGUST 2025</t>
  </si>
  <si>
    <t>S.O. Nr 119 dtd 18  September 2025</t>
  </si>
  <si>
    <t>CARIASO</t>
  </si>
  <si>
    <t>NOT ATTENDING FLEXIBLE EVENING MESS OA 21 1900 AUGUST 2025</t>
  </si>
  <si>
    <t>AS A RESPONSIBLE CCQ, NOT EXECUTING FLAG RAISING PROPERLY, THAT CAUSE DELAY ON RAISING OF FLAG OA 06 0530 AUGUST 2025</t>
  </si>
  <si>
    <t>NOVELA</t>
  </si>
  <si>
    <t>ABSENT FROM 4CL DISMOUNTED DRILL OA 13 1000 JULY 2025</t>
  </si>
  <si>
    <t>UNAUTHORIZED PRESENCE INSIDE BARRACKS OA 26 0830 SEPTEMBER 2025 DURING STO'S INSPECTION OA 26 SEPTEMBER 2025</t>
  </si>
  <si>
    <t xml:space="preserve">
NOT RENDERING DAMAGE OF ISSUED FA'S TO THE HTG ARMORY CUSTODIAN AFTER 72 HRS UPON NOTICE OA 14 FEBRUARY 2025
</t>
  </si>
  <si>
    <t>DUERO</t>
  </si>
  <si>
    <t>NOT ATTENDING THEIR RESPECTIVE RELIGIOUS SERVICE DURING SUNDAY SERVICE OA 13 0540 JULY 2025</t>
  </si>
  <si>
    <t>EVANGELISTA</t>
  </si>
  <si>
    <t>ACCESSING TELEGRAM AFTER TAPS OA 09 2310 OCTOBER 2025</t>
  </si>
  <si>
    <t>ORDERING 4CL CADETS TO CARRY HIM OA  09 1100 OCTOBER 2025</t>
  </si>
  <si>
    <t>DOZING DURING GUARD POSTING OA 06 1700 SEPTEMBER 2025</t>
  </si>
  <si>
    <t>PIANO</t>
  </si>
  <si>
    <t>ABSENT FROM MORNING MESS OA 31 0540 AUGUST 2025</t>
  </si>
  <si>
    <t>AS A GUARD, ACCESSING FACEBOOK O/A 01 1200 JULY 2025</t>
  </si>
  <si>
    <t>OFFLIMITS OA 0017 0300 SEPTEMBER 2025</t>
  </si>
  <si>
    <t>KWAN TIU</t>
  </si>
  <si>
    <t>LATE FROM MORNING MESS FORMATION OA  16 0520 OCTOBER 2025</t>
  </si>
  <si>
    <t>AS A RESPONSIBLE FIRST-CLASS CADET, NOT FOLOWING SPECIFIC INSTRUCTIONS FROM THE HEAD, DNW OA 25 SETEMBER 2025</t>
  </si>
  <si>
    <t>S.O. Nr 165 dtd 24  November 2025</t>
  </si>
  <si>
    <t xml:space="preserve">LATE FROM MORNING MESS FORMATION OA 0450 OCTOBER 2025 </t>
  </si>
  <si>
    <t>RESURRECCION</t>
  </si>
  <si>
    <t>FAILURE TO TAKE THE MANDATORY DRUG TEST DESPITE REPEATED ANNOUNCEMENT OA 07 NOVEMBER 2025</t>
  </si>
  <si>
    <t>S.O. Nr 167 dtd 26 November 2025</t>
  </si>
  <si>
    <t>MANALO</t>
  </si>
  <si>
    <t>KOZIEJ</t>
  </si>
  <si>
    <t>LEAVING PLUG LAPTOP O/A 25 0030 JULY2025</t>
  </si>
  <si>
    <t>S.O. Nr 111 dtd 01 september 2025</t>
  </si>
  <si>
    <t>APPLYING SUNCREEN WHILE IN CLASS IN SGD 231 O/A 24 0930 JUNE 2025</t>
  </si>
  <si>
    <t>S.O. Nr 111 dtd 01 september 2026</t>
  </si>
  <si>
    <t>GOING ON DUTY WHILE HAVING PLUGGED LAPTOP O/A 26 1310 JULY 2025</t>
  </si>
  <si>
    <t>S.O. Nr 111 dtd 01 september 2027</t>
  </si>
  <si>
    <t>LEAVING PLUG LAPTOP WHILE SLEEPING OA 20 0030 JULY 2025</t>
  </si>
  <si>
    <t>ABSENT FROM 3CL BATCH 1 TUTORING DUTY OA 05 1550 AUGUST 2025</t>
  </si>
  <si>
    <t>PLANILLA</t>
  </si>
  <si>
    <t>2 MINS LATE FROM 4TH PD CLASS OA 09 JULY 2025</t>
  </si>
  <si>
    <t>S.O. Nr 111 dtd 01 september 2028</t>
  </si>
  <si>
    <t>CAMAROTE</t>
  </si>
  <si>
    <t>USING LAPTOP ON TOP OF BUNKS AFTER TAPS DURING OC'S INSPECTION OA 15 0005H JULY 2025</t>
  </si>
  <si>
    <t>USING UNAUTHORIZED SITE AFTER TAPS DURING OC'S INSPECTION OA 15 0005 JULY 2025</t>
  </si>
  <si>
    <t>GENERALLY UNPREPARED DURING BARRACKS INSPECTION OA 14 0750 JUNE 2025</t>
  </si>
  <si>
    <t>WITHHOLDING DELINQUENCY REPORT OA 09 1900 JUNE 2025</t>
  </si>
  <si>
    <t>NOT OBSERVING CLASSROOM PROCEDURES THAT IS MAKING UNNECESSARY COMMENTS IN FRONT OF THE INSTRCUTOR OA 15 1040 OCTOBER 2025</t>
  </si>
  <si>
    <t>ESPALDON</t>
  </si>
  <si>
    <t>MAKING EXCESSIVE NOISE AND CAUSING COMMOTION DURING TAPS OA 07 0330 SEPTEMBER 2025</t>
  </si>
  <si>
    <t>DISRESPECTING THE GUARD THAT IS VAPING IN FRONT OF THE CCHC OA 23 1830 MAY 2025</t>
  </si>
  <si>
    <t>USING SMARTPHONE WHILE ENTERTAINING IN THE MHAANS OA 23 1300 MAY 2025</t>
  </si>
  <si>
    <t>WITHHOLDING DELINQUENCY REPORT OA 26 2100 AUGUST 2025</t>
  </si>
  <si>
    <t>MONTENEGRO</t>
  </si>
  <si>
    <t>NOT ATTENDING SILENT DRILL PRACTICE OA 04 1400 OCTOBER 2025</t>
  </si>
  <si>
    <t>YUMOL</t>
  </si>
  <si>
    <t>AS A RESPONSIBLE PLEBE DETAIL, DOING UNAUTHORIZED THING THAT IS WATCHING ANIME OA 10 0910 JULY 2025</t>
  </si>
  <si>
    <t>UNAUTHORIZED PRESENCE OA 13 1200 JULY 2025</t>
  </si>
  <si>
    <t>ANGULUAN</t>
  </si>
  <si>
    <r>
      <rPr>
        <rFont val="Arial"/>
      </rPr>
      <t xml:space="preserve">ACCESSING UNUATHORIZED WEBSITE AFTER TAPS THAT IS OPENING </t>
    </r>
    <r>
      <rPr>
        <rFont val="Arial"/>
        <color rgb="FF1155CC"/>
        <u/>
      </rPr>
      <t>RAGENSCANS.COM</t>
    </r>
    <r>
      <rPr>
        <rFont val="Arial"/>
      </rPr>
      <t xml:space="preserve"> AND FACBOOK DURING OC'S INSPECTION OA 25 0030 JULY 2025</t>
    </r>
  </si>
  <si>
    <t>27 MIN LATE FROM 3RD PERIOD CLASS OA 23 1047 SEPTEMBER 2025</t>
  </si>
  <si>
    <t>LATE FROM MORNING MESS OA 28 0545 SEPMTEMBER 2025</t>
  </si>
  <si>
    <t>LACTUD</t>
  </si>
  <si>
    <t>UNACCOUNTED DURING 2ND PERIOD CLASS FORMATION OA 16 1910 SEPTEMBER 2025</t>
  </si>
  <si>
    <t>MACROHON</t>
  </si>
  <si>
    <t>UNACCOUNTED DURING 2ND PERIOD CLASS FORMATION OA 16 1920 SEPTEMBER 2025</t>
  </si>
  <si>
    <t>CADET UNBECOMING THAT IS SPITTING IN FRONT OF MELCHOR HALL DURING 4TH PERIOD CLASS FORMATION OA 24 1030 SEPTEMBER 2025</t>
  </si>
  <si>
    <t>LATE FROM 4CL EVENING MESS OA 13 1745 OCTOBER 2027</t>
  </si>
  <si>
    <t>S.O. Nr 157 dtd 12 November 2027</t>
  </si>
  <si>
    <t>URELLAN</t>
  </si>
  <si>
    <t>ABSENT FROM ARRIVAL HONORS OA 06 0730 SEPTEMBER 2025</t>
  </si>
  <si>
    <t>GUISADIO</t>
  </si>
  <si>
    <t>UNACCOUNTED DURING CORP FORMATION OA 29 0520 OCTOBER 2025</t>
  </si>
  <si>
    <t>BABANTO</t>
  </si>
  <si>
    <t>LATE FROM TAPS INSPECTION OA 29 2200 OCTOBER 2025</t>
  </si>
  <si>
    <t>TALKING WHILE TAKING EXAM OA 16 1540 JUNE 2025</t>
  </si>
  <si>
    <t>NOT ATTENDING THE FLEXIBLE EVENING MESS OA 21 1900 AUGUST 2025</t>
  </si>
  <si>
    <t>UNACCOUNTED FOR MORNING MESS FORMATION ON OR ABOUT 22 0600 JANUARY 2026</t>
  </si>
  <si>
    <t>SLEEPING AS POSTED GUARD OA 19 0740 OCTOBER 2025</t>
  </si>
  <si>
    <t>USING FACEBOOK AS A GUARD OA 04 1335 SEPNTEMBER 2025 DURING STO'S INSPECTION</t>
  </si>
  <si>
    <t>INTING</t>
  </si>
  <si>
    <t>POSSESSING AND USING CELLPHONE DURING ECTQ AS A GUARD OA 02 2030 JUNE 2025</t>
  </si>
  <si>
    <t>USING FACEBOOK DURING STUDY PERIOD OA 05 2035 OCTOBER 2025</t>
  </si>
  <si>
    <t>S.O. Nr 153 dtd 07 November 2025</t>
  </si>
  <si>
    <t>NOT PROPERLY ACCOMPLISHING DEPARTURE BOOK ON OR BEFORE 01 1751 FEBRUARY 2026</t>
  </si>
  <si>
    <t>ACCESSING FACEBOOK DURING OC'S INSPECTION OA 15 1930H NOVEMBER 2025</t>
  </si>
  <si>
    <t>S.O. Nr 184 dtd 05 December 2025</t>
  </si>
  <si>
    <t xml:space="preserve">ECHO COMPANY PUNISHMENT MONITORING LIST </t>
  </si>
  <si>
    <t>F/SGT: CDT 2CL JOMEL G MACAS 'E' Co CCAFP</t>
  </si>
  <si>
    <t xml:space="preserve">ESCALANTE </t>
  </si>
  <si>
    <t>POSSESSING UNREGISTERED SMARTPHONE O/A 21 0600 JANUARY 2026</t>
  </si>
  <si>
    <t>S.O. Nr. 17 dtd 23 JANUARY 2025</t>
  </si>
  <si>
    <t>UNAUTHORIZED PRESENCE INSIDE BARRACKS THAT IS NOT ATTENDING MORNING MESS O/A 21 0600 JANUARY 2026</t>
  </si>
  <si>
    <t>SALEM</t>
  </si>
  <si>
    <t>SLEEPING WITH ANOTHER CADET OF OPPOSITE SEX</t>
  </si>
  <si>
    <t>POSSESSING UNAUTHORIZED SMARTPHONE DURING OC INSPECTION ON OR ABOUT 28 2240 JANUARY 2026</t>
  </si>
  <si>
    <t>S.O. Nr 35 dtd 26 February 2028</t>
  </si>
  <si>
    <t>ILUMIN</t>
  </si>
  <si>
    <t>POSSESING SNARTPHONE O/A 25 0045 ONVEMBER 2025</t>
  </si>
  <si>
    <t>S. O. Nr. 214 dtd 19 December 2025</t>
  </si>
  <si>
    <t>ALBERTO</t>
  </si>
  <si>
    <t>UNAUTHORIZED PRESENCE INSIDE BARRACKS DURING INTRAMURALS GAMES O/A 25 0990 SEPTEMBER 2025</t>
  </si>
  <si>
    <t>S. O. Nr 140 dtd 22 October 2025</t>
  </si>
  <si>
    <t>LATE FROM 2CL DUTY O/A 05 2130 OCTOBER 2025</t>
  </si>
  <si>
    <t>S. O. Nr 142 dtd 23 October 2025</t>
  </si>
  <si>
    <t>UNACCOUNTED DURING CAMP FORMATION O/A 19 1600 OCTOBER 2025</t>
  </si>
  <si>
    <t>S. O. Nr 171 dtd 28 November 2025</t>
  </si>
  <si>
    <t>BOGADOR</t>
  </si>
  <si>
    <t>POSSESSING HEATGUN DURING OC'S INSPECTION O/A 17 2109 AUGUST 2025</t>
  </si>
  <si>
    <t>S.O. Nr 121 dtd 19 September 2033</t>
  </si>
  <si>
    <t>UNAUTHORIZED PRESENCE INSIDE BARRACKS THAT IS NOT ATTENDING RELIGIOUS SERVICE O/A 19 OCTOBER 2025</t>
  </si>
  <si>
    <t>S. O. Nr 161 dtd 17 November 2025</t>
  </si>
  <si>
    <t>UNACCOUNTED FROM EVENING MESS FORMATION O/A 19 1630H JULY 2025</t>
  </si>
  <si>
    <t>S.O. Nr 103 dtd 03 September 2025</t>
  </si>
  <si>
    <t>HAVING UNAUTHORIZED ITEM THAT IS POCKET WIFI ON OR ABOUT 28 2315 JANUARY 2026</t>
  </si>
  <si>
    <t>S.O. Nr 43 dtd 11 March 2026</t>
  </si>
  <si>
    <t>BOTIGAN</t>
  </si>
  <si>
    <t>PLAYING COMPUTER GAMES OA 12 JUNE 2025</t>
  </si>
  <si>
    <t>PLAYING ONLINE GAMES DURING AOC'S INSPECTION 21 2035 SEPTEMBER 2025</t>
  </si>
  <si>
    <t>S.0. Nr 137 dtd 20 October 2025</t>
  </si>
  <si>
    <t>CATACUTAN</t>
  </si>
  <si>
    <t>TWO MINUTES LATE FROM TERMINATION OF UPPERCLASS OVERNIGHT ON OR ABOUT 25 1902 DECEMBER 2025</t>
  </si>
  <si>
    <t>S.O. Nr 35 dtd 26 February 2026</t>
  </si>
  <si>
    <t>UNACCOUNTED DURING DISMOUNTED DRILL FORMATION O/A 13 1000 JULY 2025</t>
  </si>
  <si>
    <t>S.O. Nr 107 dtd 8 September 2028</t>
  </si>
  <si>
    <t>PACAO</t>
  </si>
  <si>
    <t>ABSENT FROM NOON MESS O/A 08 1200 NOVEMBER 2025</t>
  </si>
  <si>
    <t>S. O. Nr 167 dtd 26 November 2025</t>
  </si>
  <si>
    <t>ABSENT FROM MORNING MESS O/A 16 0450 NOVEMBER 2025</t>
  </si>
  <si>
    <t>S. O. Nr 178 dtd 28 November 2025</t>
  </si>
  <si>
    <t>AS A HOLDING CENTER CADET, ENTERTAINING HIS VISITOR ON OR ABOUT 24 1630 JANUARY 2026 WITHOUT PERMISSION FROM THE OFFICER-IN-CHARGE</t>
  </si>
  <si>
    <t>CENIZA</t>
  </si>
  <si>
    <t>AS A VERY RESPONSIBLE 2CL CADET, CONDUCT UNBECOMING OF A CADET - THAT IS NAGDABOG HE BANGED HIS HAT ON TIP OF THE TABLE WHILE CD WAS SEVERELY SCOLDING HIM &amp; HIS SEATMATES FOR A PRIOR INCIDENT THAT MADE CD VERY ANGRY IN INS331 O/A 08 1040 - 1150 JULY 2025</t>
  </si>
  <si>
    <t>S.O. Nr 101 dtd 02 September 2025</t>
  </si>
  <si>
    <t>ACCESSING SOCIAL MEDIA PLATFORM AS A GUARD O/A 12 2030 NOVEMBER 2025</t>
  </si>
  <si>
    <t>S. O. Nr 186 dtd 09 December 2025</t>
  </si>
  <si>
    <t>CERVANTES</t>
  </si>
  <si>
    <t>UNAUTHORIZED PRESENCE INSIDE BARRACKS DURING AOC'S INSPECTION O/A 25 1500 SEPTEMBER 2025</t>
  </si>
  <si>
    <t>CUNTAPAY</t>
  </si>
  <si>
    <t>NOT ATTENDING SMC DUTY O/A 29 0500 JULY 2025</t>
  </si>
  <si>
    <t>GALLAZA</t>
  </si>
  <si>
    <t>NOT ATTENDING DUTY FOR NOON MESS O/A 13 1130H JULY 2025</t>
  </si>
  <si>
    <t>S.O. Nr 094 dtd 14 August 2025</t>
  </si>
  <si>
    <t>UNAUTHORIZED POSSESSION OF WIFI DURING OC'S INSPECTION O/A 20 2300 JULY 2025</t>
  </si>
  <si>
    <t>LATORRE</t>
  </si>
  <si>
    <t>AS A VERY RESPONISBLE 2CL CADET, FAILURE TO FOLLOW PROPER CLASSROOM PROCEDURE &amp; EXHIBITED DISREPSECT TO PROFESSOR/CD - THAT IS, SHE AND OTHER CADETS KEPT TALKING &amp; LAUGHING AT THEIR SEATS EVEN AFTER BEING REMINDED OF EXAM PROCEDURES &amp; UE PAPERS ALREADY BEING DISTIBUTED IN INS331 O/A 08 1040 - 1150 JULY 2025</t>
  </si>
  <si>
    <t>MUNAR</t>
  </si>
  <si>
    <t>S.O. Nr 097 dtd 19 August 2025</t>
  </si>
  <si>
    <t>UNACCOUNTED FROM ECHO COMPANY NIGHT FORMATION O/A 17 1600 AUGUST 2025</t>
  </si>
  <si>
    <t>S.O. Nr 122 dtd 19 September 2033</t>
  </si>
  <si>
    <t xml:space="preserve">MUNAR </t>
  </si>
  <si>
    <t>PLAYING VALORANT PASSIONATELY AFTER TAPS O/A 04 2300 NOVEMBER 2025</t>
  </si>
  <si>
    <t>USING SMARTPHONE DURING OCS INSPECTION OA 14 1400H MAY 2025</t>
  </si>
  <si>
    <t>S.O. Nr 052 dtd 18 May 2025</t>
  </si>
  <si>
    <t>ORSOLINO</t>
  </si>
  <si>
    <t>POSSESSING HEATGUN DURING OC'S INSPECTION O/A 17 2100 AUGUST 2025</t>
  </si>
  <si>
    <t>UNACCOUNTED FROM MORNING MESS O/A 06 0630 OCTOBER 2025</t>
  </si>
  <si>
    <t>ABSENT FROM NOON MESS FORMATION O/A 14 1205 JULY 2025</t>
  </si>
  <si>
    <t>S.O. Nr 107 dtd 8 September 2033</t>
  </si>
  <si>
    <t>RAMIREZ</t>
  </si>
  <si>
    <t>NON-SUBMISSION OF ASSIGNMENT IN AFS 332 O/A 09 1430 OCTOBER 2025</t>
  </si>
  <si>
    <t>ROSARIO</t>
  </si>
  <si>
    <t>S.O. Nr 095 dtd 14 August 2025</t>
  </si>
  <si>
    <t>UNACCOUNTED FROM 1ST PERIOD CLASS O/A 12 0770 SEPTEMBER 2025</t>
  </si>
  <si>
    <t>S.O Nr 138 dtd 20 October 2025</t>
  </si>
  <si>
    <t>PLAYING GAMES DURING UNATHORIZED PERIOD O/A 20 2450 SEPTEMBER 2025</t>
  </si>
  <si>
    <t>UNAUTORIZED INSIDE BARRACKS THAT IS NOT ATTENDING DUTY BY HIDING UNDER BUNKS O/A 26 0705 OCTOBER 2025</t>
  </si>
  <si>
    <t>PLAYING VIDEOGAMES AFTER TAPS ON OR ABOUT 25 JANUARY 2026</t>
  </si>
  <si>
    <t>S.O. Nr 35 dtd 26 February 2027</t>
  </si>
  <si>
    <t>SALAZAR</t>
  </si>
  <si>
    <t>UNAUTHORIZED PRESENCE INSIDE BARRACKS THAT IS NOT ATTENDING RELIGIOUS SERVICE O/A 19 OCTOBER 2028</t>
  </si>
  <si>
    <t>ACCESSING FACEBOOK DURING ECTQ O/A 07 1930 OCTOBER 2025</t>
  </si>
  <si>
    <t>S. O. Nr 145 dtd 23 October 2025</t>
  </si>
  <si>
    <t>AS A 3RD RELIEF SENTINEL 10 MINS LATE FROM POSTING O/A 24 0025 OCTOBER 2025</t>
  </si>
  <si>
    <t>SATURNINO</t>
  </si>
  <si>
    <t xml:space="preserve"> MISPLACED BLUE SHEET O/A 25 2055 OCTOBER 2025</t>
  </si>
  <si>
    <t>SOCIAS</t>
  </si>
  <si>
    <t>UNACCOUNTED DURING MORNING MESS 16 0450 NOVEMBER 2025</t>
  </si>
  <si>
    <t>SOGO-AN</t>
  </si>
  <si>
    <t>VILLANUEVA</t>
  </si>
  <si>
    <t>POQUITA</t>
  </si>
  <si>
    <t>UNAUTHORIZED POSSESSION OF SMARTPHONE DURING OC'S INSPECTION O/A 24 1140 JULY 2025</t>
  </si>
  <si>
    <t xml:space="preserve">POQUITA </t>
  </si>
  <si>
    <t>OFF LIMITS THAT IS GOING TO FEMALE HOLDING CENTER BARRACKS O/A 12 1330 OCTOBER 2025</t>
  </si>
  <si>
    <t>AGUTAYA</t>
  </si>
  <si>
    <t>POSSESSING VAPE DURING AOC'S INSPECTION O/A 20 2300 FEBRUARY 2026</t>
  </si>
  <si>
    <t>S. O. Nr. 48 dtd 26 ,March 2026</t>
  </si>
  <si>
    <t>DE GUZMAN</t>
  </si>
  <si>
    <t>POSSESSING VAPE ON OR ABOUT 28 2330 JANUARY 2026</t>
  </si>
  <si>
    <t>S.O. Nr 35 dtd 26 February 2030</t>
  </si>
  <si>
    <t>ACCESSING FACEBOOK AFTER TAPS O/A 20 2300 FEBRUARY 2026</t>
  </si>
  <si>
    <t xml:space="preserve">S. O. Nr 50 dtd 30 March 2026 </t>
  </si>
  <si>
    <t>MACAS</t>
  </si>
  <si>
    <t>1 HOUR AND 30 MINS LATE FROM PUNISHMENT DUTY O/A 05 1300 OCTOBER 2025</t>
  </si>
  <si>
    <t>BAET</t>
  </si>
  <si>
    <t>ACCESSING UNAUTHORIZED WEBSITE HAT IS FACEBOOK DURING OC INSPECTION ON OR ABOUT 28 2240 JANUARY 2026</t>
  </si>
  <si>
    <t>S.O. Nr 35 dtd 26 February 2029</t>
  </si>
  <si>
    <t>VIDEO CALLING AFTER TAPS DURING AOC'S INSPECTION 0/A 20 2300 FEBRUARY 2026</t>
  </si>
  <si>
    <t>ACCESSING MANGA AFTER TAPS O/A 06 2250 JANUARY 2026</t>
  </si>
  <si>
    <t>AVILA</t>
  </si>
  <si>
    <t>BROKEN FRONT SIGHT OA 13 JUNE 2025</t>
  </si>
  <si>
    <t>LATE FROM RELIGIOUS SERVICE OA 04 0640 MAY 2025</t>
  </si>
  <si>
    <t>S.O. Nr 076 dtd 08 July 2025</t>
  </si>
  <si>
    <t>UNAUTHORIZED PRESENCE INSIDE BARRACKS DURING INTRAMURALS GAMES O/A 25 1330 SEPTEMBER 2025</t>
  </si>
  <si>
    <t>ACCESSING FACEBOOK AFTER TAPS THAT IS VIDEO CALLIN HIS GIRLFRIEND O/A 20 2300 JULY 2025</t>
  </si>
  <si>
    <t>AS A CCQ ABANDONING POST WHILE LETTING HIS ACCQ UTILIZE THE SINK O/A 28 0950 OCTOBER 2025</t>
  </si>
  <si>
    <t>AS A CCQ, ABANDONING HIS POST THAT IS SLEEPING O/A 10 0730 JANUARY 2026</t>
  </si>
  <si>
    <t>BERCASIO</t>
  </si>
  <si>
    <t>6 MIN LATE FROM TERMINATION ON PRIVILEGE O/A 21 1906 SEPTEMBER 2025</t>
  </si>
  <si>
    <t>CARONAN</t>
  </si>
  <si>
    <t>LOST SING OF M16 RIFLE OA 04 MAY 2025</t>
  </si>
  <si>
    <t>AS A GUARD SLEEPING AT THE CADET-IN-CHARGE OF QUARTERS STATION O/A 12 1445 AUGUST 2025</t>
  </si>
  <si>
    <t xml:space="preserve">CASTRO </t>
  </si>
  <si>
    <t>LOST RETAINING PIN FIRING PIN OA 04 MAY 2025</t>
  </si>
  <si>
    <t>CUDIAMAT</t>
  </si>
  <si>
    <t>NOT ATTENDING RELIGIOUS SERVICE O/A 14 0730 SEPTEMBER 2025</t>
  </si>
  <si>
    <t>S.O Nr 138 dtd 20 October 2026</t>
  </si>
  <si>
    <t>AS A RESPONSIBLE 3CL CADET, NOT SERVING AS A ROLE MODEL OF 4CL CADET THAT IS HORSE PLAYING IN FRONT OF ARCIAGA AVE WHILE IN FORMATION O/A 02 1010 OCTOBER 2025</t>
  </si>
  <si>
    <t>VIDEOCALLING WITH HIS GORLFRIEND AFTER TAPS O/A 06 2250 JANUARY 2026</t>
  </si>
  <si>
    <t>RECIDIVISM THAT IS NOT SUBMITTING 4 GPS IN MAT231 AS OF 10 JULY 2025 RESULTING IN UNDESIRABLE HABIT</t>
  </si>
  <si>
    <t>DE VENANCIO</t>
  </si>
  <si>
    <t>DELA PENA</t>
  </si>
  <si>
    <t>NOT SIGNING ON THE COY DEPARTURE BOOK AFTER BREAK OA 27 MAY 2025</t>
  </si>
  <si>
    <t>CONDUCTING PUNISHMENT INSIDE ROOM ON OR ABOUT 27 0700 JANUARY 2026</t>
  </si>
  <si>
    <t>FORBES</t>
  </si>
  <si>
    <t xml:space="preserve">FORBES </t>
  </si>
  <si>
    <t>UNAUTHORIZED INSIDE BARRACKS O/A 14 0730 OCTOBER 2025</t>
  </si>
  <si>
    <t>S. O. Nr 162 dtd 17 November 2025</t>
  </si>
  <si>
    <t>UNACCOUNTED DURING CORPS ATHLETIC PERIOD O/A 03 1600 JULY 2025</t>
  </si>
  <si>
    <t>S.O. Nr 107 dtd 8 September 2030</t>
  </si>
  <si>
    <t>UNACCOUNTED DURING 3CL FATIGUE DUTY FORMATION O/A 06 1030 JULY 2025</t>
  </si>
  <si>
    <t>S.O. Nr 107 dtd 8 September 2031</t>
  </si>
  <si>
    <t>NOT ATTENDING FLEXIBLE EVENING MESS O/A 24 1848 JULY 2025</t>
  </si>
  <si>
    <t>MAKING THE 4CL REPORT TO 3CL BUDDIES ON OR ABOUT 27 0700 JANUARY 2026</t>
  </si>
  <si>
    <t>ILANO</t>
  </si>
  <si>
    <t>LATE FROM POSTING AS 4TH RELIEF SENTINEL O/A 31 0210 JULY 2025</t>
  </si>
  <si>
    <t>S.O. Nr 114 dtd 16 September 2025</t>
  </si>
  <si>
    <t>IRLANDA</t>
  </si>
  <si>
    <t>UNAUTHORIZED INSIDE BARRACKS THAT IS NOT ATTENDING DUTY O/A 26 0730 OCTOBER 2025</t>
  </si>
  <si>
    <t>POSSESSING POCKET WIFI O/A 13 2330 NOVEMBER 2025</t>
  </si>
  <si>
    <t>LAYONES</t>
  </si>
  <si>
    <t>POSSESSING UNAUTHORIZED ITEM THAT IS CLIP FAN O/A 20 2300 JULY 2025</t>
  </si>
  <si>
    <t>LEONOR</t>
  </si>
  <si>
    <t>SLEEPING WITH ANOTHER CADET DURING STUDY PERIOD O/A 25 1450 SEPTEMBER 2025</t>
  </si>
  <si>
    <t>LOMUGDANG</t>
  </si>
  <si>
    <t>POSSESSING VAPE DURING TAC-O'S INSPECTION O/A 31 0900 JULY 2025</t>
  </si>
  <si>
    <t>RECIDIVISM THAT IS NOT SUBMITTING 8 GPS IN MAT231 AS OF 10 JULY 2025, RESULTING TO UNDESIRABLE HABIT</t>
  </si>
  <si>
    <t>ACCESSING INSTAGRAM DURING OC'S INSPECTION O/A 28 2145 JUNE 2025</t>
  </si>
  <si>
    <t>S.O. Nr 107 dtd 8 September 2032</t>
  </si>
  <si>
    <t xml:space="preserve">MACLANG </t>
  </si>
  <si>
    <t>ACCESSING TIKTOK AFTER TAPS O/A 13 2330 NOVEMBER 2025</t>
  </si>
  <si>
    <t>NAVARRO</t>
  </si>
  <si>
    <t>UNACCOUNTED FROM CORPS ATHLETIC PERIOD O/A 03 1600 JULY 2025</t>
  </si>
  <si>
    <t>S.O. Nr 076 dtd 08 July 2026</t>
  </si>
  <si>
    <t>UNACCOUNTED FROM CAMP PROFICIENCY PERIOD FOR NON-BREAKER CADETS 0/A 31 1600 OCTOBER 2025</t>
  </si>
  <si>
    <t>PAMBID</t>
  </si>
  <si>
    <t>ACCESSING FACEBOOK AFTER TAPS DURING OC'S INSPECTION O/A 04 0040 JULY 2025</t>
  </si>
  <si>
    <t>PASION</t>
  </si>
  <si>
    <t>REYES</t>
  </si>
  <si>
    <t>TIMSAN</t>
  </si>
  <si>
    <t>VALENCIA JM</t>
  </si>
  <si>
    <t>POSSESING POCKET WIFI DURING  ECTQ O/A 21 2050 OCTOBER 2025</t>
  </si>
  <si>
    <t>S. O. Nr 168 dtd 26 Nove&lt;ber 2025</t>
  </si>
  <si>
    <t>VALENCIA LAA</t>
  </si>
  <si>
    <t>ACCESSING FACEBOOK O/A 04 1330 NOVEMBER 2025</t>
  </si>
  <si>
    <t>COOKING FRIES AND POSSESING AIR FRYER O/A 14 0015 NOVEMBER 2025</t>
  </si>
  <si>
    <t>S. O. Nr 168 dtd 26 Noveber 2025</t>
  </si>
  <si>
    <t>VICLAR</t>
  </si>
  <si>
    <t>POSSESING HEATER O/A 18 0850 OCTOBER 2025</t>
  </si>
  <si>
    <t>NOT ATTENDING RANKS INSPECTION O/A 21 0810 JUNE 2025</t>
  </si>
  <si>
    <t>AGGABAO</t>
  </si>
  <si>
    <t>LATE FROM EVENING MESS FORMATION O/A 29 1800 SEPTEMBER 2025</t>
  </si>
  <si>
    <t>REPOLLO</t>
  </si>
  <si>
    <t xml:space="preserve">DOING UNAUTHORIZE THINGS THAT IS </t>
  </si>
  <si>
    <t>CARABIO</t>
  </si>
  <si>
    <t>NOT FOLLOWING SPECIFIC INSTRUCTIONS THAT IS ARRIVING IN CLASS FORMATION 20 MINS BEFORE FIRST CALL ON OR ABOUT  21 1240 JANUARY 2026</t>
  </si>
  <si>
    <t>ABSENT FROM CATHOLIC CADET MASS O/A 24 2000 DECEMBER 2025</t>
  </si>
  <si>
    <t>FIVE MINUTES LATE FROM STUDY PERIOD 20 1305 MARCH 2026</t>
  </si>
  <si>
    <t>S.O. Nr 55 dtd 17 April 2026</t>
  </si>
  <si>
    <t>ANTIMANO</t>
  </si>
  <si>
    <t>S. O. Nr 172 dtd 28 November 2025</t>
  </si>
  <si>
    <t>ARNAIZ</t>
  </si>
  <si>
    <t xml:space="preserve"> LATE DURING RELIGIOUS SPIRITUAL ENHANCEMENT DUTY O/A 07 0640 SEPTEMBER 2025</t>
  </si>
  <si>
    <t>S.O Nr 132 dtd 13 October 2025</t>
  </si>
  <si>
    <t>BELLEZA</t>
  </si>
  <si>
    <t>BRAGA</t>
  </si>
  <si>
    <t>LATE FROM RELIGIOUS SERVICE FORMATION O/A 26 0640 OCTOBER 2025</t>
  </si>
  <si>
    <t>BUYAYO</t>
  </si>
  <si>
    <t>LATE FROM COMMAND FLAG RAISING FOR CADETS WITH 1ST PERIOD OPEN TIME O/A 06 0720 OCTOBER 2025</t>
  </si>
  <si>
    <t>CAGUIAT</t>
  </si>
  <si>
    <t>LATE FROM CORPS FATIGUE DUTY O/A 11 1550 NOVEMBER 2025</t>
  </si>
  <si>
    <t>S. O. Nr 180 dtd 28 November 2025</t>
  </si>
  <si>
    <t>CASTILLO</t>
  </si>
  <si>
    <t>UNACCOUNTED DURING 4CL NOON MESS FORMATION O/A 25 1205 OCTOBER 2025</t>
  </si>
  <si>
    <t>DANGARAN</t>
  </si>
  <si>
    <t>2 MINS LATE FROM 3RD PERIOD CLASS O/A 04 1037 OCTOBER 2025</t>
  </si>
  <si>
    <t>DE LARA</t>
  </si>
  <si>
    <t>DELA CRUZ</t>
  </si>
  <si>
    <t>DELA VINA</t>
  </si>
  <si>
    <t>LATE FROM RELIGIOUS SERVICE ENHANCEMENT DUTY O/A 12 0645 OCTOBER 2025</t>
  </si>
  <si>
    <t>FRIAS</t>
  </si>
  <si>
    <t>HUMIWAT</t>
  </si>
  <si>
    <t>IBRAHIM</t>
  </si>
  <si>
    <t>UNACCOUNTED FROM 4TH PERIOD CLASS O/A 05 1100 SEPTEMBER 2025</t>
  </si>
  <si>
    <t>JUANICO</t>
  </si>
  <si>
    <t>MOVING IN RANKS AFTER ATTENTION CALL O/A 27 0605 OCTOBER 2025</t>
  </si>
  <si>
    <t>LACHICA</t>
  </si>
  <si>
    <t xml:space="preserve">LACHICA </t>
  </si>
  <si>
    <t>LATE DURING CATHOLIC CADETS FORMATION O/A 11 1300 OCTOBER 2025</t>
  </si>
  <si>
    <t>LOVENDINO</t>
  </si>
  <si>
    <t>FACEBOOKING ON OR ABOUT 25 2815 JANUARY 2026</t>
  </si>
  <si>
    <t>S.O. Nr 35 dtd 26 February 2031</t>
  </si>
  <si>
    <t>LUMINES</t>
  </si>
  <si>
    <t>KEEPING M14 MAGAZINE IN STUDY TABLE O/A 27 0950 OCTOBER 2025</t>
  </si>
  <si>
    <t>GOING OFF LIMITS THAT IS GOING TO POST COMMISARY DURING STUDY PERIOD O/A 20 1320 MARCH 2026</t>
  </si>
  <si>
    <t>LUSAC</t>
  </si>
  <si>
    <t xml:space="preserve">MACALANDA </t>
  </si>
  <si>
    <t>MAGTULIS</t>
  </si>
  <si>
    <t>MALAWANI</t>
  </si>
  <si>
    <t>UNACCOUNTED DURING CAMP PROFICIENCY PERIOD O/A 31 1600 AUGUST 2025</t>
  </si>
  <si>
    <t>MAMARIL</t>
  </si>
  <si>
    <t>NADAL</t>
  </si>
  <si>
    <t>LATE FROM RELIGIOUS SERVICE FORMATION O/A 26 0540 OCTOBER 2025</t>
  </si>
  <si>
    <t>NASAM</t>
  </si>
  <si>
    <t>UNACCOUNTED FROM MORNING MESS FORMATION O/A 01 DECEMBER 2025</t>
  </si>
  <si>
    <t>S. O. Nr. 02 dtd 14 January 2026</t>
  </si>
  <si>
    <t xml:space="preserve">NUAY </t>
  </si>
  <si>
    <t>PADILLA</t>
  </si>
  <si>
    <t>PALCONGAN</t>
  </si>
  <si>
    <t>LATE FROM 4CL NOON MESS FORMATION 0/A 25 1205 OCTOBER 2025</t>
  </si>
  <si>
    <t>SABUNGAN</t>
  </si>
  <si>
    <t>SANTIAGO</t>
  </si>
  <si>
    <t>SUPLIDO</t>
  </si>
  <si>
    <t>TUBERA</t>
  </si>
  <si>
    <t>VALENZUELA</t>
  </si>
  <si>
    <t xml:space="preserve">FOXTROT COMPANY PUNISHMENT MONITORING LIST </t>
  </si>
  <si>
    <t>F/SGT: CDT 2CL FIDER</t>
  </si>
  <si>
    <t>ALMINE</t>
  </si>
  <si>
    <t>LYING WITH ANOTHER CADET O/A 21 1050H JANUARY 2026</t>
  </si>
  <si>
    <t>S.O Nr 35 dtd 26 FEBRUARY 2026</t>
  </si>
  <si>
    <t>ABGAO</t>
  </si>
  <si>
    <t>NOT ACTING AS A CLASS SUPERVISOR DURING 5TH PERIOD CLASS O/A 07 1420H OCTOBER 2025</t>
  </si>
  <si>
    <t>S.O. Nr 143 dtd 23 OCTOBER 2025</t>
  </si>
  <si>
    <t>USING CELLPHONE DURING UNAUTHORIZED PERIOD THAT IS PLAYING MUSIC ON SPOTIFY O/A 19 1250H NOVEMBER 2025</t>
  </si>
  <si>
    <t>S.O. Nr. 186 dtd 09 DECEMBER 2025</t>
  </si>
  <si>
    <t>AGYOD</t>
  </si>
  <si>
    <t>ABSENT FROM CORPS ATHLETIC PERIOD O/A 27 1600H JULY 2025</t>
  </si>
  <si>
    <t>S.O. Nr 108 dtd 09 SEPTEMBER 2025</t>
  </si>
  <si>
    <t>NOT ATTENDING 3/4 ATHLETIC PERIOD O/A 29 1600H JULY 2025</t>
  </si>
  <si>
    <t>ALMEDA</t>
  </si>
  <si>
    <t>GOING OFF-LIMITS THAT IS EATING SNACKS AT THE PDL STORE O/A 05 1745H NOVEMBER 2025</t>
  </si>
  <si>
    <t>S.O. Nr 179 dtd 01 DECEMBER 2025</t>
  </si>
  <si>
    <t>ANAPI</t>
  </si>
  <si>
    <t>ANDOT</t>
  </si>
  <si>
    <t>ABSENT FROM CORPS ROAD RUN FORMATION OA 27 1500 MAY 2025</t>
  </si>
  <si>
    <t>SO Nr 063 dtd 11 Jun 2025</t>
  </si>
  <si>
    <t>ARNEJO</t>
  </si>
  <si>
    <t>UNACCOUNTED DURING MORNING MESS FORMATION OA 16 0545 JUNE 2025</t>
  </si>
  <si>
    <t>ACCESSING FACEBOOK O/A 03 1057H SEPTEMBER 2025</t>
  </si>
  <si>
    <t>S.O. Nr 113 dtd 16 SEPTEMBER 2025</t>
  </si>
  <si>
    <t>USING SMARTPHONE AFTER TAPS O/A 21 2250H NOVEMBER 2025</t>
  </si>
  <si>
    <t>ASUNCION</t>
  </si>
  <si>
    <t>BOADILLA</t>
  </si>
  <si>
    <t>ABUSING HIS PRIVILEGE TO USE HIS SMARTPHONE THAT IS VIDEO CALLING HIS FRIEND DURING AOC's INSPECTION O/A 22 2340 JANUARY 2026</t>
  </si>
  <si>
    <t>S.O. Nr 21 dtd 04 February 2026</t>
  </si>
  <si>
    <t>CADIENTE</t>
  </si>
  <si>
    <t>LYING WITH ANOTHER CADET AFTER TAPS O/A 23 2245H OCTOBER 2025</t>
  </si>
  <si>
    <t>S.O. Nr 157 dtd 12 NOVEMBER 2025</t>
  </si>
  <si>
    <t>CHAVEZ</t>
  </si>
  <si>
    <t>ABSENT FROM CORPS ROAD RUN O/A 03 0400H NOVEMBER 2025</t>
  </si>
  <si>
    <t>PLAYING COMPUTER GAMES AFTER TAPS O/A 28 2215H JULY 2025</t>
  </si>
  <si>
    <t>S.O. Nr 097 dtd 19 AUGUST 2025</t>
  </si>
  <si>
    <t>LATE FROM RELIGIOUS SPIRITUAL ENHANCEMENT FORMATION O/A 09 0640H NOVEMBER 2025</t>
  </si>
  <si>
    <t>CONSOLACION</t>
  </si>
  <si>
    <t>WATCHING YOUTUBE DURING UNAUTHORIZED PERIOD O/A 19 1250H NOVEMBER 2025</t>
  </si>
  <si>
    <t>S.O. Nr 167 dtd 26 NOVEMBER 2025</t>
  </si>
  <si>
    <t>ACCESSING YOUTUBE O/A 21 1050 JANUARY 2026</t>
  </si>
  <si>
    <t>DALUYEN</t>
  </si>
  <si>
    <t>UNACCOUNTED DURING MORNING MESS FORMATION O/A 23 0600H JULY 2025</t>
  </si>
  <si>
    <t>NOT FOLLOWING SPECIFIC INSTRUCTIONS THAT IS TO LOGIN PHONE BEFORE BARRACKS INSPECTION O/A 18 0750H OCTOBER 2025</t>
  </si>
  <si>
    <t>NOT ATTENDING 3/4 BN ATHLETIC PERIOD O/A 29 1600H JULY 2025</t>
  </si>
  <si>
    <t>FERREIRA</t>
  </si>
  <si>
    <t>GARCERON</t>
  </si>
  <si>
    <t>JALLORINA</t>
  </si>
  <si>
    <t>LATE FROM MORNING MESS FORMATION O/A 05 0600H NOVEMBER 2025</t>
  </si>
  <si>
    <t>NOT FOLLOWING SPECEFIC INSTRUCTIONS THAT IS NOT TO GO BACK TO BARRACKS AFTER ANY GAMES O/A 25 1435 SEPTEMBER 2025</t>
  </si>
  <si>
    <t>S.O. Nr 133 dtd 16 OCTOBER 2025</t>
  </si>
  <si>
    <t>MASMODI</t>
  </si>
  <si>
    <t>LETTING HER MALE SQUADMATE MASSAGE HER BACK O/A 23 1800H JULY 2025</t>
  </si>
  <si>
    <t>UNACCOUNTED DURING NOON MESS FORMATION O/A 11 1200H OCTOBER 2025</t>
  </si>
  <si>
    <t>NOT FOLLOWING SPECIFIC INSTRUCTIONS THAT IS TO LOGIN PHONE BEFORE BARRACKS INSPECTION O/A 18 0800H OCTOBER 2025</t>
  </si>
  <si>
    <t>NEGOSA</t>
  </si>
  <si>
    <t>UNAUTHORIZED PRESENCE INSIDE BARRACKS THAT IS NOT ATTENDING MORNING MESS O/A 28 0550H SEPTEMBER 2025</t>
  </si>
  <si>
    <t>S.O. Nr 137 dtd 20 OCTOBER 2025</t>
  </si>
  <si>
    <t>PASCUA</t>
  </si>
  <si>
    <t>ABSENT FROM CORPS ROAD RUN FORMATION OA 27 1500 MAY 2026</t>
  </si>
  <si>
    <t>SO Nr 063 dtd 11 Jun 2026</t>
  </si>
  <si>
    <t>UNACCOUNTED DURING NAVY NIGHT FORMATION O/A 07 1700H OCTOBER 2025</t>
  </si>
  <si>
    <t>PUDAY</t>
  </si>
  <si>
    <t>UNACCOUNTED DURING NOON MESS O/A 18 1140H OCTOBER 2025</t>
  </si>
  <si>
    <t>UNACCOUNTED DURING ATHLETIC PERIOD O/A 16 1600H JULY 2025</t>
  </si>
  <si>
    <t>GOING ON OFFLIMITS THAT IS PASSING THROUGH THE FIRE EXIT OF THE HOLDING CENTER BARRACKS OA 15 1927 AUGUST 2025</t>
  </si>
  <si>
    <t>SABANDO</t>
  </si>
  <si>
    <t>SORITA</t>
  </si>
  <si>
    <t>USING PHONE IN MASIKHAY VIEWDECK O/A 18 1815H AUGUST 2025</t>
  </si>
  <si>
    <t>S.O. Nr 104 dtd 03 SEPTEMBER 2025</t>
  </si>
  <si>
    <t>VAPING DURING TAC-O'S INSPECTION O/A 03 1020H SEPTEMBER 2025</t>
  </si>
  <si>
    <t>TAMIAO</t>
  </si>
  <si>
    <t>WATCHING YOUTUBE AFTER TAPS O/A 04 2335H NOVEMBER 2025</t>
  </si>
  <si>
    <t>POSSESSING POCKET WIFI DURING AOC INSPECTION OA 15 1950 SEPTEMBER 2025</t>
  </si>
  <si>
    <t>WATCHING YOUTUBE AFTER TAPS OA 14 0010 JUNE 2025</t>
  </si>
  <si>
    <t>VILLOCENO</t>
  </si>
  <si>
    <t>ACCESSING FACEBOOK DURING AOC'S INSPECTION O/A 15 1057H SEPTEMBER 2025</t>
  </si>
  <si>
    <t>S.O. Nr 128 dtd 13 OCTOBER 2025</t>
  </si>
  <si>
    <t>ABBAS</t>
  </si>
  <si>
    <t>UNACCOUNTED DURING CALISTHENICS O/A 07 0415H AUGUST 2025</t>
  </si>
  <si>
    <t>UNACCOUNTED FROMUNDERCLASS FORMATION OA 270430 JUNE 2025</t>
  </si>
  <si>
    <t>S.O. Nr 087 dtd 21 JULY 2025</t>
  </si>
  <si>
    <t>NOT ATTENDING MORNING MESS O/A 21 0610H OCTOBER 2025</t>
  </si>
  <si>
    <t>S.O. Nr 164 dtd 24 NOVEMBER 2025</t>
  </si>
  <si>
    <t>ACOSTA</t>
  </si>
  <si>
    <t>WATCHING ONLINE ANIME MOVIE O/A 24 1405H JULY 2025 DURING OC'S INSPECTION</t>
  </si>
  <si>
    <t>S.O. Nr 102 dtd 02 SEPTEMBER 2025</t>
  </si>
  <si>
    <t>UNACCOUNTED FROM RELIGIOUS SERVICE FORMATION O/A 13 1430H JULY 2025</t>
  </si>
  <si>
    <t>LATE FROM 2CL DUTY O/A 05 2130H OCTOBER 2025</t>
  </si>
  <si>
    <t>S.O. Nr 114 dtd 16 SEPTEMBER 2025</t>
  </si>
  <si>
    <t>UNACCOUNTED DURING EARLY MESS FORMATION FOR SILENT DRILL OF CL 2027 O/A 22 0600H OCTOBER 2025</t>
  </si>
  <si>
    <t>UNACCOUNTED DURING MORNING MESS FORMATION O/A 19 0450H OCTOBER 2025</t>
  </si>
  <si>
    <t>UNACCOUNTED DURING CAMP FORMATION OA 07 OCTOBER 2025</t>
  </si>
  <si>
    <t>NOT ATTENDING RUCKSACK MARCH O/A 13 JULY 2025</t>
  </si>
  <si>
    <t>ARUMPAC</t>
  </si>
  <si>
    <t>POSSESSING UNAUTHORIZE WIFI AFTER TAPS OA 18 0010 JUNE 2025</t>
  </si>
  <si>
    <t>WATCHING YOUTUBE DURING OC'S INSPECTION O/A 12 0015H OCTOBER 2025</t>
  </si>
  <si>
    <t>UNACCOUNTED FROM MORNING MESS FORMATION O/A 31 0600H OCTOBER 2025</t>
  </si>
  <si>
    <t>BETITA</t>
  </si>
  <si>
    <t>UNACCOUNTED FROM SMC CADETS' DUTY O/A 09 0504H JULY 2025</t>
  </si>
  <si>
    <t>DELIBERATELY NOT FINISHING THE PFT O/A 10 1630H JULY 2025</t>
  </si>
  <si>
    <t>BOGGING DOWN DURING PARADE O/A 21 FEBRUARY 2026</t>
  </si>
  <si>
    <t>S.O. Nr 54 dtd 14 APRIL 2026</t>
  </si>
  <si>
    <t>UNAUTHORIZED PRESENCE INSIDE BARRACKS O/A 19 0705H OCTOBER 2025</t>
  </si>
  <si>
    <t>UNACCOUNTED DURING CAMP FORMATION O/A 07 1600H OCTOBER 2025</t>
  </si>
  <si>
    <t>WATCHING YOUTUBE O/A 13 1110H OCTOBER 2025</t>
  </si>
  <si>
    <t>GIVING UNAUTHORIZED PUNISHMENT TO CDT 4CL MAULION, THAT IS FRONT-LEANING REST WHILE HIS FEET ARE RAISED ON THE LOWER BUNKS AND MODIFIED SQUAT O/A 12 0800H JUNE 2025</t>
  </si>
  <si>
    <t>UNACCOUNTED DURING MORNING MESS FORMATION O/A 22 0500H MARCH 2026</t>
  </si>
  <si>
    <t>CARO</t>
  </si>
  <si>
    <t>ABSENT FROM DUTY O/A 31 O530H DECEMBER 2025</t>
  </si>
  <si>
    <t>S.O. Nr 35 dtd 26 FEBRUARY 2026</t>
  </si>
  <si>
    <t>CAGASAN</t>
  </si>
  <si>
    <t>DELIBERATELY NOT FOLLOWING SPECIFIC INSTRUCTION OF THE TACTICAL OFFICER THAT IS NOT LOGGING IN HER CELLPHONE AFTER SERIES OF INSTRUCTIONS OA 13 1150 JUNE 2025</t>
  </si>
  <si>
    <t>POSSESSING AND USING SMARTPHONE AFTER TAPS DURING OC INSPECTION OA 12 JUNE 2025</t>
  </si>
  <si>
    <t>VIDEO CALLING AFTER TAPS O/A 22 2300H JANUARY 2026</t>
  </si>
  <si>
    <t>UNACCOUNTED DURING NOON MESS O/A 07 1205H OCTOBER 2025</t>
  </si>
  <si>
    <t>DELOS REYES</t>
  </si>
  <si>
    <t>LATE FROM NCBn MORNING MESS FORMATION O/A 08 0637H JULY 2025</t>
  </si>
  <si>
    <t>DUQUE</t>
  </si>
  <si>
    <t>14 MINS LATE FROM TERMINATION OF PRIVILEGE OA 25 1714 AUGUST 2025</t>
  </si>
  <si>
    <t>GOC-ONG</t>
  </si>
  <si>
    <t>UNAUTHORIZE USE OF LAPTOPS AFTER TAPS OA 07 JUNE 2025</t>
  </si>
  <si>
    <t>NOT MAINTAINING DIGNITY AS A GUARD THAT IS SLEEPING DURING POSTING OA 05 2100 JUNE 2025</t>
  </si>
  <si>
    <t>AS AN AFI, WATCHIN G TIKTOK AFTER TAPS OA 14 0010 JUNE 2025</t>
  </si>
  <si>
    <t>WATCHING YOUTUBE O/A 15 1140H OCTOBER 2025</t>
  </si>
  <si>
    <t>POSSESSING UNAUTHORIZED ITEM THAT IS HEAT GUN O/A 19 1300H NOVEMBER 2025</t>
  </si>
  <si>
    <t>GONZALES</t>
  </si>
  <si>
    <t>UNACCOUNTED DURING ATHLETIC PD 0A 01 1600 JULY 2025</t>
  </si>
  <si>
    <t>GIVING UNAUTHORIZED PUNISHMENT THAT IS MODIFED FRONT-LEANING REST O/A 13 1800H JUNE 2025</t>
  </si>
  <si>
    <t>UNACCOUNTED FROM ATHLETIC PERIOD O/A 03 1600H JULY 2025</t>
  </si>
  <si>
    <t>S.O. Nr 121 dtd 19 SEPTEMBER 2025</t>
  </si>
  <si>
    <t>AS A GUARD, ACCESSING YOUTUBE O/A 28 0725H NOVEMBER 2025</t>
  </si>
  <si>
    <t>S.O. Nr 213 dtd 11 DECEMBER 2025</t>
  </si>
  <si>
    <t>ACCESSING TIKTOK AFTER TAPS O/A 25 2220H JANUARY 2026 DURING AOC INSPECTION</t>
  </si>
  <si>
    <t>S.O. Nr 39 dtd 04 MARCH 2026</t>
  </si>
  <si>
    <t>LADJAN</t>
  </si>
  <si>
    <t>VIDEO CALLING WITH A MALE CADET AFTER TAPS O/A 17 2210H OCTOBER 2025</t>
  </si>
  <si>
    <t>MACARAYA</t>
  </si>
  <si>
    <t>WATCHING MOVIE DURING AOC INSPECTION OA 15 1950 SEPTEMBER 2025</t>
  </si>
  <si>
    <t>MANDAC</t>
  </si>
  <si>
    <t>OUT OF ROOM DURING TATTOO INSPECTION WITHOUT PROPER CONSENT FROM COMPETENT AUTHORITY O/A 11 2130H OCTOBER 2025</t>
  </si>
  <si>
    <t>USING BORROWED SMARTPHONE O/A 11 0435H AUGUST 2025</t>
  </si>
  <si>
    <t>MANGAHAS</t>
  </si>
  <si>
    <t>S.O. Nr 108 dtd 09 SEPTEMBER 2035</t>
  </si>
  <si>
    <t>MINGLANA</t>
  </si>
  <si>
    <t>AS A SENTINEL ABANDONING HIS POST O/A 24 0015H OCTOBER 2025</t>
  </si>
  <si>
    <t>INSISTING TO SIT BESIDE FEMALE CADET BEING ALONE TOGETHER DESPITE BEING CAUTIONED BY AN OFFICER O/A 19 1425H JANUARY 2026.</t>
  </si>
  <si>
    <t>OLIVA</t>
  </si>
  <si>
    <t>AS A GUARD, 10 MINS LATE FROM REVEILLE O/A 13 0410H JULY 2025</t>
  </si>
  <si>
    <t>RICARDE</t>
  </si>
  <si>
    <t>UNACCOUNTED FROM NOON MESS FORMATION O/A 16 1210H JULY 2025</t>
  </si>
  <si>
    <t>SAGAAD</t>
  </si>
  <si>
    <t>LATE DURING NCBN CALISTHENICS OA 02 0430 JULY 2025</t>
  </si>
  <si>
    <t>SAGER</t>
  </si>
  <si>
    <t>NOT ATTENDING DUTY O/A 18 0840 JANUARY 2026</t>
  </si>
  <si>
    <t>ACCESSING FACEBOOK AFTER TAPS O/A 25 2220H JANUARY 2026 DURING AOC INSPECTION</t>
  </si>
  <si>
    <t>SIMON</t>
  </si>
  <si>
    <t>WATCHING MOVIES DURING AOC'S INSPECTION O/A 28 2015H AUGUST 2025</t>
  </si>
  <si>
    <t>STANLEY</t>
  </si>
  <si>
    <t>43 MINS LATE FROM TERMINATION OF INVITING PRIVILEGE FOR 1CL AND 2CL CADETS OF 3RD AND 4TH BATTALION O/A 15 1643H NOVEMBER 2025</t>
  </si>
  <si>
    <t>S.O. Nr 188 dtd 10 DECEMBER 2025</t>
  </si>
  <si>
    <t>TUMITIT</t>
  </si>
  <si>
    <t>POSSESSING UNAUTHORIZED HEAT GUN O/A 18 2000H JULY 2025</t>
  </si>
  <si>
    <t>URQUIZA</t>
  </si>
  <si>
    <t>USING SMARTPHONE AFTER TAPS O/A 11 0015 JULY 2025</t>
  </si>
  <si>
    <t>S.O. Nr 90 dtd 06 AUGUST 2025</t>
  </si>
  <si>
    <t>LATE FROM MORNING MESS FORMATION O/A 01 MARCH 2026</t>
  </si>
  <si>
    <t>UY</t>
  </si>
  <si>
    <t>UNACCOUNTED DURING CORPS ATHLETIC PD OA 03 1600 JULY 2025</t>
  </si>
  <si>
    <t>POSSESSING UNAUTHORIZED VAPE DURING OC INSPECTION OA 05 JULY 2025</t>
  </si>
  <si>
    <t>S.O. Nr 089 dtd 25 JULY 2025</t>
  </si>
  <si>
    <t>ALBURO</t>
  </si>
  <si>
    <t>LATE FROM 3RD PD CLASS OA 06 1630 OCTOBER 2025</t>
  </si>
  <si>
    <t>GUIEB</t>
  </si>
  <si>
    <t>ACCESSING TIKTOK DURING OCS INSPECTION O/A 21 0920 JANUARY 2026</t>
  </si>
  <si>
    <t>ARINO</t>
  </si>
  <si>
    <t>SLEEPING ON POST AS A GUARD OA 11 0735 MAY 2025</t>
  </si>
  <si>
    <t>SO Nr 063 dtd 11 Jun 2027</t>
  </si>
  <si>
    <t>CALASARA</t>
  </si>
  <si>
    <t>NOT MAINTAINING DIGNITY THAT IS 15 MINS LATE FROM 4TH RELIEF SENTINEL POSTING O/A 29 0115H JULY 2025</t>
  </si>
  <si>
    <t>DAPPAY</t>
  </si>
  <si>
    <t>LATE FROM PUNISHMENT OA 05 1300 OCTOBER 2025</t>
  </si>
  <si>
    <t>POSSESSING HEATER OA 04 JULY 2025</t>
  </si>
  <si>
    <t>S.O. Nr 088 dtd 21 JULY 2025</t>
  </si>
  <si>
    <t>DIGMA</t>
  </si>
  <si>
    <t>NOT POSTING AS 5TH RELIEF SENTINEL AT 2ND FLOOR REGIS HALL O/A 19 0210 JANUARY 2026</t>
  </si>
  <si>
    <t>ESCLA</t>
  </si>
  <si>
    <t>ESCALA</t>
  </si>
  <si>
    <t>UNACCOUNTED FROM 4TH PERIOD CLASS FORMATION O/A 17 1300H NOVEMBER 2025</t>
  </si>
  <si>
    <t>ESTRADA</t>
  </si>
  <si>
    <t>ACCESSING FACEBOOK AFTER TAPS O/A 13 2330H NOVEMBER 2025</t>
  </si>
  <si>
    <t>FERANDO</t>
  </si>
  <si>
    <t>DOING UNAUTHORIZED THINGS AFTER TAPS THAT IS READING MANGA O/A 21 2250H NOVEMBER 2025 (ONLINE)</t>
  </si>
  <si>
    <t>GALITGUIT</t>
  </si>
  <si>
    <t>UNACCOUNTED DURING ATHLETIC PERIOD FORMATION O/A 01 1600H JULY 2025</t>
  </si>
  <si>
    <t>UNACCOUNTED FROM NOON MESS FORMATION O/A 27 1200H JULY 2025</t>
  </si>
  <si>
    <t>ABSENT FROM MORNING MESS FORMATION O/A 28 0450H OCTOBER 2025</t>
  </si>
  <si>
    <t>LARGO</t>
  </si>
  <si>
    <t>10 MINS LATE FROM TERMINATION OF PRIVILEGE OA 25 1800 AUGUST 2025</t>
  </si>
  <si>
    <t>LLAGAS</t>
  </si>
  <si>
    <t>LOOD</t>
  </si>
  <si>
    <t>4 MINS LATE FROM TERMINATION OF PRIVILEGE OA 21 1904 SEPTEMEBER 2025</t>
  </si>
  <si>
    <t>LATE FROM RANKS AND BARRACKS INSPECTION OA 21 JUNE 2025</t>
  </si>
  <si>
    <t>MOLINA</t>
  </si>
  <si>
    <t>ACCESSING MESSENGER AFTER TAPS O/A 13 2320H NOVEMBER 2025</t>
  </si>
  <si>
    <t>NARAG</t>
  </si>
  <si>
    <t>UNACCOUNTED DURING ARRIVAL HONORS PARTICIPANTS FORMATION O/A 03 1430H SEPTEMBER 2025</t>
  </si>
  <si>
    <t>NOT POSTING AS 6TH RELIEF SENTINEL AT 2ND FLOOR REGIS HALL O/A 19 0305 JANUARY 2026</t>
  </si>
  <si>
    <t>ACCESSING YOUTUBE DURING OCS INSPECTION O/A 21 0920 JANUARY 2026</t>
  </si>
  <si>
    <t>PAGALILAUAN</t>
  </si>
  <si>
    <t>SLEEPING WITH ANOTHER CADET O/A 26 2300H JULY 2025</t>
  </si>
  <si>
    <t>PAGALILUAN</t>
  </si>
  <si>
    <t>ABSENT FROM INC CADETS DUTY O/A 06 1710H NOVEMBER 2025</t>
  </si>
  <si>
    <t>S.O. Nr 168 dtd 26 NOVEMBER 2025</t>
  </si>
  <si>
    <t xml:space="preserve">REGIS </t>
  </si>
  <si>
    <t>REGIS</t>
  </si>
  <si>
    <t>NOT MAINTAINING DIGNITY AS A GUARD THAT IS DOZING ON POST O/A 16 1030H JULY 2025</t>
  </si>
  <si>
    <t>SAMPALAY</t>
  </si>
  <si>
    <t>AS A RESPONSIBLE 5TH RELIEF SENTINEL NOT POSTING OA 24 0210 JUNE 2025</t>
  </si>
  <si>
    <t>SILAPAN</t>
  </si>
  <si>
    <t>ABSENT FROM SDA RELIGIOUS SERVICE OA 23 1300 AUGUST 2025</t>
  </si>
  <si>
    <t>TAMAYO</t>
  </si>
  <si>
    <t>AS A GUARD, ACCESSING YOUTUBE O/A 22 1800 JULY 2025</t>
  </si>
  <si>
    <t>ACCESSING SOCIAL MEDIA DURING STUDY PERIOD O/A 08 1930H OCTOBER 2025</t>
  </si>
  <si>
    <t>S.O. Nr 146 dtd 23 OCTOBER 2025</t>
  </si>
  <si>
    <t>SLEEPING WITH ANOTHER CADET O/A 20 2300 JULY 2025</t>
  </si>
  <si>
    <t>TUARIO</t>
  </si>
  <si>
    <t>ACCESSING FACEBOOK AFTER TAPS O/A 21 2250H NOVEMBER 2025</t>
  </si>
  <si>
    <t>S.O. Nr. 184 dtd 05 DECEMBER 2025</t>
  </si>
  <si>
    <t>BANUA</t>
  </si>
  <si>
    <t>UNACCOUNTED FROM COMMAND FLAG RAISING OA 06 0720 OCTOBER 2025</t>
  </si>
  <si>
    <t>BAYBAYAN</t>
  </si>
  <si>
    <t>UNACCOUNTED FROM FLAG RAISING FOR CADETS WITH 1ST PERIOD OPEN TIME O/A 06 0720H OCTOBER 2025</t>
  </si>
  <si>
    <t>S.O. Nr 152 dtd 05 NOVEMBER 2025</t>
  </si>
  <si>
    <t>BUGAYONG</t>
  </si>
  <si>
    <t>OUT OF THE ROOM DURING TAPS AND SLEEPING AT THE STOCKROOM O/A 25 0114 DECEMBER 2025</t>
  </si>
  <si>
    <t>CATAPANG</t>
  </si>
  <si>
    <t>OFFLIMITS THAT IS GOING TO BACK OF YAP HALL O/A 12 0700H SEPTEMBER 2025</t>
  </si>
  <si>
    <t>CERO</t>
  </si>
  <si>
    <t>UNACCOUNTED DURING MORNING MESS FORMATION O/A 19 0530H FEBRUARY 2026</t>
  </si>
  <si>
    <t>GELLANG</t>
  </si>
  <si>
    <t>UNACCOUNTED DURING MORNING MESS FORMATION O/A 02 0630 JANUARY 2026</t>
  </si>
  <si>
    <t>GELANG</t>
  </si>
  <si>
    <t>ACCESSING MESSENGER DURING GUARD POSTING O/A 23 1320H JANUARY 2026</t>
  </si>
  <si>
    <t>GUIABAO</t>
  </si>
  <si>
    <t>LATE FROM 4CL SUNSET PARADE DRILLS FORMATION O/A 29 1700 DECEMBER 2025</t>
  </si>
  <si>
    <t>UNACCOUNTED FROM MORNING MESS O/A 23 0450H NOVEMBER 2025</t>
  </si>
  <si>
    <t>S.O. Nr. 181 Dtd 05 DECEMBER 2025</t>
  </si>
  <si>
    <t xml:space="preserve">FUERTE </t>
  </si>
  <si>
    <t>UNACCOUNTED DIRUNG 4TH PERIOD CLASS FORMATION O/A 17 1300 DECEMBER 2025</t>
  </si>
  <si>
    <t>UNACCOUNTED DIRUNG 3RD PERIOD CLASS FORMATION O/A 17 1300 DECEMBER 2025</t>
  </si>
  <si>
    <t>FUNTILLON</t>
  </si>
  <si>
    <t>AS A RESPONSIBLE OFFICER OF THE DAY USING THE OD PHONE TO VIDEO CALL HIS GIRLFRIEND DURING OC INSPECTION O/A  23 0500H JANUARY 2026</t>
  </si>
  <si>
    <t>S.O Nr 39 dtd 04 MARCH 2026</t>
  </si>
  <si>
    <t>SLEEPING WITH ANOTHER CADET O/A 18 1330H MARCH 2026</t>
  </si>
  <si>
    <t>JABAGAT</t>
  </si>
  <si>
    <t>AS A RESPONSIBLE OFFICER OF THE GUARD 1 USING OG1 IPAD TO ACCESS FACEBOOK DURING AOC INSPECTION O/A 23 JANUARY 2026</t>
  </si>
  <si>
    <t>MARCIAL</t>
  </si>
  <si>
    <t>LATE FROM MORNING MESS FORMATION O/A 12 0545H OCTOBER 2025</t>
  </si>
  <si>
    <t>PECDASEN</t>
  </si>
  <si>
    <t>AS A CCQ, SLEEPING ON POST O/A 17 0600H JANUARY 2026</t>
  </si>
  <si>
    <t>REJANO</t>
  </si>
  <si>
    <t>POSSESSING UNAUTHORIZED ITEM WHICH IS HEATER O/A 06 2350H FEBRUARY 2026</t>
  </si>
  <si>
    <t>SUNER</t>
  </si>
  <si>
    <t>LATE FROM 3RD PERIOD CLASS O/A 18 NOVEMBER 2025</t>
  </si>
  <si>
    <t>S.O. Nr. 182 dtd 05 DECEMBER 2025</t>
  </si>
  <si>
    <t>TAN</t>
  </si>
  <si>
    <t>POSSESSING UNAUTHORIZED ITEM WHICH IS ELECTRIC COOKER O/A 06 2350H FEBRUARY 2026</t>
  </si>
  <si>
    <t>USING UNAUTHORIZED EQUIPMENT THAT IS HEATER O/A 15 2240H FEBRUARY 2026</t>
  </si>
  <si>
    <t>TOLENTINO</t>
  </si>
  <si>
    <t>TB</t>
  </si>
  <si>
    <t>GRABBING THE COLLAR OF ONE OF HIS 4CL SQUAD MATE FORCEFULLY AND AGGRESSIVELY O/A 30 1235H JUNE 2025</t>
  </si>
  <si>
    <t>POSSESSING VAPE DURING OC'S INSPECTION O/A 08 0430H AUGUST 2025</t>
  </si>
  <si>
    <t>FSA</t>
  </si>
  <si>
    <t>BARLIS</t>
  </si>
  <si>
    <t>BULQUIREN</t>
  </si>
  <si>
    <t>UNAUTHORIZED PRESENCE INSIDE BARRACKS AND HIDING INSIDE LOCKER O/A 01 0950H OCTOBER 2025</t>
  </si>
  <si>
    <t>UNACCOUNTED FROM MORNING MESS FORMATION OA 28 0545 SEPTEMBER 2025</t>
  </si>
  <si>
    <t>FUERTE</t>
  </si>
  <si>
    <t>UNACCOUNTED DURING 3RD PERIOD CLASS O/A 10 1030H FEBRUARY 2026</t>
  </si>
  <si>
    <t>ABSENT FROM INC DUTY O/A 12 0530H OCTOBER 2025</t>
  </si>
  <si>
    <t>UNACCOUNTED DURING CAMP FORMATION O/A 07 1800H OCTOBER 2025</t>
  </si>
  <si>
    <t>MORETE</t>
  </si>
  <si>
    <t>GOLF PUNISHMENT LIST</t>
  </si>
  <si>
    <t>F/SGT:  CDT 2CL FULO</t>
  </si>
  <si>
    <t>VALENCERINA</t>
  </si>
  <si>
    <t>S.O. Nr 69 dtd 01 JUNE 2026</t>
  </si>
  <si>
    <t>SILVA</t>
  </si>
  <si>
    <t>S.O. Nr 68 dtd 01 JUNE 2026</t>
  </si>
  <si>
    <t>CANADA</t>
  </si>
  <si>
    <t>KULI</t>
  </si>
  <si>
    <t>POSSESSING AND USING UNAUTHORIZED SMARTPHONE o/a 12 1915 FEBRUARY 2026</t>
  </si>
  <si>
    <t>S.O. Nr 48 dtd 23 MARCH 2026</t>
  </si>
  <si>
    <t>SERVED PUNISHMENT</t>
  </si>
  <si>
    <t>ali</t>
  </si>
  <si>
    <t xml:space="preserve">HAWK COMPANY PUNISHMENT MONITORING LIST </t>
  </si>
  <si>
    <t xml:space="preserve"> F/SGT: CDT 2CL SABILLA</t>
  </si>
  <si>
    <t>VALDEZ</t>
  </si>
  <si>
    <t>SPECIAL ORDERS NO 68 DTD 01 JUNE 2026</t>
  </si>
  <si>
    <t>YBANEZ</t>
  </si>
  <si>
    <t>MORATO</t>
  </si>
  <si>
    <t>Sept 13</t>
  </si>
  <si>
    <t>SPECIAL ORDERS NO 48</t>
  </si>
  <si>
    <t>ALAYA -AY</t>
  </si>
  <si>
    <t>JAVELOSA</t>
  </si>
  <si>
    <t>LAGUNILLA</t>
  </si>
  <si>
    <t xml:space="preserve">MANDIGMA </t>
  </si>
  <si>
    <t>BALTAZAR</t>
  </si>
  <si>
    <t>POSSESSING DISCO LIGHTS O/A 13 0400H JUNE 2025</t>
  </si>
  <si>
    <t>SPECIAL ORDER NO 72 DTD  01 JULY 2025</t>
  </si>
  <si>
    <t>DE VERA</t>
  </si>
  <si>
    <t>14 MINS LATE FROM TERMINATION OF PRIVELEGE OA 14 2114 JUNE 2025</t>
  </si>
  <si>
    <t>SPECIAL ORDERS 070 DTD 25 JUNE 2025</t>
  </si>
  <si>
    <t>DOMINGUEZ</t>
  </si>
  <si>
    <t>ABSENT FROM CORPS ROAD RUN O/A 27 1500H MAY 2025</t>
  </si>
  <si>
    <t>ESTEBAN</t>
  </si>
  <si>
    <t>MARDICAS</t>
  </si>
  <si>
    <t xml:space="preserve">ABSENT FROM CORPS ROAD RUN O/A 27 1500H MAY 2025 </t>
  </si>
  <si>
    <t>SABILLA</t>
  </si>
  <si>
    <t>UNAUTHORIZED USE OF LAPTOP AFTER TAPS O/A 07 2348H JUNE 2025</t>
  </si>
  <si>
    <t>SUPITER</t>
  </si>
  <si>
    <t>EBFAN</t>
  </si>
  <si>
    <t>7 MINUTES LATE FROM TERMINATION OF PRIVILEGE O/A 14 2107H JUNE 2025</t>
  </si>
  <si>
    <t>15 MINS LATE FROM SD CLASS O/A 18 1440H JUNE 2025</t>
  </si>
  <si>
    <t>SPECIAL ORDERS NO 78 DTD 18 JULY 2025</t>
  </si>
  <si>
    <t>CADET UNBECOMING, DRINKING LIQUOR ON PRIVELEGE O/A 18 2000 DEC 2027</t>
  </si>
  <si>
    <t>S.O. Nr 001 dtd 08 January 2025</t>
  </si>
  <si>
    <t>BELGA</t>
  </si>
  <si>
    <t>PLAYING MOBILE GAMES O/A 14 0640H JUNE 2025</t>
  </si>
  <si>
    <t>MAGANA</t>
  </si>
  <si>
    <t>USING SMARTPHONE AFTER TAPS O/A 11 2330H JUNE 2025</t>
  </si>
  <si>
    <t>QUIZZAGAN</t>
  </si>
  <si>
    <t>PLAYING MOBILE LEGENDS AT THE COMPANY CLUBROOM 05 1840H JUNE 2025</t>
  </si>
  <si>
    <t>ACCESSING TELEGRAM AFTER TAPS O/A 11 2300H JUNE 2025</t>
  </si>
  <si>
    <t>ALIUD,DEN</t>
  </si>
  <si>
    <t>AS A CRO, HAVING A RAMBAGIZED ROOM DURING OC'S INSPECTION O/A  03 0736H JULY 2025</t>
  </si>
  <si>
    <t>SPECIAL ORDERS NO  88 DTD 21 JULY 2025</t>
  </si>
  <si>
    <t>FERNANDEZ</t>
  </si>
  <si>
    <t>UNACCOUNTED FROM SMC CADET DUTY O/A 04 0430 JULY 2025</t>
  </si>
  <si>
    <t>NAOHA</t>
  </si>
  <si>
    <t>USING CHATGPT DURING SGD231 CLASS  O/A 24 1108H JUNE 2025</t>
  </si>
  <si>
    <t>ANGCHANGCO</t>
  </si>
  <si>
    <t>USING POCKET WIFI DURING OC'S INSPECTION O/A 02 2324H JUNE 2025</t>
  </si>
  <si>
    <t>BARTE</t>
  </si>
  <si>
    <t>FAILED TO MAINTAIN PROPER ATTENTION AND ENGAGED IN CONVERSATION DURING MESS ATTENTION CALLS O/A 30 0705H JUNE 2025</t>
  </si>
  <si>
    <t>LATE FROM NCBN MORNING MESS FORMATION O/A 26 0635H JUNE 2025</t>
  </si>
  <si>
    <t xml:space="preserve">SPECIAL ORDERS NO 87 </t>
  </si>
  <si>
    <t>PLANTAR</t>
  </si>
  <si>
    <t>TALKING AND MAKING UNNECESSARY MOVEMENTS DUIRING FC NOON MESS FORMATION O/A 09 1200H JUNE 2025</t>
  </si>
  <si>
    <t>STA RITA</t>
  </si>
  <si>
    <t>NOT ATTENDING SILENT DRILL PRACTICE OF CLASS 2027 O/A 09 0530H JULY 2025</t>
  </si>
  <si>
    <t>ESPIRITU</t>
  </si>
  <si>
    <t>LATE FROM RANKS AND BARRACKS INSPECTION O/A 21 0800H JUNE  2025</t>
  </si>
  <si>
    <t>SORIANO</t>
  </si>
  <si>
    <t>LATE FROM RANKS INSPECTION</t>
  </si>
  <si>
    <t>POLIZON</t>
  </si>
  <si>
    <t>ACCESING FACEBOOK DURING UNAUTHORIZED PERIOD O/A 23 1050H JUNE 2025</t>
  </si>
  <si>
    <t>SPECIAL ORDERS 076 DTD 08 JULY 2025</t>
  </si>
  <si>
    <t>DESPITE REMINDER ANNOUNCED DURING PUBLICATION THAT PROPER RENDERING, FAILURE TO ACCOUNT AND KNOW THE STATUS OF HIS MEN PROPERLY THAT RESULTED TO FALSE REPORT</t>
  </si>
  <si>
    <t>UNACCOUNTED DURING EVENING MESS O/A 13 1625H JULY 2025</t>
  </si>
  <si>
    <t>SPECIAL ORDERS NO 96</t>
  </si>
  <si>
    <t>LUCENA</t>
  </si>
  <si>
    <t>ACCESSING FB DURING OC's INSPECTION O/A 09 2350H JULY 2025</t>
  </si>
  <si>
    <t>AVEN</t>
  </si>
  <si>
    <t>WATCHING A SERIES AFTER CLASS O/A 22 1005H JULY 2025</t>
  </si>
  <si>
    <t>SPECIAL ORDERS NO  113</t>
  </si>
  <si>
    <t>AYAHAO</t>
  </si>
  <si>
    <t>UNACCOUNTED FROM NOON MESS FORMATION O/A 02 1140H AUGUST 2025</t>
  </si>
  <si>
    <t>RONQUILLO</t>
  </si>
  <si>
    <t>NOT ATTENDING FLEXIBLE EVENING MESS O/A 19 1845H JULY 2025</t>
  </si>
  <si>
    <t>SPECIAL ORDERS NO 094</t>
  </si>
  <si>
    <t>POSSESSING HEATER O/A 11 2330H JUNE 2025</t>
  </si>
  <si>
    <t>AS A RESPONSIBLE GUARD, ACCESSING UNAUTHORIZED WEBSITE THAT IS YOUTUBE DURING OC'S INSPECTION O/A 10 0800H AUGUST 2025</t>
  </si>
  <si>
    <t>SPECIAL ORDERS NO  122</t>
  </si>
  <si>
    <t>GAMEO</t>
  </si>
  <si>
    <t>WATCHING YOUTUBE O/A 29 0745H JUNE 2025</t>
  </si>
  <si>
    <t>ACCESSING YOUTUBE DURING STUDY PERIOD O/A 09 2350H JUNE 2025</t>
  </si>
  <si>
    <t>TY</t>
  </si>
  <si>
    <t>AS A RESPONSIBLE CCHC, LEAVING HIS POST UNATTENDED FOR UNJUSTIFIABLE TIME O/A 29 0740H JUNE 2025</t>
  </si>
  <si>
    <t>ALAYA-AY</t>
  </si>
  <si>
    <t xml:space="preserve">LOST BUFFER RETAINER AND SPRING </t>
  </si>
  <si>
    <t>BARLAS</t>
  </si>
  <si>
    <t>POSSESING HEATGUN O/A 23 0900H JUNE 2025</t>
  </si>
  <si>
    <t>CUBERO</t>
  </si>
  <si>
    <t>HAVING UNAUTHORIZED POCKET WIFI DURING OC'S INSPECTION O/A 11 0930H JUNE 2025</t>
  </si>
  <si>
    <t>GUTIERREZ</t>
  </si>
  <si>
    <t>ABSENT FROM POLICE CALL THAT IS GOING TO POST COMMISARY O/A 08 0630H JUNE 2025</t>
  </si>
  <si>
    <t>INFANTE</t>
  </si>
  <si>
    <t>MIKITPIKIT</t>
  </si>
  <si>
    <t>LATE FROM NCBN MORNING MESS FORMATION O/A 08  0637H JULY 2025</t>
  </si>
  <si>
    <t>LATE FROM 4CL CALISTHENICS O/A 23 0415H JULY 2025</t>
  </si>
  <si>
    <t>LATE FROM MORNING MESS FORMATION O/A 08 0637H JULY 2025</t>
  </si>
  <si>
    <t>5 MINS LATE DURING THIRD PERIOD CLASS O/A 23 1045H JUNE 2025</t>
  </si>
  <si>
    <t>O/A 26 0724 JUNE 2025 2CL SABILLA FAILED TO EXECUTE PROPERLY AN ATTENTION CALL THAT IS TALKING AND DOING UNNECESSARY MOVEMENT DURING BREAKFAST ATTENTION CALL</t>
  </si>
  <si>
    <t>LATE FROM NCBN MORNING MESS O/A 26 0635H JUNE 2025</t>
  </si>
  <si>
    <t>UNACCOUNTED FROM FOOT MARCH FORMATION O/A 13 0415H JULY 2025</t>
  </si>
  <si>
    <t>AMISTAD</t>
  </si>
  <si>
    <t>POSSESSING VAPE DURING NCOD INSPECTION O/A 22 2240H JUNE 2025</t>
  </si>
  <si>
    <t xml:space="preserve">SPECIAL ORDERS NO 090 </t>
  </si>
  <si>
    <t>LLENOS</t>
  </si>
  <si>
    <t>LOST TWO M16 MAGAZINE O/A 14 2000 MAY 2025</t>
  </si>
  <si>
    <t>PENALOZA</t>
  </si>
  <si>
    <t xml:space="preserve">LATE FROM RANKS AND BARRACKS INSPECTION </t>
  </si>
  <si>
    <t>SALANG</t>
  </si>
  <si>
    <t>20 MINS LATE FROM 5TH PERIOD SD CLASS O/A 08 1444H JULY 2025</t>
  </si>
  <si>
    <t>TANGCOLO</t>
  </si>
  <si>
    <t>HAVING LOST M16 MAGAZINE O/A 22 0600H APRIL 2025</t>
  </si>
  <si>
    <t>VILLAMOR</t>
  </si>
  <si>
    <t>LOST SET EJECTION PORT COVER OF M16 O/A 04 2000H MAY 2025</t>
  </si>
  <si>
    <t>AS A RESPONSIBLE 2CL CADET AND AS A SQUAD LEADER, NOT FOLLOWING INSTRUCTION THAT IS NOT HAVING PRESCRIBED RUCKSACK WEIGHT FOR FOOT MARCH O/A 13 0800H JULY 2025</t>
  </si>
  <si>
    <t>15 MINS LATE FROM 2ND SD CLASS O/A 06 0910 OCTOBER 2025</t>
  </si>
  <si>
    <t>SPECIAL ORDERS NO 144</t>
  </si>
  <si>
    <t>USING LAPTOP AND USING UNAUTHORIZED ITEM THAT IS HEAT TV SHINE COMBAT BOOTS O/A 20 1205 JULY 2025</t>
  </si>
  <si>
    <t>CAMBA</t>
  </si>
  <si>
    <t>LOST SPRING BUFFER RETAINER O/A 17 1925H MAY 2025</t>
  </si>
  <si>
    <t>NOT ATTENDING FLEXIBLE EVENING MESS O/A 08 1800 OCTOBER 2025</t>
  </si>
  <si>
    <t>POSSESSING POCKET WIFI DURING OC'S INSPECTION O/A 04 2110H AUGUST 2025</t>
  </si>
  <si>
    <t>SPECIAL ORDERS NO 97</t>
  </si>
  <si>
    <t>ARELLANO</t>
  </si>
  <si>
    <t>REDIVISM THAT IS NOT SUBMITTING FIVE (5) GPS IN MAT231 AS OF 10 JULT 2025</t>
  </si>
  <si>
    <t>SPECIAL ORDERS NO  114</t>
  </si>
  <si>
    <t>CORDOVA</t>
  </si>
  <si>
    <t>spin</t>
  </si>
  <si>
    <t>LAGAPA</t>
  </si>
  <si>
    <t>USING SMARTPHONE AFTER TAPS FOR BABY TIME O/A 22 2240 OCTOBER 2025</t>
  </si>
  <si>
    <t>ATUN</t>
  </si>
  <si>
    <t>UNACCOUNTED DURING NOON MESS O/A 05 1800H JULY 2025</t>
  </si>
  <si>
    <t>NOT ATTENDING SMC DUTY O/A 29 0500H JULY 2025</t>
  </si>
  <si>
    <t>6 MINS LATE FROM PRIVILEGE O/A 25 1206 AUGUST 2025</t>
  </si>
  <si>
    <t>MAMA</t>
  </si>
  <si>
    <t>LOST BUFFER RETAINER AND SPRING 01 1000H MAY 2025</t>
  </si>
  <si>
    <t>PLAYING GAMES AFTER TAPS DURING AOC'S INSPECTION O/A 09 2220 OCTOBER 2025</t>
  </si>
  <si>
    <t>SABADO</t>
  </si>
  <si>
    <t>POSSESSING TABLET AND POCKET WIFI DURING OC'S INSPECTION O/A 05 2048H JULY 2025</t>
  </si>
  <si>
    <t>LATE FROM NCBN GUARD MOUNTING O/A 03 1830H AUGUST 2025</t>
  </si>
  <si>
    <t>VIDEO CALLING DURING STUDY PERIOD O/A 03 2117H JUNE 2025</t>
  </si>
  <si>
    <t>STA. RITA</t>
  </si>
  <si>
    <t>CRUCILLO</t>
  </si>
  <si>
    <t>FACEBOOKING AND WATCHING YOUTUBE DURING AOC'S INSPECTION 24 2245H AUGUST 2025</t>
  </si>
  <si>
    <t>CRUZ</t>
  </si>
  <si>
    <t>POSSESSING HEATGUN O/A 11 2330H JUNE 2025</t>
  </si>
  <si>
    <t>DEL PRADO</t>
  </si>
  <si>
    <t>VIDEO CALLING DURING AOC'S INSPECTION O/A 07 1500 OCTOBER 2025</t>
  </si>
  <si>
    <t>GUANZON</t>
  </si>
  <si>
    <t>20 MINS LATE FROM 5TH PERIOD SD CLASS O/A 08 1444 JULT 2025</t>
  </si>
  <si>
    <t>ROLDAN</t>
  </si>
  <si>
    <t>HAVING RAMBAGIZED ROOM AS A GUARD O/A 29 1150H JUNE 2025</t>
  </si>
  <si>
    <t>TANONGON</t>
  </si>
  <si>
    <t>20 MINS LATE FROM 5TH PERIOD SD CLASS O/A 08 1444H JULY 2025ACCESSING SOCIAL MEDIA DURING STUDY PERIOD O/A 25 1400 SEPTEMBER 2025</t>
  </si>
  <si>
    <t>SPECIAL ORDERS NO 146</t>
  </si>
  <si>
    <t>ALVARADO</t>
  </si>
  <si>
    <t>UNACOUNTED DURING CATHOLIC CADETS FORMATION O/A 11 1300 OCTOBER 2025</t>
  </si>
  <si>
    <t>ASOQUE</t>
  </si>
  <si>
    <t>LATE FROM RELIGIOUS SPIRITUAL ENHANCEMENT DUTY O/A 12 0645 OCTOBER 2025</t>
  </si>
  <si>
    <t>CALDEMON</t>
  </si>
  <si>
    <t>CERBO</t>
  </si>
  <si>
    <t>CUARESMA</t>
  </si>
  <si>
    <t>LATE FROM 2ND PERIOD CLASS FORMATION O/A 13 0910 OCTOBER 2025</t>
  </si>
  <si>
    <t>ERTA</t>
  </si>
  <si>
    <t>MIRANDA</t>
  </si>
  <si>
    <t>RUTE</t>
  </si>
  <si>
    <t>UNAUTHORIZED PRESENCE INSIDE BARRACKS THAT IS NOT ATTENDING MORNING MESS O/A 28 0620 SEPTEMBER 2025</t>
  </si>
  <si>
    <t>SPECIAL ORDERS NO 128</t>
  </si>
  <si>
    <t>UNAUTHORIZED PRESENCE INSIDE BARRACKS THAT IS HIDING INSIDE LOCKER DURING MORNING MESS O/A 28 0620 SEPTEMBER 2025</t>
  </si>
  <si>
    <t>AS A GUARD, INAPPROPRIATE USE OF OC'S IPAD TO TAKE SELFIES O/A 19 0930H SEPTEMBER 2025</t>
  </si>
  <si>
    <t>SPECIAL ORDERS NO 152</t>
  </si>
  <si>
    <t>LATE FROM 2ND RELIEF SENTINEL POSTING O/A 26 2330 AUGUST 2025</t>
  </si>
  <si>
    <t>UNAUTHORIZED PRESENCE INSIDE BARRACKS THAT IS NOT ATTENDING MORNING MESS O/A 28 0550 SEPTEMBER 2025</t>
  </si>
  <si>
    <t>SPECIAL ORDERS NO 129</t>
  </si>
  <si>
    <t>ACCESSING FACEBOOK AND INSTAGRAM AFTER TAPS O/A 11 2300H JUNE 2025</t>
  </si>
  <si>
    <t>FABRO</t>
  </si>
  <si>
    <t>PLAYONG COMPUTER GAMES AFTER TAPS O/A 04 2110H 2025</t>
  </si>
  <si>
    <t>LATE FROM ENTRUCKING FORMATION O/A 25 0150H SEPTEMBER 2025</t>
  </si>
  <si>
    <t>NOT SUBMITTING OUTPUT ON TIME NAVAL SCIENCE: RANKS AND INSIGNIAS O/A 07 1200 SEPTEMBER 2025</t>
  </si>
  <si>
    <t>UNAUTHORIZED PRESENCE INSIDE BARRACKS THAT IS NOT ATTENDING MORNING MESS O/A 28 SEPTEMBER 2025</t>
  </si>
  <si>
    <t>MANDIGMA</t>
  </si>
  <si>
    <t>LATE FROM 3RD PERIOD CLASS FORMATION O/A 08 1030 OCTOBER 2025</t>
  </si>
  <si>
    <t>UNACCOUNTED FROM 5TH PERIOD CLASS FORMATION O/A 02 1130 OCTOBER 2025</t>
  </si>
  <si>
    <t>UNACCOUNTED DURING MORNING MESS FORMATION O/A 17 0530 OCTOBER 2025</t>
  </si>
  <si>
    <t>SPECIAL ORDERS NO 165</t>
  </si>
  <si>
    <t>ABSENT FROM MORNING MESS O/A 08 0630 OCTOBER 2025</t>
  </si>
  <si>
    <t>SPECIAL ORDERS NO 137</t>
  </si>
  <si>
    <t>USING SMARTPHONE O/A 07 1510 OCTOBER 2025</t>
  </si>
  <si>
    <t>UNACCOUNTED DURING MORNING MESS FORMATION O/A 12 0545H NOVEMBER 2025</t>
  </si>
  <si>
    <t>SPECIAL ORDERS NO 187</t>
  </si>
  <si>
    <t>LOST TWO MAGAZINES O/A 13 1546H NOVEMBER 2025</t>
  </si>
  <si>
    <t>1 SECOND LATE FROM MORNING MESS FORMATION O/A 01 0605H NOVEMBER 2025</t>
  </si>
  <si>
    <t>TURTOR</t>
  </si>
  <si>
    <t>UNACCOUNTED DURING 1CL COMMANDANT'S TIME O/A 27 1800 OCTOBER 2025</t>
  </si>
  <si>
    <t>VIDEO CALLING DURING STUDY PERIOD O/A 05 2020H NOVEMBER 2025</t>
  </si>
  <si>
    <t>BARQUILLA</t>
  </si>
  <si>
    <t>ACCESSING YOUTUBE DURING STUDY PERIOD O/A 25 1400 25 1400 SEPETEMBER 2025</t>
  </si>
  <si>
    <t>LLENAS</t>
  </si>
  <si>
    <t>SPECIAL ORDERS NO 188</t>
  </si>
  <si>
    <t>LATE FROM 1ST PERIOD CLASS FORMATION O/A 12 0650H NOVEMBER 2025</t>
  </si>
  <si>
    <t>SPECIAL ORDERS NO 180</t>
  </si>
  <si>
    <t>4 MINS LATE FROM 1ST PERIOD CLASS FORMATION O/A 16 0750 OCTOBER 2025</t>
  </si>
  <si>
    <t>UNAUTHORIZED PRESENCE INSIDE BARRACKS THAT IS NOT ATTENDING RELIGIOUS SERVICE O/A 19 0810H OCTOBER 2025</t>
  </si>
  <si>
    <t>SPECIAL ORDERS NO 163</t>
  </si>
  <si>
    <t>WATCHING VIDEO AFTER TAPS O/A 18 2335H NOVEMBER 2025</t>
  </si>
  <si>
    <t>DALUMBAR</t>
  </si>
  <si>
    <t>USING CELLPHONE AFTER TAPS O/A 13 2345H NOVEMBER 2025</t>
  </si>
  <si>
    <t>USING CELLPHONE AFTER TAPS O/A 19 1515H NOVEMBER 2025</t>
  </si>
  <si>
    <t>UNAUTHORIZED PRESENCE INSIDE BARRACKS O/A 25 1435 SEPETEMBER 2025</t>
  </si>
  <si>
    <t>ACCESSING SPOTIFY DURING UNAUTHORIZED PERIOD O/A 19 1300H NOVEMBER 2025</t>
  </si>
  <si>
    <t>ACCESSING FACEBOOK AFTER TAPS DURING AOC's INSPECTION O/A 23 2330H OCTOBER 2025</t>
  </si>
  <si>
    <t>GOING ON EARLY MESS WITHOUT PROPER AUTHORITY AND DESPITE NOT PERFORMING HIS DUTY AS COLOR SERGEANT DETAILED AS A SUPERVISOR DURING THE FLAG RAISING O/A 07 OCTOBER 2025</t>
  </si>
  <si>
    <t>SPECIAL ORDERS NO 145</t>
  </si>
  <si>
    <t>AS A RESPONSIBLE ACCQ, WATCHING VIDEO NOT RELATED TO ACADEMICS O/A 29 0510H OCTOBER 2025</t>
  </si>
  <si>
    <t>SPECIAL ORDERS NO 167</t>
  </si>
  <si>
    <t>UNAUTHORIZED PRESENCE INSIDE BARRACKS DURING CORPS FORMATION O/A 24 0720H OCTOBER 2025</t>
  </si>
  <si>
    <t>AS A MESS COUNCIL, NOT ATTENDING MESS DUTY O/A 10 0600H JULY 2025</t>
  </si>
  <si>
    <t>SPECIAL ORDERS NO 69 DTD  25 JULY 2025</t>
  </si>
  <si>
    <t>POSSESSING VAPE DURING AOC'S INSPECTION O/A 05 2100 OCTOBER 2025</t>
  </si>
  <si>
    <t>CANGAYO</t>
  </si>
  <si>
    <t>DOING UNAUTHORIZED THINGS AFTER TAPS, THAT IS BROWSING THE INTERNET O/A 24 2358 OCTOBER 2025</t>
  </si>
  <si>
    <t>ACCESSING FACEBOOK DURING AOC'S INSPECTION O/A 21 2300H NOVEMBER 2025</t>
  </si>
  <si>
    <t>EBON</t>
  </si>
  <si>
    <t>ACCESSING YOUTUBE AFTER TAPS O/A 23 2250H OCTOBER 2025</t>
  </si>
  <si>
    <t>SPECIAL ORDERS NO 184</t>
  </si>
  <si>
    <t>USING VAPE O/A 17 1530H NOVEMBER 2025</t>
  </si>
  <si>
    <t>ONDOY</t>
  </si>
  <si>
    <t>SPECIAL ORDERS NO 181</t>
  </si>
  <si>
    <t>ADDUN</t>
  </si>
  <si>
    <t>INSUBORDINATION THAT IS NOT TAKING THE TEOFL EXAM DESPITE THE INSTRUCTION OF COMMANDANT OF CADETS O/A 29 1800 JANUARY 2026</t>
  </si>
  <si>
    <t>SPECIAL ORDERS NO 44</t>
  </si>
  <si>
    <t>BUCAYU</t>
  </si>
  <si>
    <t>HAVING LOST M16 MAGAZINE, CHARGING HANDLE LATCH AND SPRING O/A 13 1500H APRIL 2025</t>
  </si>
  <si>
    <t>ESTERNON</t>
  </si>
  <si>
    <t>LATE FROM 4CL EVENING MESS FORMATION O/A 12 1805H NOVEMBER 2025</t>
  </si>
  <si>
    <t>LADESMA</t>
  </si>
  <si>
    <t>LOMEREZ</t>
  </si>
  <si>
    <t>ACCESSING COMPUTER GAMES AFTER TAPS O/A 25 2220 JANUARY 2026</t>
  </si>
  <si>
    <t>ACCESSING AFTER TAPS O/A 25 2220 JANUARY 2026 DURING AOC'S INSPECTION</t>
  </si>
  <si>
    <t>BRINGING UNAUTHORIZED GADGET IN LAW231 CLASS O/A 03 1040H-1150H JUNE 2025</t>
  </si>
  <si>
    <t>PLAYING COMPUTER GAMES AFTER TAPS O/A 13 2345H NOVEMBER 2025</t>
  </si>
  <si>
    <t>WATCHING MOVIES IN BILI-BILI AFTER TAPS O/A 21 2300H NOVEMBER 2025</t>
  </si>
  <si>
    <t>SPECIAL ORDERS NO 183</t>
  </si>
  <si>
    <t>ACCESSING FACEBOOK DURING AOC'S INSPECTION O/A 28 1725H NOVEMBER 2025</t>
  </si>
  <si>
    <t>20 MINS LATE FROM TERMINATION OF ESCORTING PRIVILEGE O/A 16 0020H NOVEMBER 2025</t>
  </si>
  <si>
    <t>MANALOTO</t>
  </si>
  <si>
    <t>GOING ON OFF LIMITS DURING AOC'S INSPECTION O/A 02 0100H NOVENBER 2025</t>
  </si>
  <si>
    <t>SPECIAL ORDERS NO 43</t>
  </si>
  <si>
    <t>45 MINS LATE FROM SD322 CLASS (LAWN TENNIS) O/A 0800H - 0910 DTD 07 NOVEMBER 2025</t>
  </si>
  <si>
    <t>CARPIO</t>
  </si>
  <si>
    <t>ABULENCIA</t>
  </si>
  <si>
    <t>USING SMARTPHONE DURING NCMC ENTRUCKING WITHOUT AUTHORITY O/A 20 SEPTEMBER 2025</t>
  </si>
  <si>
    <t>CCPB CHAIRMAN: CDT CPT 1CL ELAINE LYKA O CANAYA C-26083 ‘G’ Co CCAFP</t>
  </si>
  <si>
    <t>COMPANY</t>
  </si>
  <si>
    <t>AWARDS</t>
  </si>
  <si>
    <t>Violation of
Section VII: Gender and Development Para 10.b.3 of the CCAFPR s2024</t>
  </si>
  <si>
    <t>39-20</t>
  </si>
  <si>
    <t>S.O. Nr 09 dts 23 JAN 2026</t>
  </si>
  <si>
    <t>HERNANDEZ</t>
  </si>
  <si>
    <t>DATING THAT IS EXCLUSIVELY MEETING WITH 2CL GARCIA 'F' IN AN ART MUSEUM DURING INDEPENDENCE DAY CONTINGENTS PRIVILEGE O/A 12 JUNE 2025</t>
  </si>
  <si>
    <t>65-50</t>
  </si>
  <si>
    <t>S.O. Nr 01 dtd 10 OCT 2025</t>
  </si>
  <si>
    <t>DE MESA</t>
  </si>
  <si>
    <t>VIOLATING OTHER PEOPLE'S PRIVACY THAT IS TAKING ANOTHER CADETS' LAPTOP AND VIEWING ITS CONTENT AND SPREADING FALSE INFORMATION O/A 03 1100H NOVEMBER 2025.</t>
  </si>
  <si>
    <t>181-181</t>
  </si>
  <si>
    <t>POSSESSING SMARTPHONE AND USED IT FOR TAKING AND SHARING UNAUTHORIZED PICTURES INSIDE BARRACKS O/A 17 1600H JUNE 2025</t>
  </si>
  <si>
    <t>180-180</t>
  </si>
  <si>
    <t>S.O. NR 01 dtd 10 OCTOBER 2025</t>
  </si>
  <si>
    <t>LATE FROM POSTING CCHC STATION O/A 31 MAY 2025</t>
  </si>
  <si>
    <t>15-15</t>
  </si>
  <si>
    <t>S.O. Nr. 02 dtd 30 OCTOBER 2025</t>
  </si>
  <si>
    <t>DATING THAT IS DELIBERATELY MEETING WITH 3CL JIMENEZ ‘D’ AT THE 2ND FLOOR FLORENDO HALL CLUBROOM O/A 07 0304H SEPTEMBER 2025</t>
  </si>
  <si>
    <t>140-140</t>
  </si>
  <si>
    <t>IMPROPER ACCOMPLISHMENT OF CHECKLIST THAT IS NOT FILLING UP THE "NOTED BY" PORTION OF THE CHECKLIST</t>
  </si>
  <si>
    <t>GOING OFF LIMITS THAT IS GOING TO AFPCES DESPITE BEING AN FAD O/A 22 1420H JULY 2025</t>
  </si>
  <si>
    <t>40-25</t>
  </si>
  <si>
    <t>NOT MAINTAINING DIGNITY ASA CCHC THAT IS LATE FROM POSTING</t>
  </si>
  <si>
    <t>22-10</t>
  </si>
  <si>
    <t>S.O. Nr 01 dtd 10 OCT 2026</t>
  </si>
  <si>
    <t>DATING THAT IS MEETING 3CL PONDANG 'E' AT THE ECHO CLUBROOM DESPITE BEING IN THE S2 WATCHLIST O/A 03 0400 OCTOBER 2025</t>
  </si>
  <si>
    <t>POSSESSING UNAUTHORIZED PHONE DURING INDEPENDENCE PARADE ENTRUCKING O/A 10 JUNE 2025</t>
  </si>
  <si>
    <t>150-150</t>
  </si>
  <si>
    <t>AS A GUARD THAT IS  INSISTING TO MEET WITH 1CL HERNANDEZ  'E' DESPITE BEING IN THE DATING WATCHLIST O/A 05 1931H JUNE 2025</t>
  </si>
  <si>
    <t>DATING THAT IS EXCLUSIVELY MEETING WITH 1CL HERNANDEZ 'E' IN AN ART MUSEUM DURING INDEPENDENCE DAY CONTINGENTS PRIVILEGE O/A 12 JUNE 2025</t>
  </si>
  <si>
    <t>AS A RESPONSIBLE
ACIC OF ARTS AND PROPS, NOT SUPERVISING THE CLEANLINESS OF REGIS
HALL BASEMENT THAT IS LETTING URINE STAY ON THE FLOOR AND SCAGS
SCATTERED IN THE WORKOUT AREA O/A 08 2300H DECEMBER 2025.</t>
  </si>
  <si>
    <t>SUMBID</t>
  </si>
  <si>
    <t>PASSING IN FRONT OF MELCHOR HALL UPON GOING TO OMASH O/A 29 1625H OCTOBER 2025</t>
  </si>
  <si>
    <t>S.O. Nr. 08 dtd 24 NOVEMBER 2025</t>
  </si>
  <si>
    <t>ANGGA</t>
  </si>
  <si>
    <t xml:space="preserve">UNAUTHORIZED
POSTING OF INSIDE BARRACKS PHOTO IN SOCIAL MEDIA DURING CLOSED
CALL TO QUARTERS DESPITE NUMEROUS CAUTIONS O/A 05 1115
DECEMBER 2025. </t>
  </si>
  <si>
    <t>MALACA</t>
  </si>
  <si>
    <t>DATING THAT IS DELIBERATELY MEETING WITH 3CL PANAHON AT THE GAZEBOO-ASSAULT COURSE O/A 16 1630H SEPTEMBER 2025</t>
  </si>
  <si>
    <t>110-105</t>
  </si>
  <si>
    <t>POSSESSING  VAPE O/A 06 1300H SEPTEMBER 2025</t>
  </si>
  <si>
    <t>VIOLATION OF CLASSROOM CONDUCT THAT IS TAKING OUT NOTE WITHOUT
INSTRUCTION DURING ACTIVITY IN FSS231 O/A 18 JUNE 2025</t>
  </si>
  <si>
    <t>35-18</t>
  </si>
  <si>
    <t>DATING THAT IS DELIBERATELY MEETING WITH 2CL CELAJES ‘D’ AT THE 2ND FLOOR FLORENDO HALL CLUBROOM O/A 0304H SEPTEMBER 2025</t>
  </si>
  <si>
    <t>AS AN RCCQ,
DOZING IN POST O/A 30 OCTOBER 2025</t>
  </si>
  <si>
    <t>AS AN ARCCQ, NOT MAINTAINING DIGNITY THAT IS DOZING ON POST O/A 19 OCTOBER 2025.</t>
  </si>
  <si>
    <t>S.O. Nr 07 dtd 13 NOVEMBER 2025</t>
  </si>
  <si>
    <t>GALO</t>
  </si>
  <si>
    <t>WEARING UNIRONED GABARDINE WHITE PANTS DURING CLASS FORMATION</t>
  </si>
  <si>
    <t>IV</t>
  </si>
  <si>
    <t>LIMSON</t>
  </si>
  <si>
    <t>SAGARIO</t>
  </si>
  <si>
    <t>PIZON</t>
  </si>
  <si>
    <t>WEARING DUSTY AND IMPROPERLY SHINED COMBAT BOOTS DURING CLASS FORMATION</t>
  </si>
  <si>
    <t>MURILLO</t>
  </si>
  <si>
    <t>OFF-LIMITS THAT IS SLEEPING INSIDE
THE STOCKROOM WITH LIGHTS OFF DURING ECTQ O/A 14 2100H JANUARY
2026</t>
  </si>
  <si>
    <t>TABALNZA</t>
  </si>
  <si>
    <t>OFF-LIMITS THAT IS SLEEPING INSIDE THE STOCKROOM WITH LIGHTS OFF DURING ECTQ O/A 14 2100H JANUARY 2026</t>
  </si>
  <si>
    <t>TAY</t>
  </si>
  <si>
    <t>AS A 4CL, GOING ON UNAUTHORIZED ENTERTAINING PRIVILEGE WHILE WEARING ATHLETIC UNIFORM O/ 02 1500H NOVEMBER 2025</t>
  </si>
  <si>
    <t>LUARETA</t>
  </si>
  <si>
    <t>WEARING UNIRONED GABARDINE WHITE PANTS DURING 1ST PERIOD CLASS FORMATION O/A 13 0750H OCTOBER 2025.</t>
  </si>
  <si>
    <t>CANOY</t>
  </si>
  <si>
    <t>ROSAROSO</t>
  </si>
  <si>
    <t>UNAUTHORIZED POSSESSION OF SMARTPHONE.</t>
  </si>
  <si>
    <t>UNAUTHORIZED POSSESSION OF
SMARTPHONE.</t>
  </si>
  <si>
    <t>AS A FOURTHCLASSMAN, GOING ON MHAAN’S O/A 22 1500H OCTOBER 2025</t>
  </si>
  <si>
    <t>MUALLIL</t>
  </si>
  <si>
    <t>BASSIG</t>
  </si>
  <si>
    <t>NOT ADHERING TO THE COMMAND'S GUIDANCE THAT IS POSTING HOP-RELATED PHOTOS ON SOCIAL MEDIA O/A 09 NOVEMBER 2025</t>
  </si>
  <si>
    <t>50-30</t>
  </si>
  <si>
    <t>AS A GUARD, NOT MAINTAINING DIGNITY THAT IS 20 MINS LATE FROM POSTING O/A 11 MAY 2025</t>
  </si>
  <si>
    <t>LIGAN</t>
  </si>
  <si>
    <t>WEARING UNPRESCRIBED UNIFORM THAT IS NOT WEARING GENERAL ATHLETIC UNIFORM WHEN GOING ON SD CLASS O/A 19 1300H AUGUST 2025</t>
  </si>
  <si>
    <t>DATING THAT IS INSISTING TO MEET WITH 2CL GARCIA  'F' DESPITE BEING IN THE DATING WATCHLIST O/A 05 1931H JUNE 2025</t>
  </si>
  <si>
    <t>85-75</t>
  </si>
  <si>
    <t>OLALO</t>
  </si>
  <si>
    <t>IMPROPER ACCOMPLISH,ENT OF CHECKLIST THAT IS NOT FILLING UP THE "ACKNOWLEDGE BY" PORTION OF THE CHECKLIST O/A 31 MAY 2025</t>
  </si>
  <si>
    <t>VIOLATION OF THE REGULATION ON CADET LIMITS OF THE OPPOSITE SEX WITHIN THE BARRACKS AREA O/A 27 0340H SEPTEMBER 2025</t>
  </si>
  <si>
    <t>85-50</t>
  </si>
  <si>
    <t>AS AN HCFI, NOT ATTENDING GUARD MOUNTING O/A 19 1830H OCTOBER 2025</t>
  </si>
  <si>
    <t>AMANGAN</t>
  </si>
  <si>
    <t>IMPROPER ACCOMPLISHMENT OF CHECKLIST THAT IS NOT FILLING OUT ALL DETAILS NEEDED O/A 02 JUNE 2025</t>
  </si>
  <si>
    <t>S.O. Nr. 03 dtd 30 OCTOBER 2025</t>
  </si>
  <si>
    <t>NOT
ADHERING TO THE COMMAND'S GUIDANCE THAT IS POSTING HOP-RELATED
PHOTOS ON SOCIAL MEDIA O/A 09 NOVEMBER 2025</t>
  </si>
  <si>
    <t>COCOY</t>
  </si>
  <si>
    <t>IMPROPER ACCOMPLISHMENT OF CHECKLIST THAT IS NOT FILLING OUT ALL DETAILS NEEDED</t>
  </si>
  <si>
    <t>ENTERING THE MELCHOR HALL USING THE BACK ENTRANCE O/A 29 0940 JULY 2025</t>
  </si>
  <si>
    <t>DECIERDO</t>
  </si>
  <si>
    <t>MPROPER ACCOMPLISHMENT OF CHECKLIST THAT IS NOT GIVING JUSTIFICATION AND NOT AFFIXING HIS SIGNATURE O/A 07 MAY 2025</t>
  </si>
  <si>
    <t>GEPOLANI</t>
  </si>
  <si>
    <t>MIGUEL</t>
  </si>
  <si>
    <t>TRUMATA</t>
  </si>
  <si>
    <t>ENTERING THE MELCHOR HALL
USING THE BACK ENTRANCE O/A 28 1100H OCTOBER 2025.</t>
  </si>
  <si>
    <t>MITRA</t>
  </si>
  <si>
    <t>VIOLATING PARA 7.C, SEC XXIX OF CCAFPR s 2024 THAT IS ORDERING A CADET TO DO SQUAT THRUST INSIDE THE MESS HALL O/A 04 JUNE 2025</t>
  </si>
  <si>
    <t>S.O. Nr 07 dtd 13 NOV 2025</t>
  </si>
  <si>
    <t>MALIWANG</t>
  </si>
  <si>
    <t>DATING O/A 15 APRIL 2025</t>
  </si>
  <si>
    <t>QUILILAN</t>
  </si>
  <si>
    <t>UNAUTHORIZED POSTING ON SOCIAL MEDIA THAT IS POSTING HIS CADET ID ON STORY O/A 03 2130H JUNE 2025</t>
  </si>
  <si>
    <t>50-40</t>
  </si>
  <si>
    <t>NOT WEARING PRESCRIBED UNIFORM FOR RELIGIUOS SERVICE DUTY THAT IS WEARING PICNIC UNIFORM INSTEAD OF FULLDRESS GRAY WITH WHITE BELT AND HOP GLOVES O/A 22 0600h JUNE 2025</t>
  </si>
  <si>
    <t>NOT PAYING COMPANY FUND ON TIME O/A 30 0800H JUNE 2025</t>
  </si>
  <si>
    <t>S.O. Nr 5 dtd 30 0CTOBER 2025</t>
  </si>
  <si>
    <t>NOT FOLLOWING INSTRUCTIONS FROM THE COMPANY TACTICAL OFFICER AND S6 THAT IS RESULTING TO A SERIOUS OR CLASS II OFFENSE O/A 26 2030H AUGUST 2025</t>
  </si>
  <si>
    <t>39-29</t>
  </si>
  <si>
    <t>ADORACION</t>
  </si>
  <si>
    <t>UNAUTHORIZED ENTERTAINING DURING 1/2 BN HOP O/A 08 2145 NOVEMBER
2025.</t>
  </si>
  <si>
    <t>DAEZ</t>
  </si>
  <si>
    <t>IMPROPER ACCOMPLISHMENT OF CHECKLIST o/a 04 MAY 2025</t>
  </si>
  <si>
    <t>S.O. Nr 06 dtd 30 OCT 2025</t>
  </si>
  <si>
    <t>TOQUERO</t>
  </si>
  <si>
    <t>AS CCQ POSSESSING AND UTILZING UNAUTHORIZED PHONE DURING HIS DUTY</t>
  </si>
  <si>
    <t>UNILONGO</t>
  </si>
  <si>
    <t>ENTERING THE MELCHOR HALL USING THE BACK ENTRANCE O/A 28 1130 OCT 2025</t>
  </si>
  <si>
    <t>IMPROPER ACCOMPLISHMENT OF CHECKLIST O/A 31 M,AY 2025</t>
  </si>
  <si>
    <t>VIOLATION OF PARA 10.B.3 OF SECTION VII OF CCAFPR S2024, THAT IS, UNINTENTIONALLY TOUCHING THE BACK OF 1CL QUIZON O/A 07 0400H SEPTEMBER 2025</t>
  </si>
  <si>
    <t>ARCIAGA</t>
  </si>
  <si>
    <t>COLETO</t>
  </si>
  <si>
    <t>IMPROPER ACCOMPLISHMENT  OF THE CHECKLIST THAT IS NOT FILLING OUT ALL DETAILS NEEDED O/A 10 MAY 2025</t>
  </si>
  <si>
    <t>VIRREY</t>
  </si>
  <si>
    <t>IMPROPER ACCOMPLISHMENT OF CHECKLIST THAT IS NOT FILLING UP THE "NOTED BY" PORTION O/A 27 JULY 2025</t>
  </si>
  <si>
    <t>50 MINS LATE FROM 2ND RELIEF O/A 14 0010H OCTOBER 2025</t>
  </si>
  <si>
    <t>OFF-LIMITS THAT IS GOING INSIDE THE ROOM OF A MALE CADET O/A 05 0322H OCTOBER 2025</t>
  </si>
  <si>
    <t>CANUTAB</t>
  </si>
  <si>
    <t>IMPROPER ACCOMPLISHMENT OF CHECKLIST O/A 05 MAY 2025</t>
  </si>
  <si>
    <t>CELESTIAL</t>
  </si>
  <si>
    <t>UNAUTHORIZED POSTING OF INSIDE BARRACKS PHOTO IN SOCMED O/A 20 NOVEMBER 2025</t>
  </si>
  <si>
    <t>NOT MAINTAINING DIGNITY AS A GUARD THAT IS DOZING OFF DURING HIS TOUR OF DUTY O/A 06 MAY 2025</t>
  </si>
  <si>
    <t>S.O. Nr 04 dtd 10 OCT 2025</t>
  </si>
  <si>
    <t>AGOD</t>
  </si>
  <si>
    <t>PALOGAN</t>
  </si>
  <si>
    <t>NOT ACCEPTING GUARD POSTING DESPITE HAVING NO AUTHORIZED TALENT 0/A 30 2000H OCTOBER 2025</t>
  </si>
  <si>
    <t>PANGOD</t>
  </si>
  <si>
    <t>CADET UNBECOMING THAT IS FIRING AIRSOFT OUT OF THE WINDOW DESPITE KNOWING THE PRESENCE OF CIVILIANS BELOW DURING INDEPENDENCE DAY CONTINGENTS PRIVELEGE O/A 10 JUNE 2025</t>
  </si>
  <si>
    <t>BULAWAN</t>
  </si>
  <si>
    <t>IMPROPER ACCOMPLISHMENT OF CHECKLIST THAT IS NOT FILLINF UP ALL NECESSARY DETAILS NEEDED O/A 06 JUNE 2025</t>
  </si>
  <si>
    <t>PONDANG</t>
  </si>
  <si>
    <t>DATING THAT IS MEETING 2CL CATACUTAN 'E' AT THE ECHO CLUBROOM DESPITE BEING IN THE S2 WATCHLIST O/A 03 0400 OCTOBER 2025</t>
  </si>
  <si>
    <t>REVANTAD</t>
  </si>
  <si>
    <t>IMPROPERLY ACCOMPLISHING CHECKLIST O/A 03 0630H AUGUST 2025</t>
  </si>
  <si>
    <t>CALIXTO</t>
  </si>
  <si>
    <t>UNAUTHORIZED POSSESSION OF SMARTPHONE O/A 29 2230H JUNE 2025</t>
  </si>
  <si>
    <t>GOLIS</t>
  </si>
  <si>
    <t>AS A SG 1, HAVING DIRTY SWORDSTRAP o/a 28 JUNE 2025</t>
  </si>
  <si>
    <t>PARAS</t>
  </si>
  <si>
    <t>IMPROPER ACCOMPLISHMENT OF CHECKLIST THAT IS AS A RCCQ, NOT SIGNING THE ACKNOWLEDGED BY PORTION</t>
  </si>
  <si>
    <t>RULETE</t>
  </si>
  <si>
    <t>VIOLATION OF CLASSROOM PROCEDURES THAT IS MAKING HER GPS IN MAT 231 DURING OM231 DESPITE MULTIPLE CAUTIONS o/a 14 JULY 2025</t>
  </si>
  <si>
    <t>VIOLATION OF SPECIFIC INSTRUCTION THAT IS BUYING FROM WET MARKET AT POST COM DESPITE EXISTIN POLICIES AGAINST SUCH ACTION o/a 03 1100H NOV 2025</t>
  </si>
  <si>
    <t>IMPROPER ACCOMPLISHMENT OF CHECKLIST THAT IS NOT FILLING UP THE "ACKNOWLEDGE BY" PORTION OF THE CHECKLIST O/A 03 JUNE 2025</t>
  </si>
  <si>
    <t>BOBON</t>
  </si>
  <si>
    <t>TIHOK</t>
  </si>
  <si>
    <t>LUMIWES</t>
  </si>
  <si>
    <t>SANDOVAL</t>
  </si>
  <si>
    <t>CADET UNBECOMING THAT IS NOT COMPLYING THE ORDERS OF HIS SQUADLEADER, INSTEAD HE IS INTENTIONALLLY DOING THINGS THAT WILL GET HIM ENDORSED O/A 21 1330H OCTOBER.”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</si>
</sst>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m d yyyy"/>
    <numFmt numFmtId="165" formatCode="mmm d"/>
    <numFmt numFmtId="166" formatCode="m/d/yyyy"/>
    <numFmt numFmtId="167" formatCode="d mmm"/>
    <numFmt numFmtId="168" formatCode="d mmmm"/>
    <numFmt numFmtId="169" formatCode="dd mmm"/>
    <numFmt numFmtId="170" formatCode="d mmm yyyy"/>
    <numFmt numFmtId="171" formatCode="mmm dd"/>
    <numFmt numFmtId="172" formatCode="mmmm d"/>
    <numFmt numFmtId="173" formatCode="m-d"/>
  </numFmts>
  <fonts count="81">
    <font>
      <sz val="10.0"/>
      <color rgb="FF000000"/>
      <name val="Arial"/>
      <scheme val="minor"/>
    </font>
    <font>
      <b/>
      <sz val="27.0"/>
      <color theme="1"/>
      <name val="Arial"/>
      <scheme val="minor"/>
    </font>
    <font/>
    <font>
      <b/>
      <sz val="22.0"/>
      <color theme="1"/>
      <name val="Arial"/>
      <scheme val="minor"/>
    </font>
    <font>
      <sz val="250.0"/>
      <color theme="1"/>
      <name val="Arial"/>
      <scheme val="minor"/>
    </font>
    <font>
      <color theme="1"/>
      <name val="Arial"/>
      <scheme val="minor"/>
    </font>
    <font>
      <b/>
      <sz val="50.0"/>
      <color theme="1"/>
      <name val="Arial"/>
      <scheme val="minor"/>
    </font>
    <font>
      <b/>
      <sz val="50.0"/>
      <color theme="1"/>
      <name val="Arial"/>
    </font>
    <font>
      <color theme="1"/>
      <name val="Arial"/>
    </font>
    <font>
      <b/>
      <sz val="50.0"/>
      <color rgb="FFFFFFFF"/>
      <name val="Arial"/>
    </font>
    <font>
      <b/>
      <sz val="54.0"/>
      <color theme="1"/>
      <name val="Arial"/>
    </font>
    <font>
      <b/>
      <sz val="18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7.0"/>
      <color theme="1"/>
      <name val="Arial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sz val="18.0"/>
      <color theme="1"/>
      <name val="Arial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sz val="15.0"/>
      <color theme="1"/>
      <name val="Arial"/>
    </font>
    <font>
      <b/>
      <sz val="21.0"/>
      <color theme="1"/>
      <name val="Arial"/>
      <scheme val="minor"/>
    </font>
    <font>
      <b/>
      <sz val="36.0"/>
      <color theme="1"/>
      <name val="Arial"/>
    </font>
    <font>
      <b/>
      <sz val="36.0"/>
      <color theme="1"/>
      <name val="Arial"/>
      <scheme val="minor"/>
    </font>
    <font>
      <b/>
      <sz val="32.0"/>
      <color rgb="FFFFFFFF"/>
      <name val="Arial"/>
    </font>
    <font>
      <b/>
      <sz val="36.0"/>
      <color rgb="FFFFFFFF"/>
      <name val="Arial"/>
    </font>
    <font>
      <b/>
      <sz val="31.0"/>
      <color rgb="FFFFFFFF"/>
      <name val="Arial"/>
    </font>
    <font>
      <sz val="36.0"/>
      <color theme="1"/>
      <name val="Arial"/>
      <scheme val="minor"/>
    </font>
    <font>
      <b/>
      <sz val="20.0"/>
      <color theme="1"/>
      <name val="Arial"/>
    </font>
    <font>
      <b/>
      <sz val="24.0"/>
      <color theme="1"/>
      <name val="Arial"/>
      <scheme val="minor"/>
    </font>
    <font>
      <b/>
      <color theme="1"/>
      <name val="Arial"/>
      <scheme val="minor"/>
    </font>
    <font>
      <b/>
      <sz val="19.0"/>
      <color theme="1"/>
      <name val="Arial"/>
    </font>
    <font>
      <b/>
      <sz val="25.0"/>
      <color theme="1"/>
      <name val="Arial"/>
    </font>
    <font>
      <b/>
      <sz val="13.0"/>
      <color rgb="FFFFFFFF"/>
      <name val="Arial"/>
    </font>
    <font>
      <b/>
      <color rgb="FFFFFFFF"/>
      <name val="Arial"/>
    </font>
    <font>
      <b/>
      <sz val="12.0"/>
      <color rgb="FFFFFFFF"/>
      <name val="Arial"/>
    </font>
    <font>
      <b/>
      <sz val="13.0"/>
      <color rgb="FFFFFFFF"/>
      <name val="Arial"/>
      <scheme val="minor"/>
    </font>
    <font>
      <b/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sz val="12.0"/>
      <color theme="1"/>
      <name val="Arial"/>
    </font>
    <font>
      <b/>
      <sz val="13.0"/>
      <color theme="1"/>
      <name val="Arial"/>
      <scheme val="minor"/>
    </font>
    <font>
      <b/>
      <sz val="25.0"/>
      <color rgb="FFFFFFFF"/>
      <name val="Arial"/>
    </font>
    <font>
      <b/>
      <sz val="14.0"/>
      <color rgb="FFFFFFFF"/>
      <name val="Arial"/>
    </font>
    <font>
      <b/>
      <sz val="12.0"/>
      <color rgb="FF666666"/>
      <name val="Arial"/>
    </font>
    <font>
      <b/>
      <color rgb="FF000000"/>
      <name val="Arial"/>
    </font>
    <font>
      <color rgb="FF11734B"/>
      <name val="Arial"/>
    </font>
    <font>
      <color rgb="FF000000"/>
      <name val="Arial"/>
    </font>
    <font>
      <sz val="11.0"/>
      <color rgb="FF000000"/>
      <name val="Arial"/>
    </font>
    <font>
      <color rgb="FF473821"/>
      <name val="Arial"/>
    </font>
    <font>
      <b/>
      <sz val="25.0"/>
      <color rgb="FF000000"/>
      <name val="Arial"/>
    </font>
    <font>
      <b/>
      <sz val="14.0"/>
      <color rgb="FF000000"/>
      <name val="Arial"/>
    </font>
    <font>
      <b/>
      <sz val="13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2.0"/>
      <color theme="1"/>
      <name val="&quot;Calibri&quot;"/>
    </font>
    <font>
      <color rgb="FF000000"/>
      <name val="Arial"/>
      <scheme val="minor"/>
    </font>
    <font>
      <sz val="12.0"/>
      <color theme="1"/>
      <name val="Calibri"/>
    </font>
    <font>
      <b/>
      <sz val="21.0"/>
      <color theme="1"/>
      <name val="Arial"/>
    </font>
    <font>
      <b/>
      <sz val="12.0"/>
      <color theme="1"/>
      <name val="Arial"/>
      <scheme val="minor"/>
    </font>
    <font>
      <b/>
      <sz val="10.0"/>
      <color theme="1"/>
      <name val="Arial"/>
    </font>
    <font>
      <sz val="11.0"/>
      <color rgb="FFD4EDBC"/>
      <name val="Arial"/>
    </font>
    <font>
      <color rgb="FFFFCFC9"/>
      <name val="Arial"/>
    </font>
    <font>
      <u/>
      <color rgb="FF0000FF"/>
      <name val="Arial"/>
    </font>
    <font>
      <sz val="9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sz val="15.0"/>
      <color rgb="FFFFFFFF"/>
      <name val="Arial"/>
    </font>
    <font>
      <color rgb="FFFFFFFF"/>
      <name val="Arial"/>
    </font>
    <font>
      <sz val="12.0"/>
      <color rgb="FFFFFFFF"/>
      <name val="Arial"/>
    </font>
    <font>
      <sz val="11.0"/>
      <color theme="1"/>
      <name val="Calibri"/>
    </font>
    <font>
      <sz val="11.0"/>
      <color rgb="FFFFFFFF"/>
      <name val="Arial"/>
    </font>
    <font>
      <b/>
      <sz val="11.0"/>
      <color rgb="FFFFFFFF"/>
      <name val="Arial"/>
    </font>
    <font>
      <sz val="12.0"/>
      <color theme="1"/>
      <name val="Arial"/>
      <scheme val="minor"/>
    </font>
    <font>
      <sz val="11.0"/>
      <color theme="1"/>
      <name val="&quot;Arial&quot;"/>
    </font>
    <font>
      <i/>
      <sz val="11.0"/>
      <color theme="1"/>
      <name val="Arial"/>
    </font>
    <font>
      <i/>
      <sz val="11.0"/>
      <color rgb="FF000000"/>
      <name val="Arial"/>
    </font>
    <font>
      <i/>
      <sz val="12.0"/>
      <color rgb="FF00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BFE1F6"/>
        <bgColor rgb="FFBFE1F6"/>
      </patternFill>
    </fill>
    <fill>
      <patternFill patternType="solid">
        <fgColor rgb="FFFFCFC9"/>
        <bgColor rgb="FFFFCFC9"/>
      </patternFill>
    </fill>
    <fill>
      <patternFill patternType="solid">
        <fgColor rgb="FFFFE5A0"/>
        <bgColor rgb="FFFFE5A0"/>
      </patternFill>
    </fill>
    <fill>
      <patternFill patternType="solid">
        <fgColor rgb="FF11734B"/>
        <bgColor rgb="FF11734B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theme="7"/>
        <bgColor theme="7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D4EDBC"/>
        <bgColor rgb="FFD4EDBC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2" fillId="5" fontId="7" numFmtId="0" xfId="0" applyAlignment="1" applyBorder="1" applyFill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2" fillId="6" fontId="7" numFmtId="0" xfId="0" applyAlignment="1" applyBorder="1" applyFill="1" applyFont="1">
      <alignment horizontal="center" vertical="center"/>
    </xf>
    <xf borderId="2" fillId="7" fontId="7" numFmtId="0" xfId="0" applyAlignment="1" applyBorder="1" applyFill="1" applyFont="1">
      <alignment horizontal="center" readingOrder="0" vertical="center"/>
    </xf>
    <xf borderId="2" fillId="8" fontId="7" numFmtId="0" xfId="0" applyAlignment="1" applyBorder="1" applyFill="1" applyFont="1">
      <alignment horizontal="center" readingOrder="0" vertical="center"/>
    </xf>
    <xf borderId="1" fillId="9" fontId="7" numFmtId="0" xfId="0" applyAlignment="1" applyBorder="1" applyFill="1" applyFont="1">
      <alignment horizontal="center" readingOrder="0" vertical="center"/>
    </xf>
    <xf borderId="2" fillId="10" fontId="7" numFmtId="0" xfId="0" applyAlignment="1" applyBorder="1" applyFill="1" applyFont="1">
      <alignment horizontal="center" readingOrder="0" vertical="center"/>
    </xf>
    <xf borderId="0" fillId="11" fontId="7" numFmtId="0" xfId="0" applyAlignment="1" applyFill="1" applyFont="1">
      <alignment horizontal="center" readingOrder="0" vertical="center"/>
    </xf>
    <xf borderId="1" fillId="12" fontId="9" numFmtId="0" xfId="0" applyAlignment="1" applyBorder="1" applyFill="1" applyFont="1">
      <alignment horizontal="center" readingOrder="0" vertical="center"/>
    </xf>
    <xf borderId="0" fillId="11" fontId="10" numFmtId="0" xfId="0" applyAlignment="1" applyFont="1">
      <alignment horizontal="center" readingOrder="0" textRotation="90" vertical="center"/>
    </xf>
    <xf borderId="4" fillId="2" fontId="11" numFmtId="0" xfId="0" applyAlignment="1" applyBorder="1" applyFont="1">
      <alignment horizontal="center" readingOrder="0" vertical="center"/>
    </xf>
    <xf borderId="4" fillId="2" fontId="11" numFmtId="0" xfId="0" applyAlignment="1" applyBorder="1" applyFont="1">
      <alignment horizontal="center" vertical="center"/>
    </xf>
    <xf borderId="0" fillId="2" fontId="11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0" fillId="11" fontId="11" numFmtId="0" xfId="0" applyAlignment="1" applyFont="1">
      <alignment horizontal="center" vertical="center"/>
    </xf>
    <xf borderId="9" fillId="13" fontId="12" numFmtId="0" xfId="0" applyAlignment="1" applyBorder="1" applyFill="1" applyFont="1">
      <alignment horizontal="center" readingOrder="0" vertical="center"/>
    </xf>
    <xf borderId="9" fillId="14" fontId="12" numFmtId="0" xfId="0" applyAlignment="1" applyBorder="1" applyFill="1" applyFont="1">
      <alignment horizontal="center" readingOrder="0" vertical="center"/>
    </xf>
    <xf borderId="9" fillId="15" fontId="12" numFmtId="0" xfId="0" applyAlignment="1" applyBorder="1" applyFill="1" applyFont="1">
      <alignment horizontal="center" readingOrder="0" vertical="center"/>
    </xf>
    <xf borderId="9" fillId="16" fontId="12" numFmtId="0" xfId="0" applyAlignment="1" applyBorder="1" applyFill="1" applyFont="1">
      <alignment horizontal="center" readingOrder="0" vertical="center"/>
    </xf>
    <xf borderId="9" fillId="17" fontId="12" numFmtId="0" xfId="0" applyAlignment="1" applyBorder="1" applyFill="1" applyFont="1">
      <alignment horizontal="center" readingOrder="0" vertical="center"/>
    </xf>
    <xf borderId="10" fillId="11" fontId="12" numFmtId="0" xfId="0" applyAlignment="1" applyBorder="1" applyFont="1">
      <alignment horizontal="center" vertical="center"/>
    </xf>
    <xf borderId="8" fillId="14" fontId="12" numFmtId="0" xfId="0" applyAlignment="1" applyBorder="1" applyFont="1">
      <alignment horizontal="center" vertical="center"/>
    </xf>
    <xf borderId="8" fillId="15" fontId="12" numFmtId="0" xfId="0" applyAlignment="1" applyBorder="1" applyFont="1">
      <alignment horizontal="center" vertical="center"/>
    </xf>
    <xf borderId="8" fillId="16" fontId="12" numFmtId="0" xfId="0" applyAlignment="1" applyBorder="1" applyFont="1">
      <alignment horizontal="center" vertical="center"/>
    </xf>
    <xf borderId="8" fillId="17" fontId="12" numFmtId="0" xfId="0" applyAlignment="1" applyBorder="1" applyFont="1">
      <alignment horizontal="center" vertical="center"/>
    </xf>
    <xf borderId="8" fillId="11" fontId="12" numFmtId="0" xfId="0" applyAlignment="1" applyBorder="1" applyFont="1">
      <alignment horizontal="center" vertical="center"/>
    </xf>
    <xf borderId="9" fillId="11" fontId="12" numFmtId="0" xfId="0" applyAlignment="1" applyBorder="1" applyFont="1">
      <alignment horizontal="center" vertical="center"/>
    </xf>
    <xf borderId="9" fillId="14" fontId="12" numFmtId="0" xfId="0" applyAlignment="1" applyBorder="1" applyFont="1">
      <alignment horizontal="center" vertical="center"/>
    </xf>
    <xf borderId="9" fillId="15" fontId="12" numFmtId="0" xfId="0" applyAlignment="1" applyBorder="1" applyFont="1">
      <alignment horizontal="center" vertical="center"/>
    </xf>
    <xf borderId="9" fillId="16" fontId="12" numFmtId="0" xfId="0" applyAlignment="1" applyBorder="1" applyFont="1">
      <alignment horizontal="center" vertical="center"/>
    </xf>
    <xf borderId="9" fillId="17" fontId="12" numFmtId="0" xfId="0" applyAlignment="1" applyBorder="1" applyFont="1">
      <alignment horizontal="center" vertical="center"/>
    </xf>
    <xf borderId="0" fillId="11" fontId="12" numFmtId="0" xfId="0" applyAlignment="1" applyFont="1">
      <alignment horizontal="center" vertical="center"/>
    </xf>
    <xf borderId="9" fillId="13" fontId="13" numFmtId="0" xfId="0" applyAlignment="1" applyBorder="1" applyFont="1">
      <alignment horizontal="center" readingOrder="0" vertical="center"/>
    </xf>
    <xf borderId="9" fillId="0" fontId="14" numFmtId="0" xfId="0" applyAlignment="1" applyBorder="1" applyFont="1">
      <alignment horizontal="center" vertical="center"/>
    </xf>
    <xf borderId="0" fillId="11" fontId="15" numFmtId="0" xfId="0" applyAlignment="1" applyFont="1">
      <alignment horizontal="center" vertical="center"/>
    </xf>
    <xf borderId="10" fillId="11" fontId="13" numFmtId="0" xfId="0" applyAlignment="1" applyBorder="1" applyFont="1">
      <alignment horizontal="center" vertical="center"/>
    </xf>
    <xf borderId="8" fillId="11" fontId="13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vertical="center"/>
    </xf>
    <xf borderId="9" fillId="11" fontId="13" numFmtId="0" xfId="0" applyAlignment="1" applyBorder="1" applyFont="1">
      <alignment horizontal="center" vertical="center"/>
    </xf>
    <xf borderId="0" fillId="11" fontId="8" numFmtId="0" xfId="0" applyAlignment="1" applyFont="1">
      <alignment horizontal="center" vertical="center"/>
    </xf>
    <xf borderId="9" fillId="11" fontId="15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 readingOrder="0" vertical="center"/>
    </xf>
    <xf borderId="10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readingOrder="0" vertical="center"/>
    </xf>
    <xf borderId="11" fillId="2" fontId="16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12" fillId="2" fontId="16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11" fillId="2" fontId="16" numFmtId="0" xfId="0" applyAlignment="1" applyBorder="1" applyFont="1">
      <alignment horizontal="center" vertical="center"/>
    </xf>
    <xf borderId="10" fillId="0" fontId="2" numFmtId="0" xfId="0" applyBorder="1" applyFont="1"/>
    <xf borderId="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" fillId="2" fontId="17" numFmtId="0" xfId="0" applyAlignment="1" applyBorder="1" applyFont="1">
      <alignment horizontal="center" readingOrder="0" vertical="center"/>
    </xf>
    <xf borderId="0" fillId="11" fontId="5" numFmtId="0" xfId="0" applyAlignment="1" applyFont="1">
      <alignment horizontal="center" vertical="center"/>
    </xf>
    <xf borderId="11" fillId="0" fontId="18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vertical="center"/>
    </xf>
    <xf borderId="11" fillId="0" fontId="20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0" fillId="11" fontId="17" numFmtId="0" xfId="0" applyAlignment="1" applyFont="1">
      <alignment horizontal="center" readingOrder="0" vertical="center"/>
    </xf>
    <xf borderId="1" fillId="2" fontId="21" numFmtId="0" xfId="0" applyAlignment="1" applyBorder="1" applyFont="1">
      <alignment horizontal="center" readingOrder="0" vertical="center"/>
    </xf>
    <xf borderId="9" fillId="11" fontId="22" numFmtId="0" xfId="0" applyAlignment="1" applyBorder="1" applyFont="1">
      <alignment horizontal="center" readingOrder="0" vertical="center"/>
    </xf>
    <xf borderId="14" fillId="14" fontId="12" numFmtId="0" xfId="0" applyAlignment="1" applyBorder="1" applyFont="1">
      <alignment horizontal="center" readingOrder="0" vertical="center"/>
    </xf>
    <xf borderId="14" fillId="15" fontId="12" numFmtId="0" xfId="0" applyAlignment="1" applyBorder="1" applyFont="1">
      <alignment horizontal="center" readingOrder="0" vertical="center"/>
    </xf>
    <xf borderId="14" fillId="16" fontId="12" numFmtId="0" xfId="0" applyAlignment="1" applyBorder="1" applyFont="1">
      <alignment horizontal="center" readingOrder="0" vertical="center"/>
    </xf>
    <xf borderId="14" fillId="17" fontId="12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11" fillId="0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1" fillId="2" fontId="23" numFmtId="0" xfId="0" applyAlignment="1" applyBorder="1" applyFont="1">
      <alignment horizontal="center" readingOrder="0" vertical="center"/>
    </xf>
    <xf borderId="9" fillId="3" fontId="24" numFmtId="0" xfId="0" applyAlignment="1" applyBorder="1" applyFont="1">
      <alignment horizontal="center" readingOrder="0" vertical="center"/>
    </xf>
    <xf borderId="14" fillId="0" fontId="25" numFmtId="0" xfId="0" applyAlignment="1" applyBorder="1" applyFont="1">
      <alignment horizontal="center" readingOrder="0" vertical="center"/>
    </xf>
    <xf borderId="15" fillId="0" fontId="2" numFmtId="0" xfId="0" applyBorder="1" applyFont="1"/>
    <xf borderId="13" fillId="0" fontId="2" numFmtId="0" xfId="0" applyBorder="1" applyFont="1"/>
    <xf borderId="14" fillId="0" fontId="25" numFmtId="0" xfId="0" applyAlignment="1" applyBorder="1" applyFont="1">
      <alignment horizontal="center" vertical="center"/>
    </xf>
    <xf borderId="9" fillId="4" fontId="24" numFmtId="0" xfId="0" applyAlignment="1" applyBorder="1" applyFont="1">
      <alignment horizontal="center" readingOrder="0" vertical="center"/>
    </xf>
    <xf borderId="9" fillId="5" fontId="24" numFmtId="0" xfId="0" applyAlignment="1" applyBorder="1" applyFont="1">
      <alignment horizontal="center" readingOrder="0" vertical="center"/>
    </xf>
    <xf borderId="9" fillId="18" fontId="24" numFmtId="0" xfId="0" applyAlignment="1" applyBorder="1" applyFill="1" applyFont="1">
      <alignment horizontal="center" readingOrder="0" vertical="center"/>
    </xf>
    <xf borderId="9" fillId="6" fontId="24" numFmtId="0" xfId="0" applyAlignment="1" applyBorder="1" applyFont="1">
      <alignment horizontal="center" readingOrder="0" vertical="center"/>
    </xf>
    <xf borderId="9" fillId="7" fontId="24" numFmtId="0" xfId="0" applyAlignment="1" applyBorder="1" applyFont="1">
      <alignment horizontal="center" readingOrder="0" vertical="center"/>
    </xf>
    <xf borderId="9" fillId="8" fontId="24" numFmtId="0" xfId="0" applyAlignment="1" applyBorder="1" applyFont="1">
      <alignment horizontal="center" readingOrder="0" vertical="center"/>
    </xf>
    <xf borderId="9" fillId="9" fontId="24" numFmtId="0" xfId="0" applyAlignment="1" applyBorder="1" applyFont="1">
      <alignment horizontal="center" readingOrder="0" vertical="center"/>
    </xf>
    <xf borderId="9" fillId="10" fontId="24" numFmtId="0" xfId="0" applyAlignment="1" applyBorder="1" applyFont="1">
      <alignment horizontal="center" readingOrder="0" vertical="center"/>
    </xf>
    <xf borderId="9" fillId="12" fontId="26" numFmtId="0" xfId="0" applyAlignment="1" applyBorder="1" applyFont="1">
      <alignment horizontal="center" readingOrder="0" vertical="center"/>
    </xf>
    <xf borderId="9" fillId="12" fontId="27" numFmtId="0" xfId="0" applyAlignment="1" applyBorder="1" applyFont="1">
      <alignment horizontal="center" readingOrder="0" vertical="center"/>
    </xf>
    <xf borderId="9" fillId="12" fontId="28" numFmtId="0" xfId="0" applyAlignment="1" applyBorder="1" applyFont="1">
      <alignment horizontal="center" readingOrder="0" vertical="center"/>
    </xf>
    <xf borderId="9" fillId="19" fontId="24" numFmtId="0" xfId="0" applyAlignment="1" applyBorder="1" applyFill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9" fillId="14" fontId="30" numFmtId="0" xfId="0" applyAlignment="1" applyBorder="1" applyFont="1">
      <alignment horizontal="center" readingOrder="0" vertical="center"/>
    </xf>
    <xf borderId="14" fillId="0" fontId="31" numFmtId="0" xfId="0" applyAlignment="1" applyBorder="1" applyFont="1">
      <alignment horizontal="center" vertical="center"/>
    </xf>
    <xf borderId="9" fillId="15" fontId="30" numFmtId="0" xfId="0" applyAlignment="1" applyBorder="1" applyFont="1">
      <alignment horizontal="center" readingOrder="0" vertical="center"/>
    </xf>
    <xf borderId="9" fillId="16" fontId="30" numFmtId="0" xfId="0" applyAlignment="1" applyBorder="1" applyFont="1">
      <alignment horizontal="center" readingOrder="0" vertical="center"/>
    </xf>
    <xf borderId="9" fillId="20" fontId="30" numFmtId="0" xfId="0" applyAlignment="1" applyBorder="1" applyFill="1" applyFont="1">
      <alignment horizontal="center" readingOrder="0" vertical="center"/>
    </xf>
    <xf borderId="9" fillId="21" fontId="30" numFmtId="0" xfId="0" applyAlignment="1" applyBorder="1" applyFill="1" applyFont="1">
      <alignment horizontal="center" readingOrder="0" vertical="center"/>
    </xf>
    <xf borderId="9" fillId="0" fontId="32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0" fillId="3" fontId="33" numFmtId="0" xfId="0" applyAlignment="1" applyFont="1">
      <alignment horizontal="center" readingOrder="0" shrinkToFit="0" vertical="center" wrapText="1"/>
    </xf>
    <xf borderId="0" fillId="3" fontId="34" numFmtId="0" xfId="0" applyAlignment="1" applyFont="1">
      <alignment horizontal="center" readingOrder="0" shrinkToFit="0" vertical="center" wrapText="1"/>
    </xf>
    <xf borderId="0" fillId="3" fontId="35" numFmtId="0" xfId="0" applyAlignment="1" applyFont="1">
      <alignment horizontal="center" readingOrder="0" shrinkToFit="0" vertical="center" wrapText="1"/>
    </xf>
    <xf borderId="0" fillId="3" fontId="36" numFmtId="0" xfId="0" applyAlignment="1" applyFont="1">
      <alignment horizontal="right" readingOrder="0" shrinkToFit="0" vertical="center" wrapText="1"/>
    </xf>
    <xf borderId="0" fillId="3" fontId="37" numFmtId="164" xfId="0" applyAlignment="1" applyFont="1" applyNumberFormat="1">
      <alignment horizontal="center" readingOrder="0" shrinkToFit="0" vertical="center" wrapText="1"/>
    </xf>
    <xf borderId="0" fillId="3" fontId="38" numFmtId="0" xfId="0" applyAlignment="1" applyFont="1">
      <alignment horizontal="center" readingOrder="0" shrinkToFit="0" vertical="center" wrapText="1"/>
    </xf>
    <xf borderId="6" fillId="3" fontId="37" numFmtId="0" xfId="0" applyAlignment="1" applyBorder="1" applyFont="1">
      <alignment horizontal="center" shrinkToFit="0" vertical="center" wrapText="1"/>
    </xf>
    <xf borderId="11" fillId="0" fontId="39" numFmtId="0" xfId="0" applyAlignment="1" applyBorder="1" applyFont="1">
      <alignment horizontal="center" shrinkToFit="0" vertical="center" wrapText="1"/>
    </xf>
    <xf borderId="14" fillId="0" fontId="39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shrinkToFit="0" vertical="center" wrapText="1"/>
    </xf>
    <xf borderId="9" fillId="0" fontId="39" numFmtId="0" xfId="0" applyAlignment="1" applyBorder="1" applyFont="1">
      <alignment horizontal="center" readingOrder="0" shrinkToFit="0" vertical="center" wrapText="1"/>
    </xf>
    <xf borderId="9" fillId="0" fontId="39" numFmtId="0" xfId="0" applyAlignment="1" applyBorder="1" applyFont="1">
      <alignment horizontal="center" shrinkToFit="0" vertical="center" wrapText="1"/>
    </xf>
    <xf borderId="0" fillId="3" fontId="40" numFmtId="0" xfId="0" applyAlignment="1" applyFont="1">
      <alignment horizontal="center" readingOrder="0" shrinkToFit="0" vertical="center" wrapText="1"/>
    </xf>
    <xf borderId="0" fillId="3" fontId="41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42" numFmtId="164" xfId="0" applyAlignment="1" applyFont="1" applyNumberFormat="1">
      <alignment horizontal="center" readingOrder="0" shrinkToFit="0" vertical="center" wrapText="1"/>
    </xf>
    <xf borderId="0" fillId="3" fontId="43" numFmtId="0" xfId="0" applyAlignment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9" fillId="0" fontId="13" numFmtId="0" xfId="0" applyAlignment="1" applyBorder="1" applyFont="1">
      <alignment horizontal="center" readingOrder="0" shrinkToFit="0" vertical="bottom" wrapText="1"/>
    </xf>
    <xf borderId="9" fillId="0" fontId="8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horizontal="center" shrinkToFit="0" vertical="bottom" wrapText="1"/>
    </xf>
    <xf borderId="9" fillId="0" fontId="13" numFmtId="0" xfId="0" applyAlignment="1" applyBorder="1" applyFont="1">
      <alignment horizontal="center" shrinkToFit="0" vertical="bottom" wrapText="1"/>
    </xf>
    <xf borderId="9" fillId="0" fontId="8" numFmtId="165" xfId="0" applyAlignment="1" applyBorder="1" applyFont="1" applyNumberFormat="1">
      <alignment horizontal="center" vertical="bottom"/>
    </xf>
    <xf borderId="9" fillId="0" fontId="8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9" fillId="0" fontId="8" numFmtId="165" xfId="0" applyAlignment="1" applyBorder="1" applyFont="1" applyNumberFormat="1">
      <alignment horizontal="center" shrinkToFit="0" vertical="bottom" wrapText="1"/>
    </xf>
    <xf borderId="0" fillId="0" fontId="8" numFmtId="0" xfId="0" applyAlignment="1" applyFont="1">
      <alignment horizontal="center" vertical="bottom"/>
    </xf>
    <xf borderId="0" fillId="0" fontId="13" numFmtId="0" xfId="0" applyAlignment="1" applyFont="1">
      <alignment horizontal="center" readingOrder="0" shrinkToFit="0" vertical="center" wrapText="1"/>
    </xf>
    <xf borderId="9" fillId="0" fontId="13" numFmtId="165" xfId="0" applyAlignment="1" applyBorder="1" applyFont="1" applyNumberFormat="1">
      <alignment horizontal="center" shrinkToFit="0" vertical="bottom" wrapText="1"/>
    </xf>
    <xf borderId="0" fillId="0" fontId="13" numFmtId="0" xfId="0" applyAlignment="1" applyFont="1">
      <alignment horizontal="center" vertical="bottom"/>
    </xf>
    <xf borderId="9" fillId="0" fontId="8" numFmtId="165" xfId="0" applyAlignment="1" applyBorder="1" applyFont="1" applyNumberFormat="1">
      <alignment vertical="bottom"/>
    </xf>
    <xf borderId="9" fillId="0" fontId="13" numFmtId="0" xfId="0" applyAlignment="1" applyBorder="1" applyFont="1">
      <alignment horizontal="center" vertical="bottom"/>
    </xf>
    <xf borderId="9" fillId="0" fontId="8" numFmtId="165" xfId="0" applyAlignment="1" applyBorder="1" applyFont="1" applyNumberFormat="1">
      <alignment horizontal="right" vertical="bottom"/>
    </xf>
    <xf borderId="9" fillId="0" fontId="13" numFmtId="0" xfId="0" applyAlignment="1" applyBorder="1" applyFont="1">
      <alignment horizontal="center" readingOrder="0" vertical="bottom"/>
    </xf>
    <xf borderId="0" fillId="0" fontId="8" numFmtId="0" xfId="0" applyAlignment="1" applyFont="1">
      <alignment vertical="bottom"/>
    </xf>
    <xf borderId="9" fillId="0" fontId="13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vertical="bottom"/>
    </xf>
    <xf borderId="0" fillId="0" fontId="8" numFmtId="0" xfId="0" applyFont="1"/>
    <xf borderId="0" fillId="0" fontId="8" numFmtId="0" xfId="0" applyFont="1"/>
    <xf borderId="9" fillId="0" fontId="13" numFmtId="165" xfId="0" applyAlignment="1" applyBorder="1" applyFont="1" applyNumberFormat="1">
      <alignment horizontal="right" vertical="bottom"/>
    </xf>
    <xf borderId="9" fillId="0" fontId="13" numFmtId="0" xfId="0" applyAlignment="1" applyBorder="1" applyFont="1">
      <alignment horizontal="center" vertical="bottom"/>
    </xf>
    <xf borderId="9" fillId="0" fontId="13" numFmtId="0" xfId="0" applyAlignment="1" applyBorder="1" applyFont="1">
      <alignment vertical="bottom"/>
    </xf>
    <xf borderId="9" fillId="0" fontId="13" numFmtId="165" xfId="0" applyAlignment="1" applyBorder="1" applyFont="1" applyNumberFormat="1">
      <alignment horizontal="center" vertical="bottom"/>
    </xf>
    <xf borderId="9" fillId="0" fontId="8" numFmtId="0" xfId="0" applyAlignment="1" applyBorder="1" applyFont="1">
      <alignment vertical="bottom"/>
    </xf>
    <xf borderId="14" fillId="19" fontId="12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shrinkToFit="0" vertical="bottom" wrapText="1"/>
    </xf>
    <xf borderId="15" fillId="0" fontId="8" numFmtId="165" xfId="0" applyAlignment="1" applyBorder="1" applyFont="1" applyNumberFormat="1">
      <alignment vertical="bottom"/>
    </xf>
    <xf borderId="15" fillId="0" fontId="8" numFmtId="0" xfId="0" applyAlignment="1" applyBorder="1" applyFont="1">
      <alignment horizontal="center" shrinkToFit="0" vertical="bottom" wrapText="1"/>
    </xf>
    <xf borderId="15" fillId="0" fontId="13" numFmtId="0" xfId="0" applyAlignment="1" applyBorder="1" applyFont="1">
      <alignment horizontal="center" shrinkToFit="0" vertical="bottom" wrapText="1"/>
    </xf>
    <xf borderId="13" fillId="0" fontId="13" numFmtId="0" xfId="0" applyAlignment="1" applyBorder="1" applyFont="1">
      <alignment horizontal="center" shrinkToFit="0" vertical="bottom" wrapText="1"/>
    </xf>
    <xf borderId="15" fillId="0" fontId="8" numFmtId="0" xfId="0" applyAlignment="1" applyBorder="1" applyFont="1">
      <alignment horizontal="center" vertical="bottom"/>
    </xf>
    <xf borderId="15" fillId="0" fontId="13" numFmtId="0" xfId="0" applyAlignment="1" applyBorder="1" applyFont="1">
      <alignment horizontal="center" vertical="bottom"/>
    </xf>
    <xf borderId="13" fillId="0" fontId="13" numFmtId="0" xfId="0" applyAlignment="1" applyBorder="1" applyFont="1">
      <alignment horizontal="center" vertical="bottom"/>
    </xf>
    <xf borderId="15" fillId="0" fontId="13" numFmtId="0" xfId="0" applyAlignment="1" applyBorder="1" applyFont="1">
      <alignment horizontal="center" vertical="bottom"/>
    </xf>
    <xf borderId="15" fillId="0" fontId="13" numFmtId="0" xfId="0" applyAlignment="1" applyBorder="1" applyFont="1">
      <alignment vertical="bottom"/>
    </xf>
    <xf borderId="0" fillId="0" fontId="13" numFmtId="0" xfId="0" applyAlignment="1" applyFont="1">
      <alignment horizontal="center" vertical="bottom"/>
    </xf>
    <xf borderId="15" fillId="0" fontId="8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horizontal="center" readingOrder="0" shrinkToFit="0" vertical="bottom" wrapText="1"/>
    </xf>
    <xf borderId="9" fillId="0" fontId="8" numFmtId="0" xfId="0" applyAlignment="1" applyBorder="1" applyFont="1">
      <alignment horizontal="center" readingOrder="0" vertical="bottom"/>
    </xf>
    <xf borderId="9" fillId="0" fontId="8" numFmtId="165" xfId="0" applyAlignment="1" applyBorder="1" applyFont="1" applyNumberFormat="1">
      <alignment readingOrder="0" vertical="bottom"/>
    </xf>
    <xf borderId="9" fillId="0" fontId="5" numFmtId="0" xfId="0" applyAlignment="1" applyBorder="1" applyFont="1">
      <alignment horizontal="center" readingOrder="0"/>
    </xf>
    <xf borderId="9" fillId="0" fontId="5" numFmtId="0" xfId="0" applyBorder="1" applyFont="1"/>
    <xf borderId="9" fillId="0" fontId="8" numFmtId="0" xfId="0" applyAlignment="1" applyBorder="1" applyFont="1">
      <alignment horizontal="center" readingOrder="0" shrinkToFit="0" vertical="center" wrapText="1"/>
    </xf>
    <xf borderId="9" fillId="11" fontId="8" numFmtId="0" xfId="0" applyAlignment="1" applyBorder="1" applyFont="1">
      <alignment horizontal="center" readingOrder="0" shrinkToFit="0" vertical="center" wrapText="1"/>
    </xf>
    <xf borderId="9" fillId="0" fontId="8" numFmtId="165" xfId="0" applyAlignment="1" applyBorder="1" applyFont="1" applyNumberFormat="1">
      <alignment horizontal="center" readingOrder="0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8" numFmtId="16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22" fontId="44" numFmtId="0" xfId="0" applyAlignment="1" applyFill="1" applyFont="1">
      <alignment horizontal="center" readingOrder="0" shrinkToFit="0" vertical="center" wrapText="1"/>
    </xf>
    <xf borderId="0" fillId="22" fontId="45" numFmtId="0" xfId="0" applyAlignment="1" applyFont="1">
      <alignment horizontal="center" readingOrder="0" shrinkToFit="0" vertical="center" wrapText="1"/>
    </xf>
    <xf borderId="0" fillId="22" fontId="35" numFmtId="0" xfId="0" applyAlignment="1" applyFont="1">
      <alignment horizontal="center" readingOrder="0" shrinkToFit="0" vertical="center" wrapText="1"/>
    </xf>
    <xf borderId="0" fillId="22" fontId="36" numFmtId="0" xfId="0" applyAlignment="1" applyFont="1">
      <alignment horizontal="right" readingOrder="0" shrinkToFit="0" vertical="center" wrapText="1"/>
    </xf>
    <xf borderId="0" fillId="22" fontId="37" numFmtId="164" xfId="0" applyAlignment="1" applyFont="1" applyNumberFormat="1">
      <alignment horizontal="center" readingOrder="0" shrinkToFit="0" vertical="center" wrapText="1"/>
    </xf>
    <xf borderId="0" fillId="22" fontId="38" numFmtId="0" xfId="0" applyAlignment="1" applyFont="1">
      <alignment horizontal="center" readingOrder="0" shrinkToFit="0" vertical="center" wrapText="1"/>
    </xf>
    <xf borderId="6" fillId="22" fontId="37" numFmtId="0" xfId="0" applyAlignment="1" applyBorder="1" applyFont="1">
      <alignment horizontal="center" shrinkToFit="0" vertical="center" wrapText="1"/>
    </xf>
    <xf borderId="0" fillId="22" fontId="37" numFmtId="0" xfId="0" applyAlignment="1" applyFont="1">
      <alignment horizontal="center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9" fillId="0" fontId="13" numFmtId="165" xfId="0" applyAlignment="1" applyBorder="1" applyFont="1" applyNumberFormat="1">
      <alignment horizontal="center" readingOrder="0" shrinkToFit="0" vertical="center" wrapText="1"/>
    </xf>
    <xf borderId="14" fillId="23" fontId="46" numFmtId="0" xfId="0" applyAlignment="1" applyBorder="1" applyFill="1" applyFont="1">
      <alignment horizontal="center" shrinkToFit="0" vertical="center" wrapText="1"/>
    </xf>
    <xf borderId="0" fillId="23" fontId="47" numFmtId="0" xfId="0" applyAlignment="1" applyFont="1">
      <alignment horizontal="center" shrinkToFit="0" vertical="center" wrapText="1"/>
    </xf>
    <xf borderId="9" fillId="0" fontId="13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horizontal="center" shrinkToFit="0" wrapText="1"/>
    </xf>
    <xf borderId="9" fillId="0" fontId="13" numFmtId="0" xfId="0" applyAlignment="1" applyBorder="1" applyFont="1">
      <alignment horizontal="center" shrinkToFit="0" wrapText="1"/>
    </xf>
    <xf borderId="9" fillId="0" fontId="13" numFmtId="165" xfId="0" applyAlignment="1" applyBorder="1" applyFont="1" applyNumberFormat="1">
      <alignment horizontal="center" shrinkToFit="0" wrapText="1"/>
    </xf>
    <xf borderId="9" fillId="0" fontId="13" numFmtId="0" xfId="0" applyAlignment="1" applyBorder="1" applyFont="1">
      <alignment readingOrder="0"/>
    </xf>
    <xf borderId="9" fillId="0" fontId="8" numFmtId="165" xfId="0" applyBorder="1" applyFont="1" applyNumberFormat="1"/>
    <xf borderId="9" fillId="0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9" fillId="0" fontId="8" numFmtId="0" xfId="0" applyBorder="1" applyFont="1"/>
    <xf borderId="0" fillId="0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shrinkToFit="0" wrapText="1"/>
    </xf>
    <xf borderId="9" fillId="24" fontId="48" numFmtId="0" xfId="0" applyAlignment="1" applyBorder="1" applyFill="1" applyFont="1">
      <alignment horizontal="center" readingOrder="0" shrinkToFit="0" vertical="center" wrapText="1"/>
    </xf>
    <xf borderId="0" fillId="11" fontId="49" numFmtId="0" xfId="0" applyAlignment="1" applyFont="1">
      <alignment horizontal="center" readingOrder="0"/>
    </xf>
    <xf borderId="9" fillId="0" fontId="8" numFmtId="165" xfId="0" applyAlignment="1" applyBorder="1" applyFont="1" applyNumberFormat="1">
      <alignment horizontal="center" shrinkToFit="0" wrapText="1"/>
    </xf>
    <xf borderId="0" fillId="11" fontId="8" numFmtId="0" xfId="0" applyAlignment="1" applyFont="1">
      <alignment horizontal="center" vertical="bottom"/>
    </xf>
    <xf borderId="9" fillId="0" fontId="13" numFmtId="0" xfId="0" applyAlignment="1" applyBorder="1" applyFont="1">
      <alignment horizontal="center" shrinkToFit="0" wrapText="1"/>
    </xf>
    <xf borderId="9" fillId="0" fontId="13" numFmtId="165" xfId="0" applyAlignment="1" applyBorder="1" applyFont="1" applyNumberFormat="1">
      <alignment horizontal="center" readingOrder="0" shrinkToFit="0" wrapText="1"/>
    </xf>
    <xf borderId="0" fillId="0" fontId="13" numFmtId="0" xfId="0" applyAlignment="1" applyFont="1">
      <alignment horizontal="center" readingOrder="0" shrinkToFit="0" vertical="bottom" wrapText="1"/>
    </xf>
    <xf borderId="9" fillId="0" fontId="50" numFmtId="0" xfId="0" applyAlignment="1" applyBorder="1" applyFont="1">
      <alignment horizontal="center" readingOrder="0" shrinkToFit="0" wrapText="1"/>
    </xf>
    <xf borderId="9" fillId="0" fontId="8" numFmtId="166" xfId="0" applyAlignment="1" applyBorder="1" applyFont="1" applyNumberFormat="1">
      <alignment horizontal="center" shrinkToFit="0" vertical="center" wrapText="1"/>
    </xf>
    <xf borderId="9" fillId="25" fontId="51" numFmtId="0" xfId="0" applyAlignment="1" applyBorder="1" applyFill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9" fillId="0" fontId="8" numFmtId="166" xfId="0" applyAlignment="1" applyBorder="1" applyFont="1" applyNumberFormat="1">
      <alignment horizontal="center" readingOrder="0" shrinkToFit="0" vertical="center" wrapText="1"/>
    </xf>
    <xf borderId="0" fillId="26" fontId="52" numFmtId="0" xfId="0" applyAlignment="1" applyFill="1" applyFont="1">
      <alignment horizontal="center" readingOrder="0" shrinkToFit="0" vertical="center" wrapText="1"/>
    </xf>
    <xf borderId="0" fillId="26" fontId="53" numFmtId="0" xfId="0" applyAlignment="1" applyFont="1">
      <alignment horizontal="center" readingOrder="0" shrinkToFit="0" vertical="center" wrapText="1"/>
    </xf>
    <xf borderId="0" fillId="26" fontId="54" numFmtId="0" xfId="0" applyAlignment="1" applyFont="1">
      <alignment horizontal="center" readingOrder="0" shrinkToFit="0" vertical="center" wrapText="1"/>
    </xf>
    <xf borderId="0" fillId="26" fontId="49" numFmtId="0" xfId="0" applyAlignment="1" applyFont="1">
      <alignment horizontal="center" shrinkToFit="0" vertical="center" wrapText="1"/>
    </xf>
    <xf borderId="0" fillId="26" fontId="55" numFmtId="164" xfId="0" applyAlignment="1" applyFont="1" applyNumberFormat="1">
      <alignment horizontal="center" readingOrder="0" shrinkToFit="0" vertical="center" wrapText="1"/>
    </xf>
    <xf borderId="14" fillId="26" fontId="56" numFmtId="0" xfId="0" applyAlignment="1" applyBorder="1" applyFont="1">
      <alignment horizontal="center" shrinkToFit="0" vertical="center" wrapText="1"/>
    </xf>
    <xf borderId="0" fillId="26" fontId="56" numFmtId="0" xfId="0" applyAlignment="1" applyFont="1">
      <alignment horizontal="center" shrinkToFit="0" vertical="center" wrapText="1"/>
    </xf>
    <xf borderId="12" fillId="13" fontId="47" numFmtId="0" xfId="0" applyAlignment="1" applyBorder="1" applyFont="1">
      <alignment horizontal="center" shrinkToFit="0" vertical="center" wrapText="1"/>
    </xf>
    <xf borderId="12" fillId="13" fontId="47" numFmtId="0" xfId="0" applyAlignment="1" applyBorder="1" applyFont="1">
      <alignment horizontal="center" readingOrder="0" shrinkToFit="0" vertical="center" wrapText="1"/>
    </xf>
    <xf borderId="6" fillId="13" fontId="47" numFmtId="0" xfId="0" applyAlignment="1" applyBorder="1" applyFont="1">
      <alignment horizontal="center" shrinkToFit="0" vertical="center" wrapText="1"/>
    </xf>
    <xf borderId="0" fillId="13" fontId="47" numFmtId="0" xfId="0" applyAlignment="1" applyFont="1">
      <alignment horizontal="center" shrinkToFit="0" vertical="center" wrapText="1"/>
    </xf>
    <xf borderId="9" fillId="13" fontId="47" numFmtId="0" xfId="0" applyAlignment="1" applyBorder="1" applyFont="1">
      <alignment horizontal="center" readingOrder="0" shrinkToFit="0" vertical="center" wrapText="1"/>
    </xf>
    <xf borderId="9" fillId="13" fontId="47" numFmtId="0" xfId="0" applyAlignment="1" applyBorder="1" applyFont="1">
      <alignment horizontal="center" shrinkToFit="0" vertical="center" wrapText="1"/>
    </xf>
    <xf borderId="9" fillId="13" fontId="49" numFmtId="0" xfId="0" applyAlignment="1" applyBorder="1" applyFont="1">
      <alignment horizontal="center" readingOrder="0" shrinkToFit="0" vertical="center" wrapText="1"/>
    </xf>
    <xf borderId="9" fillId="13" fontId="49" numFmtId="165" xfId="0" applyAlignment="1" applyBorder="1" applyFont="1" applyNumberFormat="1">
      <alignment horizontal="center" readingOrder="0" shrinkToFit="0" vertical="center" wrapText="1"/>
    </xf>
    <xf borderId="9" fillId="13" fontId="49" numFmtId="0" xfId="0" applyAlignment="1" applyBorder="1" applyFont="1">
      <alignment horizontal="center" shrinkToFit="0" vertical="center" wrapText="1"/>
    </xf>
    <xf borderId="0" fillId="0" fontId="57" numFmtId="0" xfId="0" applyAlignment="1" applyFont="1">
      <alignment horizontal="center" readingOrder="0" vertical="center"/>
    </xf>
    <xf borderId="9" fillId="13" fontId="50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readingOrder="0"/>
    </xf>
    <xf borderId="0" fillId="13" fontId="49" numFmtId="0" xfId="0" applyAlignment="1" applyFont="1">
      <alignment horizontal="center" readingOrder="0" shrinkToFit="0" vertical="center" wrapText="1"/>
    </xf>
    <xf borderId="0" fillId="13" fontId="49" numFmtId="165" xfId="0" applyAlignment="1" applyFont="1" applyNumberFormat="1">
      <alignment horizontal="center" readingOrder="0" shrinkToFit="0" vertical="center" wrapText="1"/>
    </xf>
    <xf borderId="0" fillId="13" fontId="50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9" fillId="11" fontId="8" numFmtId="0" xfId="0" applyAlignment="1" applyBorder="1" applyFont="1">
      <alignment horizontal="center" readingOrder="0" shrinkToFit="0" wrapText="1"/>
    </xf>
    <xf borderId="9" fillId="11" fontId="8" numFmtId="0" xfId="0" applyAlignment="1" applyBorder="1" applyFont="1">
      <alignment horizontal="center" shrinkToFit="0" wrapText="1"/>
    </xf>
    <xf borderId="9" fillId="11" fontId="8" numFmtId="165" xfId="0" applyBorder="1" applyFont="1" applyNumberFormat="1"/>
    <xf borderId="9" fillId="11" fontId="13" numFmtId="0" xfId="0" applyAlignment="1" applyBorder="1" applyFont="1">
      <alignment horizontal="center" shrinkToFit="0" wrapText="1"/>
    </xf>
    <xf borderId="0" fillId="11" fontId="8" numFmtId="0" xfId="0" applyFont="1"/>
    <xf borderId="9" fillId="13" fontId="49" numFmtId="167" xfId="0" applyAlignment="1" applyBorder="1" applyFont="1" applyNumberFormat="1">
      <alignment horizontal="center" readingOrder="0" shrinkToFit="0" vertical="center" wrapText="1"/>
    </xf>
    <xf borderId="9" fillId="13" fontId="58" numFmtId="0" xfId="0" applyAlignment="1" applyBorder="1" applyFont="1">
      <alignment horizontal="center" readingOrder="0" shrinkToFit="0" vertical="center" wrapText="1"/>
    </xf>
    <xf borderId="9" fillId="11" fontId="13" numFmtId="0" xfId="0" applyAlignment="1" applyBorder="1" applyFont="1">
      <alignment horizontal="center" readingOrder="0" shrinkToFit="0" vertical="bottom" wrapText="1"/>
    </xf>
    <xf borderId="9" fillId="11" fontId="8" numFmtId="0" xfId="0" applyAlignment="1" applyBorder="1" applyFont="1">
      <alignment readingOrder="0"/>
    </xf>
    <xf borderId="9" fillId="0" fontId="8" numFmtId="0" xfId="0" applyAlignment="1" applyBorder="1" applyFont="1">
      <alignment readingOrder="0" vertical="bottom"/>
    </xf>
    <xf borderId="9" fillId="11" fontId="8" numFmtId="0" xfId="0" applyAlignment="1" applyBorder="1" applyFont="1">
      <alignment horizontal="center" shrinkToFit="0" vertical="bottom" wrapText="1"/>
    </xf>
    <xf borderId="9" fillId="11" fontId="8" numFmtId="0" xfId="0" applyAlignment="1" applyBorder="1" applyFont="1">
      <alignment readingOrder="0" vertical="bottom"/>
    </xf>
    <xf borderId="9" fillId="11" fontId="8" numFmtId="0" xfId="0" applyAlignment="1" applyBorder="1" applyFont="1">
      <alignment horizontal="center" readingOrder="0" shrinkToFit="0" vertical="bottom" wrapText="1"/>
    </xf>
    <xf borderId="9" fillId="11" fontId="8" numFmtId="165" xfId="0" applyAlignment="1" applyBorder="1" applyFont="1" applyNumberFormat="1">
      <alignment vertical="bottom"/>
    </xf>
    <xf borderId="9" fillId="0" fontId="8" numFmtId="0" xfId="0" applyAlignment="1" applyBorder="1" applyFont="1">
      <alignment horizontal="center" readingOrder="0"/>
    </xf>
    <xf borderId="9" fillId="11" fontId="8" numFmtId="0" xfId="0" applyAlignment="1" applyBorder="1" applyFont="1">
      <alignment vertical="bottom"/>
    </xf>
    <xf borderId="9" fillId="0" fontId="13" numFmtId="0" xfId="0" applyAlignment="1" applyBorder="1" applyFont="1">
      <alignment readingOrder="0" vertical="bottom"/>
    </xf>
    <xf borderId="9" fillId="11" fontId="13" numFmtId="0" xfId="0" applyAlignment="1" applyBorder="1" applyFont="1">
      <alignment horizontal="center" shrinkToFit="0" vertical="bottom" wrapText="1"/>
    </xf>
    <xf borderId="0" fillId="11" fontId="8" numFmtId="0" xfId="0" applyAlignment="1" applyFont="1">
      <alignment vertical="bottom"/>
    </xf>
    <xf borderId="0" fillId="0" fontId="59" numFmtId="0" xfId="0" applyAlignment="1" applyFont="1">
      <alignment horizontal="center" readingOrder="0"/>
    </xf>
    <xf borderId="9" fillId="11" fontId="13" numFmtId="0" xfId="0" applyAlignment="1" applyBorder="1" applyFont="1">
      <alignment horizontal="center" readingOrder="0" shrinkToFit="0" wrapText="1"/>
    </xf>
    <xf borderId="9" fillId="11" fontId="8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9" fillId="13" fontId="58" numFmtId="0" xfId="0" applyAlignment="1" applyBorder="1" applyFont="1">
      <alignment horizontal="center" shrinkToFit="0" vertical="center" wrapText="1"/>
    </xf>
    <xf borderId="9" fillId="13" fontId="49" numFmtId="0" xfId="0" applyAlignment="1" applyBorder="1" applyFont="1">
      <alignment horizontal="center" shrinkToFit="0" vertical="center" wrapText="1"/>
    </xf>
    <xf borderId="9" fillId="13" fontId="49" numFmtId="165" xfId="0" applyAlignment="1" applyBorder="1" applyFont="1" applyNumberFormat="1">
      <alignment horizontal="center" shrinkToFit="0" vertical="center" wrapText="1"/>
    </xf>
    <xf borderId="9" fillId="13" fontId="49" numFmtId="165" xfId="0" applyAlignment="1" applyBorder="1" applyFont="1" applyNumberFormat="1">
      <alignment shrinkToFit="0" vertical="center" wrapText="1"/>
    </xf>
    <xf borderId="0" fillId="13" fontId="58" numFmtId="0" xfId="0" applyAlignment="1" applyFont="1">
      <alignment vertical="center"/>
    </xf>
    <xf borderId="0" fillId="27" fontId="60" numFmtId="0" xfId="0" applyAlignment="1" applyFill="1" applyFont="1">
      <alignment horizontal="center" readingOrder="0" shrinkToFit="0" vertical="center" wrapText="1"/>
    </xf>
    <xf borderId="0" fillId="27" fontId="12" numFmtId="0" xfId="0" applyAlignment="1" applyFont="1">
      <alignment horizontal="center" readingOrder="0" shrinkToFit="0" vertical="center" wrapText="1"/>
    </xf>
    <xf borderId="0" fillId="27" fontId="42" numFmtId="0" xfId="0" applyAlignment="1" applyFont="1">
      <alignment horizontal="center" shrinkToFit="0" vertical="center" wrapText="1"/>
    </xf>
    <xf borderId="0" fillId="27" fontId="42" numFmtId="164" xfId="0" applyAlignment="1" applyFont="1" applyNumberFormat="1">
      <alignment horizontal="center" readingOrder="0" shrinkToFit="0" vertical="center" wrapText="1"/>
    </xf>
    <xf borderId="0" fillId="27" fontId="61" numFmtId="0" xfId="0" applyAlignment="1" applyFont="1">
      <alignment horizontal="center" readingOrder="0" shrinkToFit="0" vertical="center" wrapText="1"/>
    </xf>
    <xf borderId="14" fillId="27" fontId="12" numFmtId="0" xfId="0" applyAlignment="1" applyBorder="1" applyFont="1">
      <alignment horizontal="center" readingOrder="0" shrinkToFit="0" vertical="center" wrapText="1"/>
    </xf>
    <xf borderId="11" fillId="0" fontId="62" numFmtId="0" xfId="0" applyAlignment="1" applyBorder="1" applyFont="1">
      <alignment horizontal="center" shrinkToFit="0" vertical="center" wrapText="1"/>
    </xf>
    <xf borderId="14" fillId="0" fontId="62" numFmtId="0" xfId="0" applyAlignment="1" applyBorder="1" applyFont="1">
      <alignment horizontal="center" shrinkToFit="0" vertical="center" wrapText="1"/>
    </xf>
    <xf borderId="9" fillId="0" fontId="62" numFmtId="0" xfId="0" applyAlignment="1" applyBorder="1" applyFont="1">
      <alignment horizontal="center" readingOrder="0" shrinkToFit="0" vertical="center" wrapText="1"/>
    </xf>
    <xf borderId="9" fillId="0" fontId="62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3" fillId="0" fontId="8" numFmtId="165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bottom" wrapText="1"/>
    </xf>
    <xf borderId="15" fillId="0" fontId="5" numFmtId="0" xfId="0" applyAlignment="1" applyBorder="1" applyFont="1">
      <alignment horizontal="center" readingOrder="0"/>
    </xf>
    <xf borderId="13" fillId="0" fontId="8" numFmtId="165" xfId="0" applyAlignment="1" applyBorder="1" applyFont="1" applyNumberFormat="1">
      <alignment horizontal="center" vertical="bottom"/>
    </xf>
    <xf borderId="13" fillId="0" fontId="8" numFmtId="0" xfId="0" applyAlignment="1" applyBorder="1" applyFont="1">
      <alignment horizontal="center"/>
    </xf>
    <xf borderId="13" fillId="0" fontId="8" numFmtId="0" xfId="0" applyAlignment="1" applyBorder="1" applyFont="1">
      <alignment horizontal="center" readingOrder="0"/>
    </xf>
    <xf borderId="13" fillId="0" fontId="8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readingOrder="0"/>
    </xf>
    <xf borderId="13" fillId="0" fontId="13" numFmtId="0" xfId="0" applyAlignment="1" applyBorder="1" applyFont="1">
      <alignment horizontal="center" readingOrder="0" shrinkToFit="0" wrapText="1"/>
    </xf>
    <xf borderId="13" fillId="0" fontId="8" numFmtId="165" xfId="0" applyAlignment="1" applyBorder="1" applyFont="1" applyNumberFormat="1">
      <alignment horizontal="center" readingOrder="0" shrinkToFit="0" wrapText="1"/>
    </xf>
    <xf borderId="15" fillId="27" fontId="12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13" fillId="24" fontId="48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vertical="bottom"/>
    </xf>
    <xf borderId="13" fillId="16" fontId="51" numFmtId="0" xfId="0" applyAlignment="1" applyBorder="1" applyFont="1">
      <alignment horizontal="center" readingOrder="0" shrinkToFit="0" vertical="bottom" wrapText="1"/>
    </xf>
    <xf borderId="13" fillId="17" fontId="63" numFmtId="0" xfId="0" applyAlignment="1" applyBorder="1" applyFont="1">
      <alignment horizontal="center" readingOrder="0" shrinkToFit="0" vertical="bottom" wrapText="1"/>
    </xf>
    <xf borderId="13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readingOrder="0" vertical="bottom"/>
    </xf>
    <xf borderId="13" fillId="0" fontId="64" numFmtId="0" xfId="0" applyAlignment="1" applyBorder="1" applyFont="1">
      <alignment horizontal="center" readingOrder="0" shrinkToFit="0" vertical="bottom" wrapText="1"/>
    </xf>
    <xf borderId="13" fillId="0" fontId="8" numFmtId="0" xfId="0" applyAlignment="1" applyBorder="1" applyFont="1">
      <alignment horizontal="center" shrinkToFit="0" vertical="bottom" wrapText="1"/>
    </xf>
    <xf borderId="15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/>
    </xf>
    <xf borderId="13" fillId="0" fontId="20" numFmtId="0" xfId="0" applyAlignment="1" applyBorder="1" applyFont="1">
      <alignment horizontal="center" readingOrder="0" shrinkToFit="0" vertical="center" wrapText="1"/>
    </xf>
    <xf borderId="13" fillId="0" fontId="8" numFmtId="165" xfId="0" applyAlignment="1" applyBorder="1" applyFont="1" applyNumberFormat="1">
      <alignment horizontal="center" shrinkToFit="0" wrapText="1"/>
    </xf>
    <xf borderId="13" fillId="11" fontId="8" numFmtId="0" xfId="0" applyAlignment="1" applyBorder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readingOrder="0" shrinkToFit="0" vertical="bottom" wrapText="1"/>
    </xf>
    <xf borderId="13" fillId="0" fontId="8" numFmtId="168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wrapText="1"/>
    </xf>
    <xf borderId="13" fillId="0" fontId="13" numFmtId="0" xfId="0" applyAlignment="1" applyBorder="1" applyFont="1">
      <alignment horizontal="center" readingOrder="0"/>
    </xf>
    <xf borderId="13" fillId="0" fontId="8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3" fillId="0" fontId="8" numFmtId="165" xfId="0" applyAlignment="1" applyBorder="1" applyFont="1" applyNumberFormat="1">
      <alignment horizontal="center" readingOrder="0" vertical="bottom"/>
    </xf>
    <xf borderId="8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13" fillId="0" fontId="8" numFmtId="0" xfId="0" applyBorder="1" applyFont="1"/>
    <xf borderId="13" fillId="0" fontId="8" numFmtId="165" xfId="0" applyAlignment="1" applyBorder="1" applyFont="1" applyNumberFormat="1">
      <alignment vertical="bottom"/>
    </xf>
    <xf borderId="0" fillId="0" fontId="5" numFmtId="0" xfId="0" applyAlignment="1" applyFont="1">
      <alignment readingOrder="0" shrinkToFit="0" wrapText="1"/>
    </xf>
    <xf borderId="13" fillId="0" fontId="65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9" fillId="28" fontId="8" numFmtId="0" xfId="0" applyAlignment="1" applyBorder="1" applyFill="1" applyFont="1">
      <alignment horizontal="center" readingOrder="0" shrinkToFit="0" vertical="center" wrapText="1"/>
    </xf>
    <xf borderId="13" fillId="0" fontId="8" numFmtId="166" xfId="0" applyAlignment="1" applyBorder="1" applyFont="1" applyNumberFormat="1">
      <alignment horizontal="center" shrinkToFit="0" vertical="center" wrapText="1"/>
    </xf>
    <xf borderId="13" fillId="0" fontId="8" numFmtId="165" xfId="0" applyAlignment="1" applyBorder="1" applyFont="1" applyNumberFormat="1">
      <alignment horizontal="center" shrinkToFit="0" vertical="center" wrapText="1"/>
    </xf>
    <xf borderId="8" fillId="0" fontId="8" numFmtId="165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0" fillId="11" fontId="8" numFmtId="0" xfId="0" applyAlignment="1" applyFont="1">
      <alignment horizontal="center" readingOrder="0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8" numFmtId="165" xfId="0" applyAlignment="1" applyBorder="1" applyFont="1" applyNumberFormat="1">
      <alignment shrinkToFit="0" vertical="center" wrapText="1"/>
    </xf>
    <xf borderId="7" fillId="0" fontId="8" numFmtId="165" xfId="0" applyAlignment="1" applyBorder="1" applyFont="1" applyNumberForma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shrinkToFit="0" vertical="center" wrapText="1"/>
    </xf>
    <xf borderId="9" fillId="0" fontId="8" numFmtId="165" xfId="0" applyAlignment="1" applyBorder="1" applyFont="1" applyNumberFormat="1">
      <alignment shrinkToFit="0" vertical="center" wrapText="1"/>
    </xf>
    <xf borderId="0" fillId="7" fontId="52" numFmtId="0" xfId="0" applyAlignment="1" applyFont="1">
      <alignment horizontal="center" readingOrder="0" shrinkToFit="0" vertical="center" wrapText="1"/>
    </xf>
    <xf borderId="0" fillId="7" fontId="53" numFmtId="0" xfId="0" applyAlignment="1" applyFont="1">
      <alignment horizontal="center" readingOrder="0" shrinkToFit="0" vertical="center" wrapText="1"/>
    </xf>
    <xf borderId="0" fillId="7" fontId="49" numFmtId="0" xfId="0" applyAlignment="1" applyFont="1">
      <alignment horizontal="center" shrinkToFit="0" vertical="center" wrapText="1"/>
    </xf>
    <xf borderId="0" fillId="7" fontId="55" numFmtId="164" xfId="0" applyAlignment="1" applyFont="1" applyNumberFormat="1">
      <alignment horizontal="center" readingOrder="0" shrinkToFit="0" vertical="center" wrapText="1"/>
    </xf>
    <xf borderId="14" fillId="7" fontId="8" numFmtId="0" xfId="0" applyAlignment="1" applyBorder="1" applyFont="1">
      <alignment vertical="bottom"/>
    </xf>
    <xf borderId="0" fillId="7" fontId="8" numFmtId="0" xfId="0" applyAlignment="1" applyFont="1">
      <alignment vertical="bottom"/>
    </xf>
    <xf borderId="11" fillId="0" fontId="39" numFmtId="0" xfId="0" applyAlignment="1" applyBorder="1" applyFont="1">
      <alignment horizontal="center" vertical="bottom"/>
    </xf>
    <xf borderId="14" fillId="0" fontId="39" numFmtId="0" xfId="0" applyAlignment="1" applyBorder="1" applyFont="1">
      <alignment horizontal="center" vertical="bottom"/>
    </xf>
    <xf borderId="9" fillId="0" fontId="39" numFmtId="0" xfId="0" applyAlignment="1" applyBorder="1" applyFont="1">
      <alignment horizontal="center" vertical="bottom"/>
    </xf>
    <xf borderId="0" fillId="0" fontId="39" numFmtId="0" xfId="0" applyAlignment="1" applyFont="1">
      <alignment horizontal="center" vertical="bottom"/>
    </xf>
    <xf borderId="9" fillId="0" fontId="39" numFmtId="0" xfId="0" applyAlignment="1" applyBorder="1" applyFont="1">
      <alignment horizontal="center" readingOrder="0" vertical="bottom"/>
    </xf>
    <xf borderId="9" fillId="29" fontId="8" numFmtId="0" xfId="0" applyAlignment="1" applyBorder="1" applyFill="1" applyFont="1">
      <alignment horizontal="center" readingOrder="0" vertical="bottom"/>
    </xf>
    <xf borderId="9" fillId="29" fontId="8" numFmtId="165" xfId="0" applyAlignment="1" applyBorder="1" applyFont="1" applyNumberFormat="1">
      <alignment horizontal="center" vertical="bottom"/>
    </xf>
    <xf borderId="9" fillId="29" fontId="8" numFmtId="165" xfId="0" applyAlignment="1" applyBorder="1" applyFont="1" applyNumberFormat="1">
      <alignment horizontal="center" readingOrder="0" vertical="bottom"/>
    </xf>
    <xf borderId="9" fillId="29" fontId="8" numFmtId="0" xfId="0" applyAlignment="1" applyBorder="1" applyFont="1">
      <alignment horizontal="center" vertical="bottom"/>
    </xf>
    <xf borderId="9" fillId="29" fontId="13" numFmtId="0" xfId="0" applyAlignment="1" applyBorder="1" applyFont="1">
      <alignment horizontal="center" readingOrder="0" vertical="bottom"/>
    </xf>
    <xf borderId="9" fillId="0" fontId="13" numFmtId="165" xfId="0" applyAlignment="1" applyBorder="1" applyFont="1" applyNumberFormat="1">
      <alignment horizontal="center" readingOrder="0" vertical="bottom"/>
    </xf>
    <xf borderId="9" fillId="0" fontId="8" numFmtId="165" xfId="0" applyAlignment="1" applyBorder="1" applyFont="1" applyNumberFormat="1">
      <alignment horizontal="center" readingOrder="0" vertical="bottom"/>
    </xf>
    <xf borderId="15" fillId="7" fontId="12" numFmtId="0" xfId="0" applyAlignment="1" applyBorder="1" applyFont="1">
      <alignment horizontal="center" readingOrder="0" shrinkToFit="0" vertical="center" wrapText="1"/>
    </xf>
    <xf borderId="9" fillId="29" fontId="8" numFmtId="0" xfId="0" applyAlignment="1" applyBorder="1" applyFont="1">
      <alignment horizontal="center" vertical="bottom"/>
    </xf>
    <xf borderId="9" fillId="29" fontId="8" numFmtId="0" xfId="0" applyAlignment="1" applyBorder="1" applyFont="1">
      <alignment horizontal="center" shrinkToFit="0" vertical="bottom" wrapText="1"/>
    </xf>
    <xf borderId="9" fillId="29" fontId="8" numFmtId="0" xfId="0" applyAlignment="1" applyBorder="1" applyFont="1">
      <alignment horizontal="center" shrinkToFit="0" wrapText="1"/>
    </xf>
    <xf borderId="9" fillId="29" fontId="8" numFmtId="0" xfId="0" applyAlignment="1" applyBorder="1" applyFont="1">
      <alignment horizontal="center" shrinkToFit="0" vertical="bottom" wrapText="1"/>
    </xf>
    <xf borderId="0" fillId="7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readingOrder="0" vertical="bottom"/>
    </xf>
    <xf borderId="9" fillId="29" fontId="13" numFmtId="0" xfId="0" applyAlignment="1" applyBorder="1" applyFont="1">
      <alignment horizontal="center" vertical="bottom"/>
    </xf>
    <xf borderId="9" fillId="11" fontId="13" numFmtId="0" xfId="0" applyAlignment="1" applyBorder="1" applyFont="1">
      <alignment horizontal="center" readingOrder="0" shrinkToFit="0" vertical="center" wrapText="1"/>
    </xf>
    <xf borderId="9" fillId="29" fontId="8" numFmtId="0" xfId="0" applyAlignment="1" applyBorder="1" applyFont="1">
      <alignment horizontal="center" shrinkToFit="0" wrapText="1"/>
    </xf>
    <xf borderId="13" fillId="29" fontId="8" numFmtId="0" xfId="0" applyAlignment="1" applyBorder="1" applyFont="1">
      <alignment horizontal="center" vertical="bottom"/>
    </xf>
    <xf borderId="13" fillId="29" fontId="13" numFmtId="0" xfId="0" applyAlignment="1" applyBorder="1" applyFont="1">
      <alignment horizontal="center" vertical="bottom"/>
    </xf>
    <xf borderId="13" fillId="0" fontId="8" numFmtId="0" xfId="0" applyAlignment="1" applyBorder="1" applyFont="1">
      <alignment vertical="bottom"/>
    </xf>
    <xf borderId="9" fillId="6" fontId="8" numFmtId="0" xfId="0" applyAlignment="1" applyBorder="1" applyFont="1">
      <alignment horizontal="center" readingOrder="0" shrinkToFit="0" vertical="center" wrapText="1"/>
    </xf>
    <xf borderId="9" fillId="11" fontId="49" numFmtId="0" xfId="0" applyAlignment="1" applyBorder="1" applyFont="1">
      <alignment horizontal="center" readingOrder="0" shrinkToFit="0" vertical="center" wrapText="1"/>
    </xf>
    <xf borderId="9" fillId="0" fontId="5" numFmtId="167" xfId="0" applyAlignment="1" applyBorder="1" applyFont="1" applyNumberFormat="1">
      <alignment horizontal="center" readingOrder="0" shrinkToFit="0" vertical="center" wrapText="1"/>
    </xf>
    <xf borderId="0" fillId="8" fontId="34" numFmtId="0" xfId="0" applyAlignment="1" applyFont="1">
      <alignment horizontal="center" readingOrder="0" vertical="center"/>
    </xf>
    <xf borderId="0" fillId="8" fontId="41" numFmtId="0" xfId="0" applyAlignment="1" applyFont="1">
      <alignment horizontal="center" readingOrder="0" vertical="center"/>
    </xf>
    <xf borderId="0" fillId="8" fontId="8" numFmtId="0" xfId="0" applyAlignment="1" applyFont="1">
      <alignment horizontal="center" vertical="center"/>
    </xf>
    <xf borderId="0" fillId="8" fontId="42" numFmtId="164" xfId="0" applyAlignment="1" applyFont="1" applyNumberFormat="1">
      <alignment horizontal="center" readingOrder="0" vertical="center"/>
    </xf>
    <xf borderId="0" fillId="8" fontId="43" numFmtId="0" xfId="0" applyAlignment="1" applyFont="1">
      <alignment horizontal="center" readingOrder="0" vertical="center"/>
    </xf>
    <xf borderId="14" fillId="8" fontId="12" numFmtId="0" xfId="0" applyAlignment="1" applyBorder="1" applyFont="1">
      <alignment horizontal="center" vertical="center"/>
    </xf>
    <xf borderId="0" fillId="8" fontId="12" numFmtId="0" xfId="0" applyAlignment="1" applyFont="1">
      <alignment horizontal="center" vertical="center"/>
    </xf>
    <xf borderId="11" fillId="0" fontId="39" numFmtId="0" xfId="0" applyAlignment="1" applyBorder="1" applyFont="1">
      <alignment horizontal="center" vertical="center"/>
    </xf>
    <xf borderId="14" fillId="0" fontId="39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9" fillId="0" fontId="39" numFmtId="0" xfId="0" applyAlignment="1" applyBorder="1" applyFont="1">
      <alignment horizontal="center" readingOrder="0" vertical="center"/>
    </xf>
    <xf borderId="9" fillId="0" fontId="39" numFmtId="0" xfId="0" applyAlignment="1" applyBorder="1" applyFont="1">
      <alignment horizontal="center" vertical="center"/>
    </xf>
    <xf borderId="9" fillId="8" fontId="12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readingOrder="0" shrinkToFit="0" wrapText="1"/>
    </xf>
    <xf borderId="9" fillId="11" fontId="14" numFmtId="0" xfId="0" applyAlignment="1" applyBorder="1" applyFont="1">
      <alignment horizontal="center" readingOrder="0" shrinkToFit="0" wrapText="1"/>
    </xf>
    <xf borderId="9" fillId="11" fontId="14" numFmtId="165" xfId="0" applyAlignment="1" applyBorder="1" applyFont="1" applyNumberFormat="1">
      <alignment horizontal="center" shrinkToFit="0" wrapText="1"/>
    </xf>
    <xf borderId="9" fillId="11" fontId="14" numFmtId="165" xfId="0" applyAlignment="1" applyBorder="1" applyFont="1" applyNumberFormat="1">
      <alignment horizontal="center" readingOrder="0" shrinkToFit="0" wrapText="1"/>
    </xf>
    <xf borderId="9" fillId="0" fontId="14" numFmtId="0" xfId="0" applyAlignment="1" applyBorder="1" applyFont="1">
      <alignment horizontal="center" readingOrder="0" shrinkToFit="0" vertical="center" wrapText="1"/>
    </xf>
    <xf borderId="0" fillId="11" fontId="8" numFmtId="0" xfId="0" applyFont="1"/>
    <xf borderId="14" fillId="8" fontId="12" numFmtId="0" xfId="0" applyAlignment="1" applyBorder="1" applyFont="1">
      <alignment horizontal="center" readingOrder="0" vertical="center"/>
    </xf>
    <xf borderId="0" fillId="8" fontId="12" numFmtId="0" xfId="0" applyAlignment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9" fillId="28" fontId="13" numFmtId="0" xfId="0" applyAlignment="1" applyBorder="1" applyFont="1">
      <alignment horizontal="center" readingOrder="0" vertical="center"/>
    </xf>
    <xf borderId="9" fillId="0" fontId="13" numFmtId="165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9" fillId="28" fontId="8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9" fillId="13" fontId="15" numFmtId="0" xfId="0" applyAlignment="1" applyBorder="1" applyFont="1">
      <alignment horizontal="center" readingOrder="0" shrinkToFit="0" vertical="center" wrapText="1"/>
    </xf>
    <xf borderId="9" fillId="13" fontId="15" numFmtId="165" xfId="0" applyAlignment="1" applyBorder="1" applyFont="1" applyNumberFormat="1">
      <alignment horizontal="center" readingOrder="0" shrinkToFit="0" vertical="center" wrapText="1"/>
    </xf>
    <xf borderId="9" fillId="13" fontId="15" numFmtId="0" xfId="0" applyAlignment="1" applyBorder="1" applyFont="1">
      <alignment horizontal="center" shrinkToFit="0" vertical="center" wrapText="1"/>
    </xf>
    <xf borderId="9" fillId="0" fontId="8" numFmtId="167" xfId="0" applyAlignment="1" applyBorder="1" applyFont="1" applyNumberFormat="1">
      <alignment horizontal="center" readingOrder="0" vertical="center"/>
    </xf>
    <xf borderId="9" fillId="6" fontId="8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9" fillId="0" fontId="8" numFmtId="165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28" fontId="13" numFmtId="0" xfId="0" applyAlignment="1" applyFont="1">
      <alignment horizontal="center" readingOrder="0" vertical="center"/>
    </xf>
    <xf borderId="0" fillId="0" fontId="13" numFmtId="165" xfId="0" applyAlignment="1" applyFont="1" applyNumberFormat="1">
      <alignment horizontal="center" readingOrder="0" vertical="center"/>
    </xf>
    <xf borderId="9" fillId="30" fontId="8" numFmtId="0" xfId="0" applyAlignment="1" applyBorder="1" applyFill="1" applyFont="1">
      <alignment horizontal="center" readingOrder="0" vertical="center"/>
    </xf>
    <xf borderId="9" fillId="11" fontId="8" numFmtId="165" xfId="0" applyAlignment="1" applyBorder="1" applyFont="1" applyNumberFormat="1">
      <alignment horizontal="center" shrinkToFit="0" wrapText="1"/>
    </xf>
    <xf borderId="9" fillId="11" fontId="8" numFmtId="165" xfId="0" applyAlignment="1" applyBorder="1" applyFont="1" applyNumberFormat="1">
      <alignment horizontal="center" readingOrder="0" shrinkToFit="0" wrapText="1"/>
    </xf>
    <xf borderId="9" fillId="11" fontId="8" numFmtId="0" xfId="0" applyAlignment="1" applyBorder="1" applyFont="1">
      <alignment horizontal="center" readingOrder="0" vertical="center"/>
    </xf>
    <xf borderId="9" fillId="0" fontId="5" numFmtId="169" xfId="0" applyAlignment="1" applyBorder="1" applyFont="1" applyNumberFormat="1">
      <alignment horizontal="center" readingOrder="0" vertical="center"/>
    </xf>
    <xf borderId="9" fillId="0" fontId="5" numFmtId="167" xfId="0" applyAlignment="1" applyBorder="1" applyFont="1" applyNumberFormat="1">
      <alignment horizontal="center" readingOrder="0" vertical="center"/>
    </xf>
    <xf borderId="9" fillId="0" fontId="5" numFmtId="170" xfId="0" applyAlignment="1" applyBorder="1" applyFont="1" applyNumberFormat="1">
      <alignment horizontal="center" readingOrder="0" vertical="center"/>
    </xf>
    <xf borderId="9" fillId="0" fontId="14" numFmtId="0" xfId="0" applyAlignment="1" applyBorder="1" applyFont="1">
      <alignment horizontal="center" shrinkToFit="0" wrapText="1"/>
    </xf>
    <xf borderId="9" fillId="11" fontId="14" numFmtId="0" xfId="0" applyAlignment="1" applyBorder="1" applyFont="1">
      <alignment horizontal="center" shrinkToFit="0" wrapText="1"/>
    </xf>
    <xf borderId="9" fillId="0" fontId="13" numFmtId="167" xfId="0" applyAlignment="1" applyBorder="1" applyFont="1" applyNumberFormat="1">
      <alignment horizontal="center" readingOrder="0" vertical="center"/>
    </xf>
    <xf borderId="9" fillId="11" fontId="8" numFmtId="165" xfId="0" applyAlignment="1" applyBorder="1" applyFont="1" applyNumberFormat="1">
      <alignment horizontal="center" shrinkToFit="0" vertical="bottom" wrapText="1"/>
    </xf>
    <xf borderId="9" fillId="0" fontId="14" numFmtId="0" xfId="0" applyAlignment="1" applyBorder="1" applyFont="1">
      <alignment horizontal="center" readingOrder="0" shrinkToFit="0" vertical="bottom" wrapText="1"/>
    </xf>
    <xf borderId="9" fillId="11" fontId="14" numFmtId="0" xfId="0" applyAlignment="1" applyBorder="1" applyFont="1">
      <alignment horizontal="center" readingOrder="0" shrinkToFit="0" vertical="bottom" wrapText="1"/>
    </xf>
    <xf borderId="9" fillId="11" fontId="14" numFmtId="165" xfId="0" applyAlignment="1" applyBorder="1" applyFont="1" applyNumberFormat="1">
      <alignment horizontal="center" readingOrder="0" shrinkToFit="0" vertical="bottom" wrapText="1"/>
    </xf>
    <xf borderId="9" fillId="28" fontId="14" numFmtId="0" xfId="0" applyAlignment="1" applyBorder="1" applyFont="1">
      <alignment horizontal="center" readingOrder="0" vertical="center"/>
    </xf>
    <xf borderId="9" fillId="0" fontId="14" numFmtId="167" xfId="0" applyAlignment="1" applyBorder="1" applyFont="1" applyNumberFormat="1">
      <alignment horizontal="center" readingOrder="0" vertical="center"/>
    </xf>
    <xf borderId="9" fillId="11" fontId="8" numFmtId="165" xfId="0" applyAlignment="1" applyBorder="1" applyFont="1" applyNumberFormat="1">
      <alignment horizontal="center" readingOrder="0" shrinkToFit="0" vertical="bottom" wrapText="1"/>
    </xf>
    <xf borderId="9" fillId="0" fontId="66" numFmtId="0" xfId="0" applyAlignment="1" applyBorder="1" applyFont="1">
      <alignment horizontal="center" readingOrder="0" shrinkToFit="0" wrapText="1"/>
    </xf>
    <xf borderId="9" fillId="0" fontId="14" numFmtId="165" xfId="0" applyAlignment="1" applyBorder="1" applyFont="1" applyNumberFormat="1">
      <alignment horizontal="center" readingOrder="0" vertical="center"/>
    </xf>
    <xf borderId="9" fillId="0" fontId="67" numFmtId="0" xfId="0" applyAlignment="1" applyBorder="1" applyFont="1">
      <alignment horizontal="center" readingOrder="0" vertical="center"/>
    </xf>
    <xf borderId="0" fillId="9" fontId="68" numFmtId="0" xfId="0" applyAlignment="1" applyFont="1">
      <alignment horizontal="center" readingOrder="0" shrinkToFit="0" vertical="center" wrapText="1"/>
    </xf>
    <xf borderId="0" fillId="9" fontId="13" numFmtId="0" xfId="0" applyAlignment="1" applyFont="1">
      <alignment horizontal="center" shrinkToFit="0" vertical="center" wrapText="1"/>
    </xf>
    <xf borderId="0" fillId="9" fontId="13" numFmtId="164" xfId="0" applyAlignment="1" applyFont="1" applyNumberFormat="1">
      <alignment horizontal="center" readingOrder="0" shrinkToFit="0" vertical="center" wrapText="1"/>
    </xf>
    <xf borderId="0" fillId="9" fontId="69" numFmtId="0" xfId="0" applyAlignment="1" applyFont="1">
      <alignment horizontal="center" readingOrder="0" shrinkToFit="0" vertical="center" wrapText="1"/>
    </xf>
    <xf borderId="14" fillId="9" fontId="68" numFmtId="0" xfId="0" applyAlignment="1" applyBorder="1" applyFont="1">
      <alignment horizontal="center" shrinkToFit="0" vertical="center" wrapText="1"/>
    </xf>
    <xf borderId="11" fillId="11" fontId="68" numFmtId="0" xfId="0" applyAlignment="1" applyBorder="1" applyFont="1">
      <alignment horizontal="center" shrinkToFit="0" vertical="center" wrapText="1"/>
    </xf>
    <xf borderId="14" fillId="11" fontId="68" numFmtId="0" xfId="0" applyAlignment="1" applyBorder="1" applyFont="1">
      <alignment horizontal="center" shrinkToFit="0" vertical="center" wrapText="1"/>
    </xf>
    <xf borderId="9" fillId="11" fontId="68" numFmtId="0" xfId="0" applyAlignment="1" applyBorder="1" applyFont="1">
      <alignment horizontal="center" readingOrder="0" shrinkToFit="0" vertical="center" wrapText="1"/>
    </xf>
    <xf borderId="9" fillId="11" fontId="68" numFmtId="0" xfId="0" applyAlignment="1" applyBorder="1" applyFont="1">
      <alignment horizontal="center" shrinkToFit="0" vertical="center" wrapText="1"/>
    </xf>
    <xf borderId="9" fillId="0" fontId="13" numFmtId="167" xfId="0" applyAlignment="1" applyBorder="1" applyFont="1" applyNumberFormat="1">
      <alignment horizontal="center" readingOrder="0" shrinkToFit="0" vertical="center" wrapText="1"/>
    </xf>
    <xf borderId="14" fillId="9" fontId="68" numFmtId="0" xfId="0" applyAlignment="1" applyBorder="1" applyFont="1">
      <alignment horizontal="center" readingOrder="0" shrinkToFit="0" vertical="center" wrapText="1"/>
    </xf>
    <xf borderId="9" fillId="0" fontId="8" numFmtId="167" xfId="0" applyBorder="1" applyFont="1" applyNumberFormat="1"/>
    <xf borderId="9" fillId="0" fontId="13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9" fillId="0" fontId="13" numFmtId="167" xfId="0" applyBorder="1" applyFont="1" applyNumberFormat="1"/>
    <xf borderId="9" fillId="0" fontId="13" numFmtId="165" xfId="0" applyBorder="1" applyFont="1" applyNumberFormat="1"/>
    <xf borderId="9" fillId="0" fontId="13" numFmtId="167" xfId="0" applyAlignment="1" applyBorder="1" applyFont="1" applyNumberFormat="1">
      <alignment horizontal="center" shrinkToFit="0" wrapText="1"/>
    </xf>
    <xf borderId="9" fillId="0" fontId="13" numFmtId="0" xfId="0" applyBorder="1" applyFont="1"/>
    <xf borderId="9" fillId="0" fontId="13" numFmtId="169" xfId="0" applyAlignment="1" applyBorder="1" applyFont="1" applyNumberFormat="1">
      <alignment horizontal="center" shrinkToFit="0" wrapText="1"/>
    </xf>
    <xf borderId="9" fillId="11" fontId="8" numFmtId="0" xfId="0" applyAlignment="1" applyBorder="1" applyFont="1">
      <alignment horizontal="center" shrinkToFit="0" vertical="center" wrapText="1"/>
    </xf>
    <xf borderId="9" fillId="0" fontId="8" numFmtId="171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0" fillId="10" fontId="44" numFmtId="0" xfId="0" applyAlignment="1" applyFont="1">
      <alignment horizontal="center" readingOrder="0" vertical="center"/>
    </xf>
    <xf borderId="0" fillId="10" fontId="70" numFmtId="0" xfId="0" applyAlignment="1" applyFont="1">
      <alignment horizontal="center" readingOrder="0" vertical="center"/>
    </xf>
    <xf borderId="0" fillId="10" fontId="71" numFmtId="0" xfId="0" applyAlignment="1" applyFont="1">
      <alignment horizontal="center" readingOrder="0" vertical="center"/>
    </xf>
    <xf borderId="0" fillId="10" fontId="72" numFmtId="0" xfId="0" applyAlignment="1" applyFont="1">
      <alignment horizontal="left" readingOrder="0" vertical="center"/>
    </xf>
    <xf borderId="0" fillId="10" fontId="72" numFmtId="164" xfId="0" applyAlignment="1" applyFont="1" applyNumberFormat="1">
      <alignment horizontal="right" readingOrder="0" vertical="center"/>
    </xf>
    <xf borderId="0" fillId="10" fontId="72" numFmtId="166" xfId="0" applyAlignment="1" applyFont="1" applyNumberFormat="1">
      <alignment horizontal="center" readingOrder="0" vertical="center"/>
    </xf>
    <xf borderId="0" fillId="10" fontId="72" numFmtId="164" xfId="0" applyAlignment="1" applyFont="1" applyNumberFormat="1">
      <alignment horizontal="center" readingOrder="0" vertical="center"/>
    </xf>
    <xf borderId="0" fillId="10" fontId="38" numFmtId="0" xfId="0" applyAlignment="1" applyFont="1">
      <alignment horizontal="center" readingOrder="0" vertical="center"/>
    </xf>
    <xf borderId="14" fillId="10" fontId="37" numFmtId="0" xfId="0" applyAlignment="1" applyBorder="1" applyFont="1">
      <alignment horizontal="center" vertical="center"/>
    </xf>
    <xf borderId="11" fillId="0" fontId="39" numFmtId="0" xfId="0" applyAlignment="1" applyBorder="1" applyFont="1">
      <alignment horizontal="center"/>
    </xf>
    <xf borderId="14" fillId="0" fontId="39" numFmtId="0" xfId="0" applyAlignment="1" applyBorder="1" applyFont="1">
      <alignment horizontal="center"/>
    </xf>
    <xf borderId="9" fillId="0" fontId="39" numFmtId="0" xfId="0" applyAlignment="1" applyBorder="1" applyFont="1">
      <alignment horizontal="center"/>
    </xf>
    <xf borderId="9" fillId="0" fontId="39" numFmtId="0" xfId="0" applyAlignment="1" applyBorder="1" applyFont="1">
      <alignment horizontal="center"/>
    </xf>
    <xf borderId="9" fillId="0" fontId="14" numFmtId="165" xfId="0" applyAlignment="1" applyBorder="1" applyFont="1" applyNumberFormat="1">
      <alignment horizontal="center" readingOrder="0" vertical="bottom"/>
    </xf>
    <xf borderId="9" fillId="0" fontId="14" numFmtId="171" xfId="0" applyAlignment="1" applyBorder="1" applyFont="1" applyNumberFormat="1">
      <alignment horizontal="center" readingOrder="0" vertical="bottom"/>
    </xf>
    <xf borderId="9" fillId="0" fontId="14" numFmtId="165" xfId="0" applyAlignment="1" applyBorder="1" applyFont="1" applyNumberFormat="1">
      <alignment horizontal="center" vertical="bottom"/>
    </xf>
    <xf borderId="9" fillId="0" fontId="14" numFmtId="0" xfId="0" applyAlignment="1" applyBorder="1" applyFont="1">
      <alignment horizontal="center" readingOrder="0" vertical="bottom"/>
    </xf>
    <xf borderId="9" fillId="0" fontId="14" numFmtId="0" xfId="0" applyAlignment="1" applyBorder="1" applyFont="1">
      <alignment horizontal="center" vertical="bottom"/>
    </xf>
    <xf borderId="0" fillId="0" fontId="8" numFmtId="0" xfId="0" applyAlignment="1" applyFont="1">
      <alignment readingOrder="0" vertical="bottom"/>
    </xf>
    <xf borderId="9" fillId="0" fontId="14" numFmtId="172" xfId="0" applyAlignment="1" applyBorder="1" applyFont="1" applyNumberFormat="1">
      <alignment horizontal="center" readingOrder="0" vertical="bottom"/>
    </xf>
    <xf borderId="14" fillId="10" fontId="37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/>
    </xf>
    <xf borderId="9" fillId="0" fontId="8" numFmtId="171" xfId="0" applyBorder="1" applyFont="1" applyNumberFormat="1"/>
    <xf borderId="9" fillId="0" fontId="8" numFmtId="171" xfId="0" applyAlignment="1" applyBorder="1" applyFont="1" applyNumberFormat="1">
      <alignment vertical="bottom"/>
    </xf>
    <xf borderId="9" fillId="0" fontId="8" numFmtId="171" xfId="0" applyAlignment="1" applyBorder="1" applyFont="1" applyNumberFormat="1">
      <alignment horizontal="center" shrinkToFit="0" vertical="bottom" wrapText="1"/>
    </xf>
    <xf borderId="9" fillId="0" fontId="8" numFmtId="0" xfId="0" applyBorder="1" applyFont="1"/>
    <xf borderId="9" fillId="0" fontId="13" numFmtId="171" xfId="0" applyAlignment="1" applyBorder="1" applyFont="1" applyNumberFormat="1">
      <alignment horizontal="center" shrinkToFit="0" wrapText="1"/>
    </xf>
    <xf borderId="9" fillId="0" fontId="13" numFmtId="171" xfId="0" applyAlignment="1" applyBorder="1" applyFont="1" applyNumberFormat="1">
      <alignment horizontal="center" shrinkToFit="0" vertical="bottom" wrapText="1"/>
    </xf>
    <xf borderId="0" fillId="0" fontId="13" numFmtId="0" xfId="0" applyAlignment="1" applyFont="1">
      <alignment horizontal="center"/>
    </xf>
    <xf borderId="9" fillId="0" fontId="8" numFmtId="172" xfId="0" applyAlignment="1" applyBorder="1" applyFont="1" applyNumberFormat="1">
      <alignment vertical="bottom"/>
    </xf>
    <xf borderId="9" fillId="0" fontId="8" numFmtId="0" xfId="0" applyAlignment="1" applyBorder="1" applyFont="1">
      <alignment horizontal="right" vertical="bottom"/>
    </xf>
    <xf borderId="9" fillId="0" fontId="13" numFmtId="172" xfId="0" applyAlignment="1" applyBorder="1" applyFont="1" applyNumberFormat="1">
      <alignment horizontal="center"/>
    </xf>
    <xf borderId="9" fillId="0" fontId="13" numFmtId="171" xfId="0" applyAlignment="1" applyBorder="1" applyFont="1" applyNumberFormat="1">
      <alignment horizontal="center"/>
    </xf>
    <xf borderId="9" fillId="0" fontId="13" numFmtId="165" xfId="0" applyAlignment="1" applyBorder="1" applyFont="1" applyNumberFormat="1">
      <alignment horizontal="center"/>
    </xf>
    <xf borderId="9" fillId="0" fontId="13" numFmtId="171" xfId="0" applyAlignment="1" applyBorder="1" applyFont="1" applyNumberFormat="1">
      <alignment horizontal="right" vertical="bottom"/>
    </xf>
    <xf borderId="9" fillId="0" fontId="8" numFmtId="171" xfId="0" applyAlignment="1" applyBorder="1" applyFont="1" applyNumberFormat="1">
      <alignment horizontal="center" shrinkToFit="0" wrapText="1"/>
    </xf>
    <xf borderId="9" fillId="0" fontId="8" numFmtId="171" xfId="0" applyAlignment="1" applyBorder="1" applyFont="1" applyNumberFormat="1">
      <alignment horizontal="right" vertical="bottom"/>
    </xf>
    <xf borderId="9" fillId="0" fontId="73" numFmtId="0" xfId="0" applyAlignment="1" applyBorder="1" applyFont="1">
      <alignment vertical="bottom"/>
    </xf>
    <xf borderId="9" fillId="0" fontId="13" numFmtId="171" xfId="0" applyAlignment="1" applyBorder="1" applyFont="1" applyNumberFormat="1">
      <alignment horizontal="center" vertical="bottom"/>
    </xf>
    <xf borderId="9" fillId="0" fontId="8" numFmtId="0" xfId="0" applyAlignment="1" applyBorder="1" applyFont="1">
      <alignment horizontal="right" vertical="bottom"/>
    </xf>
    <xf borderId="0" fillId="12" fontId="74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12" fontId="75" numFmtId="0" xfId="0" applyAlignment="1" applyFont="1">
      <alignment horizontal="center" readingOrder="0" vertical="center"/>
    </xf>
    <xf borderId="0" fillId="12" fontId="74" numFmtId="164" xfId="0" applyAlignment="1" applyFont="1" applyNumberFormat="1">
      <alignment horizontal="center" readingOrder="0" vertical="center"/>
    </xf>
    <xf borderId="14" fillId="12" fontId="75" numFmtId="0" xfId="0" applyAlignment="1" applyBorder="1" applyFont="1">
      <alignment horizontal="center" vertical="center"/>
    </xf>
    <xf borderId="11" fillId="0" fontId="68" numFmtId="0" xfId="0" applyAlignment="1" applyBorder="1" applyFont="1">
      <alignment horizontal="center" vertical="center"/>
    </xf>
    <xf borderId="11" fillId="0" fontId="68" numFmtId="0" xfId="0" applyAlignment="1" applyBorder="1" applyFont="1">
      <alignment horizontal="center" readingOrder="0" vertical="center"/>
    </xf>
    <xf borderId="14" fillId="0" fontId="68" numFmtId="0" xfId="0" applyAlignment="1" applyBorder="1" applyFont="1">
      <alignment horizontal="center" vertical="center"/>
    </xf>
    <xf borderId="9" fillId="0" fontId="68" numFmtId="0" xfId="0" applyAlignment="1" applyBorder="1" applyFont="1">
      <alignment horizontal="center" vertical="center"/>
    </xf>
    <xf borderId="9" fillId="0" fontId="13" numFmtId="169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9" fillId="0" fontId="13" numFmtId="173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horizontal="center" readingOrder="0"/>
    </xf>
    <xf borderId="0" fillId="0" fontId="76" numFmtId="0" xfId="0" applyAlignment="1" applyFont="1">
      <alignment horizontal="center" readingOrder="0"/>
    </xf>
    <xf borderId="0" fillId="0" fontId="77" numFmtId="0" xfId="0" applyAlignment="1" applyFont="1">
      <alignment horizontal="center" readingOrder="0"/>
    </xf>
    <xf borderId="9" fillId="0" fontId="13" numFmtId="173" xfId="0" applyAlignment="1" applyBorder="1" applyFont="1" applyNumberFormat="1">
      <alignment horizontal="center" readingOrder="0" shrinkToFit="0" vertical="center" wrapText="1"/>
    </xf>
    <xf borderId="9" fillId="0" fontId="13" numFmtId="0" xfId="0" applyAlignment="1" applyBorder="1" applyFont="1">
      <alignment horizontal="center"/>
    </xf>
    <xf borderId="9" fillId="0" fontId="13" numFmtId="173" xfId="0" applyAlignment="1" applyBorder="1" applyFont="1" applyNumberFormat="1">
      <alignment horizontal="center" readingOrder="0"/>
    </xf>
    <xf borderId="9" fillId="0" fontId="13" numFmtId="167" xfId="0" applyAlignment="1" applyBorder="1" applyFont="1" applyNumberFormat="1">
      <alignment horizontal="center"/>
    </xf>
    <xf borderId="9" fillId="0" fontId="13" numFmtId="169" xfId="0" applyAlignment="1" applyBorder="1" applyFont="1" applyNumberFormat="1">
      <alignment horizontal="center"/>
    </xf>
    <xf borderId="0" fillId="0" fontId="78" numFmtId="0" xfId="0" applyAlignment="1" applyFont="1">
      <alignment horizontal="center" vertical="bottom"/>
    </xf>
    <xf borderId="9" fillId="0" fontId="13" numFmtId="0" xfId="0" applyAlignment="1" applyBorder="1" applyFont="1">
      <alignment horizontal="center" readingOrder="0"/>
    </xf>
    <xf borderId="0" fillId="0" fontId="79" numFmtId="0" xfId="0" applyAlignment="1" applyFont="1">
      <alignment horizontal="center" readingOrder="0"/>
    </xf>
    <xf borderId="9" fillId="0" fontId="8" numFmtId="0" xfId="0" applyAlignment="1" applyBorder="1" applyFont="1">
      <alignment horizontal="center"/>
    </xf>
    <xf borderId="9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0" fontId="13" numFmtId="167" xfId="0" applyAlignment="1" applyFont="1" applyNumberFormat="1">
      <alignment horizontal="center"/>
    </xf>
    <xf borderId="9" fillId="0" fontId="8" numFmtId="0" xfId="0" applyAlignment="1" applyBorder="1" applyFont="1">
      <alignment horizontal="center"/>
    </xf>
    <xf borderId="9" fillId="0" fontId="13" numFmtId="173" xfId="0" applyAlignment="1" applyBorder="1" applyFont="1" applyNumberFormat="1">
      <alignment horizontal="center"/>
    </xf>
    <xf borderId="0" fillId="0" fontId="80" numFmtId="0" xfId="0" applyAlignment="1" applyFont="1">
      <alignment horizontal="center" readingOrder="0"/>
    </xf>
    <xf borderId="9" fillId="0" fontId="13" numFmtId="173" xfId="0" applyAlignment="1" applyBorder="1" applyFont="1" applyNumberFormat="1">
      <alignment horizontal="center" readingOrder="0" shrinkToFit="0" wrapText="1"/>
    </xf>
    <xf borderId="9" fillId="0" fontId="13" numFmtId="167" xfId="0" applyAlignment="1" applyBorder="1" applyFont="1" applyNumberFormat="1">
      <alignment horizontal="center" readingOrder="0"/>
    </xf>
    <xf borderId="9" fillId="0" fontId="13" numFmtId="169" xfId="0" applyAlignment="1" applyBorder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1CL, 2CL, 3CL and 4CL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SUMMARY!$F$84:$F$86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SUMMARY!$E$87:$E$96</c:f>
            </c:strRef>
          </c:cat>
          <c:val>
            <c:numRef>
              <c:f>SUMMARY!$F$87:$F$96</c:f>
              <c:numCache/>
            </c:numRef>
          </c:val>
        </c:ser>
        <c:ser>
          <c:idx val="1"/>
          <c:order val="1"/>
          <c:tx>
            <c:strRef>
              <c:f>SUMMARY!$G$84:$G$86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SUMMARY!$E$87:$E$96</c:f>
            </c:strRef>
          </c:cat>
          <c:val>
            <c:numRef>
              <c:f>SUMMARY!$G$87:$G$96</c:f>
              <c:numCache/>
            </c:numRef>
          </c:val>
        </c:ser>
        <c:ser>
          <c:idx val="2"/>
          <c:order val="2"/>
          <c:tx>
            <c:strRef>
              <c:f>SUMMARY!$H$84:$H$86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SUMMARY!$E$87:$E$96</c:f>
            </c:strRef>
          </c:cat>
          <c:val>
            <c:numRef>
              <c:f>SUMMARY!$H$87:$H$96</c:f>
              <c:numCache/>
            </c:numRef>
          </c:val>
        </c:ser>
        <c:ser>
          <c:idx val="3"/>
          <c:order val="3"/>
          <c:tx>
            <c:strRef>
              <c:f>SUMMARY!$I$84:$I$86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SUMMARY!$E$87:$E$96</c:f>
            </c:strRef>
          </c:cat>
          <c:val>
            <c:numRef>
              <c:f>SUMMARY!$I$87:$I$96</c:f>
              <c:numCache/>
            </c:numRef>
          </c:val>
        </c:ser>
        <c:overlap val="100"/>
        <c:axId val="1588537281"/>
        <c:axId val="1309811523"/>
      </c:barChart>
      <c:catAx>
        <c:axId val="1588537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NATURE OF REPORT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811523"/>
      </c:catAx>
      <c:valAx>
        <c:axId val="1309811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537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CONFINED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SUMMARY!$L$46:$L$47</c:f>
            </c:strRef>
          </c:tx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FEFEF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CC0000"/>
              </a:solidFill>
            </c:spPr>
          </c:dPt>
          <c:dPt>
            <c:idx val="6"/>
            <c:spPr>
              <a:solidFill>
                <a:srgbClr val="FFFF00"/>
              </a:solidFill>
            </c:spPr>
          </c:dPt>
          <c:dPt>
            <c:idx val="7"/>
            <c:spPr>
              <a:solidFill>
                <a:srgbClr val="434343"/>
              </a:solidFill>
            </c:spPr>
          </c:dPt>
          <c:dPt>
            <c:idx val="8"/>
            <c:explosion val="0"/>
            <c:spPr>
              <a:solidFill>
                <a:schemeClr val="dk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SUMMARY!$K$48:$K$56</c:f>
            </c:strRef>
          </c:cat>
          <c:val>
            <c:numRef>
              <c:f>SUMMARY!$L$48:$L$56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TOURING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EFEFEF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FF0000"/>
              </a:solidFill>
            </c:spPr>
          </c:dPt>
          <c:dPt>
            <c:idx val="6"/>
            <c:spPr>
              <a:solidFill>
                <a:srgbClr val="FFFF00"/>
              </a:solidFill>
            </c:spPr>
          </c:dPt>
          <c:dPt>
            <c:idx val="7"/>
            <c:spPr>
              <a:solidFill>
                <a:srgbClr val="434343"/>
              </a:solidFill>
            </c:spPr>
          </c:dPt>
          <c:dPt>
            <c:idx val="8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SUMMARY!$E$48:$E$56</c:f>
            </c:strRef>
          </c:cat>
          <c:val>
            <c:numRef>
              <c:f>SUMMARY!$F$48:$F$56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Arial black"/>
              </a:defRPr>
            </a:pPr>
            <a:r>
              <a:rPr b="0" sz="3000">
                <a:solidFill>
                  <a:srgbClr val="000000"/>
                </a:solidFill>
                <a:latin typeface="Arial black"/>
              </a:rPr>
              <a:t>Touring/Confined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SUMMARY!$R$46:$R$47</c:f>
            </c:strRef>
          </c:tx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3F3F3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0000FF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741B47"/>
              </a:solidFill>
            </c:spPr>
          </c:dPt>
          <c:dPt>
            <c:idx val="6"/>
            <c:spPr>
              <a:solidFill>
                <a:srgbClr val="FFFF00"/>
              </a:solidFill>
            </c:spPr>
          </c:dPt>
          <c:dPt>
            <c:idx val="7"/>
            <c:spPr>
              <a:solidFill>
                <a:srgbClr val="434343"/>
              </a:solidFill>
            </c:spPr>
          </c:dPt>
          <c:dPt>
            <c:idx val="8"/>
            <c:spPr>
              <a:solidFill>
                <a:schemeClr val="dk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SUMMARY!$Q$48:$Q$56</c:f>
            </c:strRef>
          </c:cat>
          <c:val>
            <c:numRef>
              <c:f>SUMMARY!$R$48:$R$56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Arial black"/>
              </a:defRPr>
            </a:pPr>
            <a:r>
              <a:rPr b="0" sz="2000">
                <a:solidFill>
                  <a:srgbClr val="757575"/>
                </a:solidFill>
                <a:latin typeface="Arial black"/>
              </a:rPr>
              <a:t>Per Class Offenses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SUMMARY!$L$86:$L$88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SUMMARY!$K$89:$K$94</c:f>
            </c:strRef>
          </c:cat>
          <c:val>
            <c:numRef>
              <c:f>SUMMARY!$L$89:$L$94</c:f>
              <c:numCache/>
            </c:numRef>
          </c:val>
        </c:ser>
        <c:ser>
          <c:idx val="1"/>
          <c:order val="1"/>
          <c:tx>
            <c:strRef>
              <c:f>SUMMARY!$M$86:$M$88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SUMMARY!$K$89:$K$94</c:f>
            </c:strRef>
          </c:cat>
          <c:val>
            <c:numRef>
              <c:f>SUMMARY!$M$89:$M$94</c:f>
              <c:numCache/>
            </c:numRef>
          </c:val>
        </c:ser>
        <c:ser>
          <c:idx val="2"/>
          <c:order val="2"/>
          <c:tx>
            <c:strRef>
              <c:f>SUMMARY!$N$86:$N$88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SUMMARY!$K$89:$K$94</c:f>
            </c:strRef>
          </c:cat>
          <c:val>
            <c:numRef>
              <c:f>SUMMARY!$N$89:$N$94</c:f>
              <c:numCache/>
            </c:numRef>
          </c:val>
        </c:ser>
        <c:ser>
          <c:idx val="3"/>
          <c:order val="3"/>
          <c:tx>
            <c:strRef>
              <c:f>SUMMARY!$O$86:$O$88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SUMMARY!$K$89:$K$94</c:f>
            </c:strRef>
          </c:cat>
          <c:val>
            <c:numRef>
              <c:f>SUMMARY!$O$89:$O$94</c:f>
              <c:numCache/>
            </c:numRef>
          </c:val>
        </c:ser>
        <c:axId val="2100480997"/>
        <c:axId val="272176296"/>
      </c:barChart>
      <c:catAx>
        <c:axId val="2100480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176296"/>
      </c:catAx>
      <c:valAx>
        <c:axId val="272176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480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1666875</xdr:colOff>
      <xdr:row>122</xdr:row>
      <xdr:rowOff>38100</xdr:rowOff>
    </xdr:from>
    <xdr:ext cx="11925300" cy="9172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276225</xdr:colOff>
      <xdr:row>57</xdr:row>
      <xdr:rowOff>47625</xdr:rowOff>
    </xdr:from>
    <xdr:ext cx="7134225" cy="5019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847725</xdr:colOff>
      <xdr:row>57</xdr:row>
      <xdr:rowOff>47625</xdr:rowOff>
    </xdr:from>
    <xdr:ext cx="6553200" cy="5019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495300</xdr:colOff>
      <xdr:row>57</xdr:row>
      <xdr:rowOff>47625</xdr:rowOff>
    </xdr:from>
    <xdr:ext cx="7000875" cy="5019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21</xdr:col>
      <xdr:colOff>381000</xdr:colOff>
      <xdr:row>93</xdr:row>
      <xdr:rowOff>142875</xdr:rowOff>
    </xdr:from>
    <xdr:ext cx="7762875" cy="4781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ragenscans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B9" s="1" t="s">
        <v>0</v>
      </c>
      <c r="C9" s="2"/>
      <c r="D9" s="2"/>
      <c r="E9" s="2"/>
      <c r="F9" s="2"/>
      <c r="G9" s="2"/>
      <c r="H9" s="3"/>
      <c r="J9" s="1" t="s">
        <v>1</v>
      </c>
      <c r="K9" s="2"/>
      <c r="L9" s="2"/>
      <c r="M9" s="2"/>
      <c r="N9" s="2"/>
      <c r="O9" s="2"/>
      <c r="P9" s="3"/>
      <c r="R9" s="4" t="s">
        <v>2</v>
      </c>
      <c r="S9" s="2"/>
      <c r="T9" s="2"/>
      <c r="U9" s="2"/>
      <c r="V9" s="2"/>
      <c r="W9" s="2"/>
      <c r="X9" s="3"/>
    </row>
    <row r="10">
      <c r="B10" s="5"/>
      <c r="H10" s="6"/>
      <c r="J10" s="5"/>
      <c r="P10" s="6"/>
      <c r="R10" s="5"/>
      <c r="X10" s="6"/>
    </row>
    <row r="11">
      <c r="B11" s="7"/>
      <c r="C11" s="8"/>
      <c r="D11" s="8"/>
      <c r="E11" s="8"/>
      <c r="F11" s="8"/>
      <c r="G11" s="8"/>
      <c r="H11" s="9"/>
      <c r="J11" s="7"/>
      <c r="K11" s="8"/>
      <c r="L11" s="8"/>
      <c r="M11" s="8"/>
      <c r="N11" s="8"/>
      <c r="O11" s="8"/>
      <c r="P11" s="9"/>
      <c r="R11" s="7"/>
      <c r="S11" s="8"/>
      <c r="T11" s="8"/>
      <c r="U11" s="8"/>
      <c r="V11" s="8"/>
      <c r="W11" s="8"/>
      <c r="X11" s="9"/>
    </row>
    <row r="12">
      <c r="B12" s="10">
        <f>SUM(SUMMARY!F48:J55,SUMMARY!BB20:BE21)</f>
        <v>65</v>
      </c>
      <c r="C12" s="2"/>
      <c r="D12" s="2"/>
      <c r="E12" s="2"/>
      <c r="F12" s="2"/>
      <c r="G12" s="2"/>
      <c r="H12" s="3"/>
      <c r="J12" s="10">
        <f>sum(SUMMARY!L48:L55,SUMMARY!BB41)</f>
        <v>228</v>
      </c>
      <c r="K12" s="2"/>
      <c r="L12" s="2"/>
      <c r="M12" s="2"/>
      <c r="N12" s="2"/>
      <c r="O12" s="2"/>
      <c r="P12" s="3"/>
      <c r="R12" s="10">
        <f>SUMMARY!R57</f>
        <v>58</v>
      </c>
      <c r="S12" s="2"/>
      <c r="T12" s="2"/>
      <c r="U12" s="2"/>
      <c r="V12" s="2"/>
      <c r="W12" s="2"/>
      <c r="X12" s="3"/>
    </row>
    <row r="13">
      <c r="B13" s="5"/>
      <c r="H13" s="6"/>
      <c r="J13" s="5"/>
      <c r="P13" s="6"/>
      <c r="R13" s="5"/>
      <c r="X13" s="6"/>
    </row>
    <row r="14">
      <c r="B14" s="5"/>
      <c r="H14" s="6"/>
      <c r="J14" s="5"/>
      <c r="P14" s="6"/>
      <c r="R14" s="5"/>
      <c r="X14" s="6"/>
    </row>
    <row r="15">
      <c r="B15" s="5"/>
      <c r="H15" s="6"/>
      <c r="J15" s="5"/>
      <c r="P15" s="6"/>
      <c r="R15" s="5"/>
      <c r="X15" s="6"/>
    </row>
    <row r="16">
      <c r="B16" s="5"/>
      <c r="H16" s="6"/>
      <c r="J16" s="5"/>
      <c r="P16" s="6"/>
      <c r="R16" s="5"/>
      <c r="X16" s="6"/>
    </row>
    <row r="17">
      <c r="B17" s="5"/>
      <c r="H17" s="6"/>
      <c r="J17" s="5"/>
      <c r="P17" s="6"/>
      <c r="R17" s="5"/>
      <c r="X17" s="6"/>
    </row>
    <row r="18">
      <c r="B18" s="5"/>
      <c r="H18" s="6"/>
      <c r="J18" s="5"/>
      <c r="P18" s="6"/>
      <c r="R18" s="5"/>
      <c r="X18" s="6"/>
    </row>
    <row r="19">
      <c r="B19" s="5"/>
      <c r="H19" s="6"/>
      <c r="J19" s="5"/>
      <c r="P19" s="6"/>
      <c r="R19" s="5"/>
      <c r="X19" s="6"/>
    </row>
    <row r="20">
      <c r="B20" s="5"/>
      <c r="H20" s="6"/>
      <c r="J20" s="5"/>
      <c r="P20" s="6"/>
      <c r="R20" s="5"/>
      <c r="X20" s="6"/>
    </row>
    <row r="21">
      <c r="B21" s="5"/>
      <c r="H21" s="6"/>
      <c r="J21" s="5"/>
      <c r="P21" s="6"/>
      <c r="R21" s="5"/>
      <c r="X21" s="6"/>
    </row>
    <row r="22">
      <c r="B22" s="5"/>
      <c r="H22" s="6"/>
      <c r="J22" s="5"/>
      <c r="P22" s="6"/>
      <c r="R22" s="5"/>
      <c r="X22" s="6"/>
    </row>
    <row r="23">
      <c r="B23" s="5"/>
      <c r="H23" s="6"/>
      <c r="J23" s="5"/>
      <c r="P23" s="6"/>
      <c r="R23" s="5"/>
      <c r="X23" s="6"/>
    </row>
    <row r="24">
      <c r="B24" s="5"/>
      <c r="H24" s="6"/>
      <c r="J24" s="5"/>
      <c r="P24" s="6"/>
      <c r="R24" s="5"/>
      <c r="X24" s="6"/>
    </row>
    <row r="25">
      <c r="B25" s="5"/>
      <c r="H25" s="6"/>
      <c r="J25" s="5"/>
      <c r="P25" s="6"/>
      <c r="R25" s="5"/>
      <c r="X25" s="6"/>
    </row>
    <row r="26">
      <c r="B26" s="5"/>
      <c r="H26" s="6"/>
      <c r="J26" s="5"/>
      <c r="P26" s="6"/>
      <c r="R26" s="5"/>
      <c r="X26" s="6"/>
    </row>
    <row r="27">
      <c r="B27" s="5"/>
      <c r="H27" s="6"/>
      <c r="J27" s="5"/>
      <c r="P27" s="6"/>
      <c r="R27" s="5"/>
      <c r="X27" s="6"/>
    </row>
    <row r="28">
      <c r="B28" s="5"/>
      <c r="H28" s="6"/>
      <c r="J28" s="5"/>
      <c r="P28" s="6"/>
      <c r="R28" s="5"/>
      <c r="X28" s="6"/>
    </row>
    <row r="29">
      <c r="B29" s="5"/>
      <c r="H29" s="6"/>
      <c r="J29" s="5"/>
      <c r="P29" s="6"/>
      <c r="R29" s="5"/>
      <c r="X29" s="6"/>
    </row>
    <row r="30">
      <c r="B30" s="5"/>
      <c r="H30" s="6"/>
      <c r="J30" s="5"/>
      <c r="P30" s="6"/>
      <c r="R30" s="5"/>
      <c r="X30" s="6"/>
    </row>
    <row r="31">
      <c r="B31" s="5"/>
      <c r="H31" s="6"/>
      <c r="J31" s="5"/>
      <c r="P31" s="6"/>
      <c r="R31" s="5"/>
      <c r="X31" s="6"/>
    </row>
    <row r="32">
      <c r="B32" s="5"/>
      <c r="H32" s="6"/>
      <c r="J32" s="5"/>
      <c r="P32" s="6"/>
      <c r="R32" s="5"/>
      <c r="X32" s="6"/>
    </row>
    <row r="33">
      <c r="B33" s="5"/>
      <c r="H33" s="6"/>
      <c r="J33" s="5"/>
      <c r="P33" s="6"/>
      <c r="R33" s="5"/>
      <c r="X33" s="6"/>
    </row>
    <row r="34">
      <c r="B34" s="5"/>
      <c r="H34" s="6"/>
      <c r="J34" s="5"/>
      <c r="P34" s="6"/>
      <c r="R34" s="5"/>
      <c r="X34" s="6"/>
    </row>
    <row r="35">
      <c r="B35" s="5"/>
      <c r="H35" s="6"/>
      <c r="J35" s="5"/>
      <c r="P35" s="6"/>
      <c r="R35" s="5"/>
      <c r="X35" s="6"/>
    </row>
    <row r="36">
      <c r="B36" s="7"/>
      <c r="C36" s="8"/>
      <c r="D36" s="8"/>
      <c r="E36" s="8"/>
      <c r="F36" s="8"/>
      <c r="G36" s="8"/>
      <c r="H36" s="9"/>
      <c r="J36" s="7"/>
      <c r="K36" s="8"/>
      <c r="L36" s="8"/>
      <c r="M36" s="8"/>
      <c r="N36" s="8"/>
      <c r="O36" s="8"/>
      <c r="P36" s="9"/>
      <c r="R36" s="7"/>
      <c r="S36" s="8"/>
      <c r="T36" s="8"/>
      <c r="U36" s="8"/>
      <c r="V36" s="8"/>
      <c r="W36" s="8"/>
      <c r="X36" s="9"/>
    </row>
  </sheetData>
  <mergeCells count="6">
    <mergeCell ref="B9:H11"/>
    <mergeCell ref="J9:P11"/>
    <mergeCell ref="R9:X11"/>
    <mergeCell ref="B12:H36"/>
    <mergeCell ref="J12:P36"/>
    <mergeCell ref="R12:X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9.88"/>
    <col customWidth="1" min="5" max="5" width="41.38"/>
    <col customWidth="1" min="11" max="11" width="41.38"/>
    <col customWidth="1" min="17" max="17" width="41.38"/>
    <col customWidth="1" min="23" max="23" width="41.38"/>
    <col customWidth="1" min="29" max="29" width="41.38"/>
    <col customWidth="1" min="35" max="35" width="41.38"/>
    <col customWidth="1" min="41" max="41" width="41.38"/>
    <col customWidth="1" min="47" max="47" width="41.38"/>
    <col customWidth="1" min="53" max="53" width="41.2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</row>
    <row r="2">
      <c r="A2" s="11"/>
      <c r="B2" s="12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</row>
    <row r="4">
      <c r="A4" s="11"/>
      <c r="B4" s="11"/>
      <c r="C4" s="11"/>
      <c r="D4" s="11"/>
      <c r="E4" s="13" t="s">
        <v>4</v>
      </c>
      <c r="F4" s="2"/>
      <c r="G4" s="2"/>
      <c r="H4" s="2"/>
      <c r="I4" s="3"/>
      <c r="J4" s="11"/>
      <c r="K4" s="14" t="s">
        <v>5</v>
      </c>
      <c r="L4" s="2"/>
      <c r="M4" s="2"/>
      <c r="N4" s="2"/>
      <c r="O4" s="3"/>
      <c r="P4" s="11"/>
      <c r="Q4" s="15" t="s">
        <v>6</v>
      </c>
      <c r="R4" s="2"/>
      <c r="S4" s="2"/>
      <c r="T4" s="2"/>
      <c r="U4" s="3"/>
      <c r="V4" s="16"/>
      <c r="W4" s="17" t="s">
        <v>7</v>
      </c>
      <c r="X4" s="2"/>
      <c r="Y4" s="2"/>
      <c r="Z4" s="2"/>
      <c r="AA4" s="3"/>
      <c r="AB4" s="16"/>
      <c r="AC4" s="18" t="s">
        <v>8</v>
      </c>
      <c r="AD4" s="2"/>
      <c r="AE4" s="2"/>
      <c r="AF4" s="2"/>
      <c r="AG4" s="3"/>
      <c r="AH4" s="16"/>
      <c r="AI4" s="19" t="s">
        <v>9</v>
      </c>
      <c r="AJ4" s="2"/>
      <c r="AK4" s="2"/>
      <c r="AL4" s="2"/>
      <c r="AM4" s="3"/>
      <c r="AN4" s="11"/>
      <c r="AO4" s="20" t="s">
        <v>10</v>
      </c>
      <c r="AP4" s="2"/>
      <c r="AQ4" s="2"/>
      <c r="AR4" s="2"/>
      <c r="AS4" s="3"/>
      <c r="AT4" s="16"/>
      <c r="AU4" s="21" t="s">
        <v>11</v>
      </c>
      <c r="AV4" s="2"/>
      <c r="AW4" s="2"/>
      <c r="AX4" s="2"/>
      <c r="AY4" s="3"/>
      <c r="AZ4" s="22"/>
      <c r="BA4" s="23" t="s">
        <v>12</v>
      </c>
      <c r="BB4" s="2"/>
      <c r="BC4" s="2"/>
      <c r="BD4" s="2"/>
      <c r="BE4" s="3"/>
      <c r="BF4" s="22"/>
      <c r="BG4" s="22"/>
      <c r="BH4" s="22"/>
      <c r="BI4" s="22"/>
      <c r="BJ4" s="22"/>
      <c r="BK4" s="22"/>
    </row>
    <row r="5">
      <c r="A5" s="11"/>
      <c r="B5" s="11"/>
      <c r="C5" s="11"/>
      <c r="D5" s="11"/>
      <c r="E5" s="5"/>
      <c r="I5" s="6"/>
      <c r="J5" s="11"/>
      <c r="K5" s="5"/>
      <c r="O5" s="6"/>
      <c r="P5" s="11"/>
      <c r="U5" s="6"/>
      <c r="V5" s="16"/>
      <c r="AA5" s="6"/>
      <c r="AB5" s="16"/>
      <c r="AG5" s="6"/>
      <c r="AH5" s="16"/>
      <c r="AM5" s="6"/>
      <c r="AN5" s="11"/>
      <c r="AO5" s="5"/>
      <c r="AS5" s="6"/>
      <c r="AT5" s="16"/>
      <c r="AY5" s="6"/>
      <c r="BA5" s="5"/>
      <c r="BE5" s="6"/>
      <c r="BF5" s="22"/>
      <c r="BG5" s="22"/>
      <c r="BH5" s="22"/>
      <c r="BI5" s="22"/>
      <c r="BJ5" s="22"/>
      <c r="BK5" s="22"/>
    </row>
    <row r="6" ht="35.25" customHeight="1">
      <c r="A6" s="11"/>
      <c r="B6" s="11"/>
      <c r="C6" s="11"/>
      <c r="D6" s="11"/>
      <c r="E6" s="7"/>
      <c r="F6" s="8"/>
      <c r="G6" s="8"/>
      <c r="H6" s="8"/>
      <c r="I6" s="9"/>
      <c r="J6" s="11"/>
      <c r="K6" s="7"/>
      <c r="L6" s="8"/>
      <c r="M6" s="8"/>
      <c r="N6" s="8"/>
      <c r="O6" s="9"/>
      <c r="P6" s="11"/>
      <c r="Q6" s="8"/>
      <c r="R6" s="8"/>
      <c r="S6" s="8"/>
      <c r="T6" s="8"/>
      <c r="U6" s="9"/>
      <c r="V6" s="16"/>
      <c r="W6" s="8"/>
      <c r="X6" s="8"/>
      <c r="Y6" s="8"/>
      <c r="Z6" s="8"/>
      <c r="AA6" s="9"/>
      <c r="AB6" s="16"/>
      <c r="AC6" s="8"/>
      <c r="AD6" s="8"/>
      <c r="AE6" s="8"/>
      <c r="AF6" s="8"/>
      <c r="AG6" s="9"/>
      <c r="AH6" s="16"/>
      <c r="AI6" s="8"/>
      <c r="AJ6" s="8"/>
      <c r="AK6" s="8"/>
      <c r="AL6" s="8"/>
      <c r="AM6" s="9"/>
      <c r="AN6" s="11"/>
      <c r="AO6" s="7"/>
      <c r="AP6" s="8"/>
      <c r="AQ6" s="8"/>
      <c r="AR6" s="8"/>
      <c r="AS6" s="9"/>
      <c r="AT6" s="16"/>
      <c r="AU6" s="8"/>
      <c r="AV6" s="8"/>
      <c r="AW6" s="8"/>
      <c r="AX6" s="8"/>
      <c r="AY6" s="9"/>
      <c r="AZ6" s="22"/>
      <c r="BA6" s="7"/>
      <c r="BB6" s="8"/>
      <c r="BC6" s="8"/>
      <c r="BD6" s="8"/>
      <c r="BE6" s="9"/>
      <c r="BF6" s="22"/>
      <c r="BG6" s="22"/>
      <c r="BH6" s="22"/>
      <c r="BI6" s="22"/>
      <c r="BJ6" s="22"/>
      <c r="BK6" s="22"/>
    </row>
    <row r="7" ht="13.5" customHeight="1">
      <c r="A7" s="11"/>
      <c r="B7" s="11"/>
      <c r="C7" s="24"/>
      <c r="D7" s="24"/>
      <c r="E7" s="25" t="s">
        <v>13</v>
      </c>
      <c r="I7" s="6"/>
      <c r="J7" s="11"/>
      <c r="K7" s="25" t="s">
        <v>13</v>
      </c>
      <c r="O7" s="6"/>
      <c r="P7" s="11"/>
      <c r="Q7" s="26" t="s">
        <v>13</v>
      </c>
      <c r="U7" s="6"/>
      <c r="V7" s="16"/>
      <c r="W7" s="27" t="s">
        <v>13</v>
      </c>
      <c r="AA7" s="6"/>
      <c r="AB7" s="16"/>
      <c r="AC7" s="27" t="s">
        <v>13</v>
      </c>
      <c r="AG7" s="6"/>
      <c r="AH7" s="16"/>
      <c r="AI7" s="27" t="s">
        <v>13</v>
      </c>
      <c r="AM7" s="6"/>
      <c r="AN7" s="11"/>
      <c r="AO7" s="28" t="s">
        <v>13</v>
      </c>
      <c r="AP7" s="2"/>
      <c r="AQ7" s="2"/>
      <c r="AR7" s="2"/>
      <c r="AS7" s="3"/>
      <c r="AT7" s="16"/>
      <c r="AU7" s="27" t="s">
        <v>13</v>
      </c>
      <c r="AY7" s="6"/>
      <c r="AZ7" s="29"/>
      <c r="BA7" s="28" t="s">
        <v>13</v>
      </c>
      <c r="BB7" s="2"/>
      <c r="BC7" s="2"/>
      <c r="BD7" s="2"/>
      <c r="BE7" s="3"/>
      <c r="BF7" s="29"/>
      <c r="BG7" s="29"/>
      <c r="BH7" s="29"/>
      <c r="BI7" s="29"/>
      <c r="BJ7" s="29"/>
      <c r="BK7" s="29"/>
    </row>
    <row r="8" ht="13.5" customHeight="1">
      <c r="A8" s="11"/>
      <c r="B8" s="11"/>
      <c r="C8" s="24"/>
      <c r="D8" s="24"/>
      <c r="E8" s="7"/>
      <c r="F8" s="8"/>
      <c r="G8" s="8"/>
      <c r="H8" s="8"/>
      <c r="I8" s="9"/>
      <c r="J8" s="11"/>
      <c r="K8" s="7"/>
      <c r="L8" s="8"/>
      <c r="M8" s="8"/>
      <c r="N8" s="8"/>
      <c r="O8" s="9"/>
      <c r="P8" s="11"/>
      <c r="Q8" s="7"/>
      <c r="R8" s="8"/>
      <c r="S8" s="8"/>
      <c r="T8" s="8"/>
      <c r="U8" s="9"/>
      <c r="V8" s="16"/>
      <c r="W8" s="8"/>
      <c r="X8" s="8"/>
      <c r="Y8" s="8"/>
      <c r="Z8" s="8"/>
      <c r="AA8" s="9"/>
      <c r="AB8" s="16"/>
      <c r="AC8" s="8"/>
      <c r="AD8" s="8"/>
      <c r="AE8" s="8"/>
      <c r="AF8" s="8"/>
      <c r="AG8" s="9"/>
      <c r="AH8" s="16"/>
      <c r="AI8" s="8"/>
      <c r="AJ8" s="8"/>
      <c r="AK8" s="8"/>
      <c r="AL8" s="8"/>
      <c r="AM8" s="9"/>
      <c r="AN8" s="11"/>
      <c r="AO8" s="7"/>
      <c r="AP8" s="8"/>
      <c r="AQ8" s="8"/>
      <c r="AR8" s="8"/>
      <c r="AS8" s="9"/>
      <c r="AT8" s="16"/>
      <c r="AU8" s="8"/>
      <c r="AV8" s="8"/>
      <c r="AW8" s="8"/>
      <c r="AX8" s="8"/>
      <c r="AY8" s="9"/>
      <c r="AZ8" s="29"/>
      <c r="BA8" s="7"/>
      <c r="BB8" s="8"/>
      <c r="BC8" s="8"/>
      <c r="BD8" s="8"/>
      <c r="BE8" s="9"/>
      <c r="BF8" s="29"/>
      <c r="BG8" s="29"/>
      <c r="BH8" s="29"/>
      <c r="BI8" s="29"/>
      <c r="BJ8" s="29"/>
      <c r="BK8" s="29"/>
    </row>
    <row r="9" ht="33.0" customHeight="1">
      <c r="A9" s="11"/>
      <c r="B9" s="11"/>
      <c r="C9" s="24"/>
      <c r="D9" s="24"/>
      <c r="E9" s="30" t="s">
        <v>14</v>
      </c>
      <c r="F9" s="31" t="s">
        <v>15</v>
      </c>
      <c r="G9" s="32" t="s">
        <v>16</v>
      </c>
      <c r="H9" s="33" t="s">
        <v>17</v>
      </c>
      <c r="I9" s="34" t="s">
        <v>18</v>
      </c>
      <c r="J9" s="11"/>
      <c r="K9" s="30" t="s">
        <v>14</v>
      </c>
      <c r="L9" s="31" t="s">
        <v>15</v>
      </c>
      <c r="M9" s="32" t="s">
        <v>16</v>
      </c>
      <c r="N9" s="33" t="s">
        <v>17</v>
      </c>
      <c r="O9" s="34" t="s">
        <v>18</v>
      </c>
      <c r="P9" s="11"/>
      <c r="Q9" s="35" t="s">
        <v>14</v>
      </c>
      <c r="R9" s="36" t="s">
        <v>15</v>
      </c>
      <c r="S9" s="37" t="s">
        <v>16</v>
      </c>
      <c r="T9" s="38" t="s">
        <v>17</v>
      </c>
      <c r="U9" s="39" t="s">
        <v>18</v>
      </c>
      <c r="V9" s="16"/>
      <c r="W9" s="40" t="s">
        <v>14</v>
      </c>
      <c r="X9" s="36" t="s">
        <v>15</v>
      </c>
      <c r="Y9" s="37" t="s">
        <v>16</v>
      </c>
      <c r="Z9" s="38" t="s">
        <v>17</v>
      </c>
      <c r="AA9" s="39" t="s">
        <v>18</v>
      </c>
      <c r="AB9" s="16"/>
      <c r="AC9" s="40" t="s">
        <v>14</v>
      </c>
      <c r="AD9" s="36" t="s">
        <v>15</v>
      </c>
      <c r="AE9" s="37" t="s">
        <v>16</v>
      </c>
      <c r="AF9" s="38" t="s">
        <v>17</v>
      </c>
      <c r="AG9" s="39" t="s">
        <v>18</v>
      </c>
      <c r="AH9" s="16"/>
      <c r="AI9" s="40" t="s">
        <v>14</v>
      </c>
      <c r="AJ9" s="36" t="s">
        <v>15</v>
      </c>
      <c r="AK9" s="37" t="s">
        <v>16</v>
      </c>
      <c r="AL9" s="38" t="s">
        <v>17</v>
      </c>
      <c r="AM9" s="39" t="s">
        <v>18</v>
      </c>
      <c r="AN9" s="11"/>
      <c r="AO9" s="41" t="s">
        <v>14</v>
      </c>
      <c r="AP9" s="42" t="s">
        <v>15</v>
      </c>
      <c r="AQ9" s="43" t="s">
        <v>16</v>
      </c>
      <c r="AR9" s="44" t="s">
        <v>17</v>
      </c>
      <c r="AS9" s="45" t="s">
        <v>18</v>
      </c>
      <c r="AT9" s="16"/>
      <c r="AU9" s="40" t="s">
        <v>14</v>
      </c>
      <c r="AV9" s="36" t="s">
        <v>15</v>
      </c>
      <c r="AW9" s="37" t="s">
        <v>16</v>
      </c>
      <c r="AX9" s="38" t="s">
        <v>17</v>
      </c>
      <c r="AY9" s="39" t="s">
        <v>18</v>
      </c>
      <c r="AZ9" s="46"/>
      <c r="BA9" s="41" t="s">
        <v>14</v>
      </c>
      <c r="BB9" s="42" t="s">
        <v>15</v>
      </c>
      <c r="BC9" s="43" t="s">
        <v>16</v>
      </c>
      <c r="BD9" s="44" t="s">
        <v>17</v>
      </c>
      <c r="BE9" s="45" t="s">
        <v>18</v>
      </c>
      <c r="BF9" s="46"/>
      <c r="BG9" s="46"/>
      <c r="BH9" s="46"/>
      <c r="BI9" s="46"/>
      <c r="BJ9" s="46"/>
      <c r="BK9" s="46"/>
    </row>
    <row r="10">
      <c r="A10" s="11"/>
      <c r="B10" s="11"/>
      <c r="C10" s="24"/>
      <c r="D10" s="24"/>
      <c r="E10" s="47" t="s">
        <v>19</v>
      </c>
      <c r="F10" s="48">
        <f>COUNTIFS(RANK,"1CL",NATURE,"UNNACCOUNTED/ABSENT",ALFA!N:N,"&gt;0")</f>
        <v>0</v>
      </c>
      <c r="G10" s="49">
        <f>COUNTIFS(RANK,"2CL",NATURE,"UNNACCOUNTED/ABSENT",ALFA!N:N,"&gt;0")</f>
        <v>0</v>
      </c>
      <c r="H10" s="48">
        <f>COUNTIFS(RANK,"3CL",NATURE,"UNNACCOUNTED/ABSENT",ALFA!N:N,"&gt;0")</f>
        <v>0</v>
      </c>
      <c r="I10" s="48">
        <f>COUNTIFS(RANK,"4CL",NATURE,"UNNACCOUNTED/ABSENT",REMARKS,"ONGOING")</f>
        <v>0</v>
      </c>
      <c r="J10" s="11"/>
      <c r="K10" s="47" t="s">
        <v>19</v>
      </c>
      <c r="L10" s="48">
        <f>COUNTIFS(BRAVO!RANK,"1CL",BRAVO!NATURE,"UNNACCOUNTED/ABSENT",BRAVO!N:N,"&gt;0")</f>
        <v>0</v>
      </c>
      <c r="M10" s="48">
        <f>COUNTIFS(BRAVO!RANK,"2CL",BRAVO!NATURE,"UNNACCOUNTED/ABSENT",BRAVO!N:N,"&gt;0")</f>
        <v>0</v>
      </c>
      <c r="N10" s="48">
        <f>COUNTIFS(BRAVO!RANK,"3CL",BRAVO!NATURE,"UNNACCOUNTED/ABSENT",BRAVO!N:N,"&gt;0")</f>
        <v>0</v>
      </c>
      <c r="O10" s="48">
        <f>COUNTIFS(BRAVO!RANK,"4CL",BRAVO!NATURE,"UNNACCOUNTED/ABSENT",BRAVO!REMARKS,"ONGOING")</f>
        <v>0</v>
      </c>
      <c r="P10" s="11"/>
      <c r="Q10" s="50" t="s">
        <v>19</v>
      </c>
      <c r="R10" s="48">
        <f>COUNTIFS(CHARLIE!RANK,"1CL",CHARLIE!NATURE,"UNNACCOUNTED/ABSENT",CHARLIE!N:N,"&gt;0")</f>
        <v>2</v>
      </c>
      <c r="S10" s="48">
        <f>COUNTIFS(CHARLIE!RANK,"2CL",CHARLIE!NATURE,"UNNACCOUNTED/ABSENT",CHARLIE!N:N,"&gt;0")</f>
        <v>2</v>
      </c>
      <c r="T10" s="48">
        <f>COUNTIFS(CHARLIE!RANK,"3CL",CHARLIE!NATURE,"UNNACCOUNTED/ABSENT",CHARLIE!N:N,"&gt;0")</f>
        <v>3</v>
      </c>
      <c r="U10" s="48">
        <f>COUNTIFS(CHARLIE!RANK,"4CL",CHARLIE!NATURE,"UNNACCOUNTED/ABSENT",CHARLIE!REMARKS,"ONGOING")</f>
        <v>0</v>
      </c>
      <c r="V10" s="16"/>
      <c r="W10" s="51" t="s">
        <v>19</v>
      </c>
      <c r="X10" s="52">
        <f>COUNTIFS(DELTA!RANK,"1CL",DELTA!NATURE,"UNNACCOUNTED/ABSENT",DELTA!N:N,"&gt;0")</f>
        <v>0</v>
      </c>
      <c r="Y10" s="52">
        <f>COUNTIFS(DELTA!RANK,"2CL",DELTA!NATURE,"UNNACCOUNTED/ABSENT",DELTA!N:N,"&gt;0")</f>
        <v>0</v>
      </c>
      <c r="Z10" s="52">
        <f>COUNTIFS(DELTA!RANK,"3CL",DELTA!NATURE,"UNNACCOUNTED/ABSENT",DELTA!N:N,"&gt;0")</f>
        <v>1</v>
      </c>
      <c r="AA10" s="52">
        <f>COUNTIFS(DELTA!RANK,"4CL",DELTA!NATURE,"UNNACCOUNTED/ABSENT",DELTA!REMARKS,"ONGOING")</f>
        <v>1</v>
      </c>
      <c r="AB10" s="16"/>
      <c r="AC10" s="51" t="s">
        <v>19</v>
      </c>
      <c r="AD10" s="52">
        <f>COUNTIFS(ECHO!RANK,"1CL",ECHO!NATURE,"UNNACCOUNTED/ABSENT",ECHO!M:M,"&gt;0")</f>
        <v>0</v>
      </c>
      <c r="AE10" s="52">
        <f>COUNTIFS(ECHO!RANK,"2CL",ECHO!NATURE,"UNNACCOUNTED/ABSENT",ECHO!M:M,"&gt;0")</f>
        <v>0</v>
      </c>
      <c r="AF10" s="52">
        <f>COUNTIFS(ECHO!RANK,"3CL",ECHO!NATURE,"UNNACCOUNTED/ABSENT",ECHO!M:M,"&gt;0")</f>
        <v>0</v>
      </c>
      <c r="AG10" s="52">
        <f>COUNTIFS(ECHO!RANK,"4CL",ECHO!NATURE,"UNNACCOUNTED/ABSENT",ECHO!REMARKS,"ONGOING")</f>
        <v>0</v>
      </c>
      <c r="AH10" s="16"/>
      <c r="AI10" s="51" t="s">
        <v>19</v>
      </c>
      <c r="AJ10" s="52">
        <f>COUNTIFS(FOXTROT!RANK,"1CL",FOXTROT!NATURE,"UNNACCOUNTED/ABSENT",FOXTROT!N:N,"&gt;0")</f>
        <v>0</v>
      </c>
      <c r="AK10" s="52">
        <f>COUNTIFS(FOXTROT!RANK,"2CL",FOXTROT!NATURE,"UNNACCOUNTED/ABSENT",FOXTROT!N:N,"&gt;0")</f>
        <v>0</v>
      </c>
      <c r="AL10" s="52">
        <f>COUNTIFS(FOXTROT!RANK,"3CL",FOXTROT!NATURE,"UNNACCOUNTED/ABSENT",FOXTROT!N:N,"&gt;0")</f>
        <v>0</v>
      </c>
      <c r="AM10" s="52">
        <f>COUNTIFS(FOXTROT!RANK,"4CL",FOXTROT!NATURE,"UNNACCOUNTED/ABSENT",FOXTROT!REMARKS,"ONGOING")</f>
        <v>6</v>
      </c>
      <c r="AN10" s="11"/>
      <c r="AO10" s="53" t="s">
        <v>19</v>
      </c>
      <c r="AP10" s="52">
        <f>COUNTIFS(GOLF!RANK,"1CL",GOLF!NATURE,"UNNACCOUNTED/ABSENT",GOLF!N:N,"&gt;0")</f>
        <v>0</v>
      </c>
      <c r="AQ10" s="52">
        <f>COUNTIFS(GOLF!RANK,"2CL",GOLF!NATURE,"UNNACCOUNTED/ABSENT",GOLF!N:N,"&gt;0")</f>
        <v>0</v>
      </c>
      <c r="AR10" s="52">
        <f>COUNTIFS(GOLF!RANK,"3CL",GOLF!NATURE,"UNNACCOUNTED/ABSENT",GOLF!N:N,"&gt;0")</f>
        <v>0</v>
      </c>
      <c r="AS10" s="52">
        <f>COUNTIFS(GOLF!RANK,"4CL",GOLF!NATURE,"UNNACCOUNTED/ABSENT",GOLF!REMARKS,"ONGOING")</f>
        <v>0</v>
      </c>
      <c r="AT10" s="16"/>
      <c r="AU10" s="51" t="s">
        <v>19</v>
      </c>
      <c r="AV10" s="52">
        <f>COUNTIFS(HAWK!RANK,"1CL",HAWK!NATURE,"UNNACCOUNTED/ABSENT",HAWK!N:N,"&gt;0")</f>
        <v>0</v>
      </c>
      <c r="AW10" s="52">
        <f>COUNTIFS(HAWK!RANK,"2CL",HAWK!NATURE,"UNNACCOUNTED/ABSENT",HAWK!N:N,"&gt;0")</f>
        <v>0</v>
      </c>
      <c r="AX10" s="52">
        <f>COUNTIFS(HAWK!RANK,"3CL",HAWK!NATURE,"UNNACCOUNTED/ABSENT",HAWK!N:N,"&gt;0")</f>
        <v>0</v>
      </c>
      <c r="AY10" s="52">
        <f>COUNTIFS(HAWK!RANK,"4CL",HAWK!NATURE,"UNNACCOUNTED/ABSENT",HAWK!REMARKS,"ONGOING")</f>
        <v>2</v>
      </c>
      <c r="AZ10" s="54"/>
      <c r="BA10" s="53" t="s">
        <v>19</v>
      </c>
      <c r="BB10" s="48">
        <f>COUNTIFS(#REF!,"1CL",#REF!,"UNNACCOUNTED/ABSENT",#REF!,"ONGOING")</f>
        <v>0</v>
      </c>
      <c r="BC10" s="48">
        <f>COUNTIFS(#REF!,"2CL",#REF!,"UNNACCOUNTED/ABSENT",#REF!,"ONGOING")</f>
        <v>0</v>
      </c>
      <c r="BD10" s="48">
        <f>COUNTIFS(#REF!,"3CL",#REF!,"UNNACCOUNTED/ABSENT",#REF!,"ONGOING")</f>
        <v>0</v>
      </c>
      <c r="BE10" s="48">
        <f>COUNTIFS(#REF!,"4CL",#REF!,"UNNACCOUNTED/ABSENT",#REF!,"ONGOING")</f>
        <v>0</v>
      </c>
      <c r="BF10" s="54"/>
      <c r="BG10" s="54"/>
      <c r="BH10" s="54"/>
      <c r="BI10" s="54"/>
      <c r="BJ10" s="54"/>
      <c r="BK10" s="54"/>
    </row>
    <row r="11">
      <c r="A11" s="11"/>
      <c r="B11" s="11"/>
      <c r="C11" s="24"/>
      <c r="D11" s="24"/>
      <c r="E11" s="47" t="s">
        <v>20</v>
      </c>
      <c r="F11" s="48">
        <f>COUNTIFS(RANK,"1CL",NATURE,"LATE",ALFA!N:N,"&gt;0")</f>
        <v>0</v>
      </c>
      <c r="G11" s="55">
        <f>COUNTIFS(RANK,"2CL",NATURE,"LATE",ALFA!N:N,"&gt;0")</f>
        <v>0</v>
      </c>
      <c r="H11" s="48">
        <f>COUNTIFS(RANK,"3CL",NATURE,"LATE",ALFA!N:N,"&gt;0")</f>
        <v>2</v>
      </c>
      <c r="I11" s="48">
        <f>COUNTIFS(RANK,"4CL",NATURE,"LATE",REMARKS,"ONGOING")</f>
        <v>0</v>
      </c>
      <c r="J11" s="11"/>
      <c r="K11" s="47" t="s">
        <v>20</v>
      </c>
      <c r="L11" s="48">
        <f>COUNTIFS(BRAVO!RANK,"1CL",BRAVO!NATURE,"LATE",BRAVO!N:N,"&gt;0")</f>
        <v>0</v>
      </c>
      <c r="M11" s="48">
        <f>COUNTIFS(BRAVO!RANK,"2CL",BRAVO!NATURE,"LATE",BRAVO!N:N,"&gt;0")</f>
        <v>0</v>
      </c>
      <c r="N11" s="48">
        <f>COUNTIFS(BRAVO!RANK,"3CL",BRAVO!NATURE,LATE,BRAVO!N:N,"&gt;0")</f>
        <v>0</v>
      </c>
      <c r="O11" s="48">
        <f>COUNTIFS(BRAVO!RANK,"4CL",BRAVO!NATURE,LATE,BRAVO!REMARKS,"ONGOING")</f>
        <v>0</v>
      </c>
      <c r="P11" s="11"/>
      <c r="Q11" s="50" t="s">
        <v>20</v>
      </c>
      <c r="R11" s="48">
        <f>COUNTIFS(CHARLIE!RANK,"1CL",CHARLIE!NATURE,"LATE",CHARLIE!N:N,"&gt;0")</f>
        <v>0</v>
      </c>
      <c r="S11" s="48">
        <f>COUNTIFS(CHARLIE!RANK,"2CL",CHARLIE!NATURE,"LATE",CHARLIE!N:N,"&gt;0")</f>
        <v>1</v>
      </c>
      <c r="T11" s="48">
        <f>COUNTIFS(CHARLIE!RANK,"3CL",CHARLIE!NATURE,"LATE",CHARLIE!N:N,"&gt;0")</f>
        <v>5</v>
      </c>
      <c r="U11" s="48">
        <f>COUNTIFS(CHARLIE!RANK,"4CL",CHARLIE!NATURE,"LATE",CHARLIE!REMARKS,"ONGOING")</f>
        <v>0</v>
      </c>
      <c r="V11" s="16"/>
      <c r="W11" s="51" t="s">
        <v>20</v>
      </c>
      <c r="X11" s="52">
        <f>COUNTIFS(DELTA!RANK,"1CL",DELTA!NATURE,"LATE",DELTA!N:N,"&gt;0")</f>
        <v>0</v>
      </c>
      <c r="Y11" s="52">
        <f>COUNTIFS(DELTA!RANK,"2CL",DELTA!NATURE,"LATE",DELTA!N:N,"&gt;0")</f>
        <v>0</v>
      </c>
      <c r="Z11" s="52">
        <f>COUNTIFS(DELTA!RANK,"3CL",DELTA!NATURE,"LATE",DELTA!N:N,"&gt;0")</f>
        <v>4</v>
      </c>
      <c r="AA11" s="52">
        <f>COUNTIFS(DELTA!RANK,"4CL",DELTA!NATURE,"LATE",DELTA!REMARKS,"ONGOING")</f>
        <v>1</v>
      </c>
      <c r="AB11" s="16"/>
      <c r="AC11" s="51" t="s">
        <v>20</v>
      </c>
      <c r="AD11" s="52">
        <f>COUNTIFS(ECHO!RANK,"1CL",ECHO!NATURE,"LATE",ECHO!M:M,"&gt;0")</f>
        <v>0</v>
      </c>
      <c r="AE11" s="52">
        <f>COUNTIFS(ECHO!RANK,"2CL",ECHO!NATURE,"LATE",ECHO!M:M,"&gt;0")</f>
        <v>0</v>
      </c>
      <c r="AF11" s="52">
        <f>COUNTIFS(ECHO!RANK,"3CL",ECHO!NATURE,"LATE",ECHO!M:M,"&gt;0")</f>
        <v>0</v>
      </c>
      <c r="AG11" s="52">
        <f>COUNTIFS(ECHO!RANK,"4CL",ECHO!NATURE,"LATE",ECHO!REMARKS,"ONGOING")</f>
        <v>0</v>
      </c>
      <c r="AH11" s="16"/>
      <c r="AI11" s="51" t="s">
        <v>20</v>
      </c>
      <c r="AJ11" s="52">
        <f>COUNTIFS(FOXTROT!RANK,"1CL",FOXTROT!NATURE,"LATE",FOXTROT!N:N,"&gt;0")</f>
        <v>0</v>
      </c>
      <c r="AK11" s="52">
        <f>COUNTIFS(FOXTROT!RANK,"2CL",FOXTROT!NATURE,"LATE",FOXTROT!N:N,"&gt;0")</f>
        <v>0</v>
      </c>
      <c r="AL11" s="52">
        <f>COUNTIFS(FOXTROT!RANK,"3CL",FOXTROT!NATURE,"LATE",FOXTROT!N:N,"&gt;0")</f>
        <v>0</v>
      </c>
      <c r="AM11" s="52">
        <f>COUNTIFS(FOXTROT!RANK,"4CL",FOXTROT!NATURE,"LATE",FOXTROT!REMARKS,"ONGOING")</f>
        <v>1</v>
      </c>
      <c r="AN11" s="11"/>
      <c r="AO11" s="53" t="s">
        <v>20</v>
      </c>
      <c r="AP11" s="52">
        <f>COUNTIFS(GOLF!RANK,"1CL",GOLF!NATURE,"LATE",GOLF!N:N,"&gt;0")</f>
        <v>0</v>
      </c>
      <c r="AQ11" s="52">
        <f>COUNTIFS(GOLF!RANK,"2CL",GOLF!NATURE,"LATE",GOLF!N:N,"&gt;0")</f>
        <v>0</v>
      </c>
      <c r="AR11" s="52">
        <f>COUNTIFS(GOLF!RANK,"3CL",GOLF!NATURE,"LATE",GOLF!N:N,"&gt;0")</f>
        <v>0</v>
      </c>
      <c r="AS11" s="52">
        <f>COUNTIFS(GOLF!RANK,"4CL",GOLF!NATURE,"LATE",GOLF!REMARKS,"ONGOING")</f>
        <v>0</v>
      </c>
      <c r="AT11" s="16"/>
      <c r="AU11" s="51" t="s">
        <v>20</v>
      </c>
      <c r="AV11" s="52">
        <f>COUNTIFS(HAWK!RANK,"1CL",HAWK!NATURE,"LATE",HAWK!N:N,"&gt;0")</f>
        <v>0</v>
      </c>
      <c r="AW11" s="52">
        <f>COUNTIFS(HAWK!RANK,"2CL",HAWK!NATURE,"LATE",HAWK!N:N,"&gt;0")</f>
        <v>0</v>
      </c>
      <c r="AX11" s="52">
        <f>COUNTIFS(HAWK!RANK,"3CL",HAWK!NATURE,"LATE",HAWK!N:N,"&gt;0")</f>
        <v>0</v>
      </c>
      <c r="AY11" s="52">
        <f>COUNTIFS(HAWK!RANK,"4CL",HAWK!NATURE,"LATE",HAWK!REMARKS,"ONGOING")</f>
        <v>0</v>
      </c>
      <c r="AZ11" s="54"/>
      <c r="BA11" s="53" t="s">
        <v>20</v>
      </c>
      <c r="BB11" s="48">
        <f>COUNTIFS(#REF!,"1CL",#REF!,"LATE",#REF!,"ONGOING")</f>
        <v>0</v>
      </c>
      <c r="BC11" s="48">
        <f>COUNTIFS(#REF!,"2CL",#REF!,"LATE",#REF!,"ONGOING")</f>
        <v>0</v>
      </c>
      <c r="BD11" s="48">
        <f>COUNTIFS(#REF!,"3CL",#REF!,"LATE",#REF!,"ONGOING")</f>
        <v>0</v>
      </c>
      <c r="BE11" s="48">
        <f>COUNTIFS(#REF!,"4CL",#REF!,"LATE",#REF!,"ONGOING")</f>
        <v>0</v>
      </c>
      <c r="BF11" s="54"/>
      <c r="BG11" s="54"/>
      <c r="BH11" s="54"/>
      <c r="BI11" s="54"/>
      <c r="BJ11" s="54"/>
      <c r="BK11" s="54"/>
    </row>
    <row r="12">
      <c r="A12" s="11"/>
      <c r="B12" s="11"/>
      <c r="C12" s="24"/>
      <c r="D12" s="24"/>
      <c r="E12" s="47" t="s">
        <v>21</v>
      </c>
      <c r="F12" s="48">
        <f>COUNTIFS(RANK,"1CL",NATURE,"NEGLIGENCE OF DUTY",ALFA!N:N,"&gt;0")</f>
        <v>0</v>
      </c>
      <c r="G12" s="55">
        <f>COUNTIFS(RANK,"2CL",NATURE,"NEGLIGENCE OF DUTY",ALFA!N:N,"&gt;0")</f>
        <v>0</v>
      </c>
      <c r="H12" s="48">
        <f>COUNTIFS(RANK,"3CL",NATURE,"NEGLIGENCE OF DUTY",ALFA!N:N,"&gt;0")</f>
        <v>0</v>
      </c>
      <c r="I12" s="48">
        <f>COUNTIFS(RANK,"4CL",NATURE,"NEGLIGENCE OF DUTY",REMARKS,"ONGOING")</f>
        <v>0</v>
      </c>
      <c r="J12" s="11"/>
      <c r="K12" s="47" t="s">
        <v>21</v>
      </c>
      <c r="L12" s="48">
        <f>COUNTIFS(BRAVO!RANK,"1CL",BRAVO!NATURE,"NEGLIGENCE OF DUTY",BRAVO!N:N,"&gt;0")</f>
        <v>0</v>
      </c>
      <c r="M12" s="48">
        <f>COUNTIFS(BRAVO!RANK,"2CL",BRAVO!NATURE,"NEGLIGENCE OF DUTY",BRAVO!N:N,"&gt;0")</f>
        <v>0</v>
      </c>
      <c r="N12" s="48">
        <f>COUNTIFS(BRAVO!RANK,"3CL",BRAVO!NATURE,"NEGLIGENCE OF DUTY",BRAVO!N:N,"&gt;0")</f>
        <v>0</v>
      </c>
      <c r="O12" s="48">
        <f>COUNTIFS(BRAVO!RANK,"4CL",BRAVO!NATURE,"NEGLIGENCE OF DUTY",BRAVO!REMARKS,"ONGOING")</f>
        <v>0</v>
      </c>
      <c r="P12" s="11"/>
      <c r="Q12" s="50" t="s">
        <v>21</v>
      </c>
      <c r="R12" s="48">
        <f>COUNTIFS(CHARLIE!RANK,"1CL",CHARLIE!NATURE,"NEGLIGENCE OF DUTY",CHARLIE!N:N,"&gt;0")</f>
        <v>0</v>
      </c>
      <c r="S12" s="48">
        <f>COUNTIFS(CHARLIE!RANK,"2CL",CHARLIE!NATURE,"NEGLIGENCE OF DUTY",CHARLIE!N:N,"&gt;0")</f>
        <v>0</v>
      </c>
      <c r="T12" s="48">
        <f>COUNTIFS(CHARLIE!RANK,"3CL",CHARLIE!NATURE,"NEGLIGENCE OF DUTY",CHARLIE!N:N,"&gt;0")</f>
        <v>2</v>
      </c>
      <c r="U12" s="48">
        <f>COUNTIFS(CHARLIE!RANK,"4CL",CHARLIE!NATURE,"NEGLIGENCE OF DUTY",CHARLIE!REMARKS,"ONGOING")</f>
        <v>0</v>
      </c>
      <c r="V12" s="16"/>
      <c r="W12" s="51" t="s">
        <v>21</v>
      </c>
      <c r="X12" s="52">
        <f>COUNTIFS(DELTA!RANK,"1CL",DELTA!NATURE,"NEGLIGENCE OF DUTY",DELTA!N:N,"&gt;0")</f>
        <v>0</v>
      </c>
      <c r="Y12" s="52">
        <f>COUNTIFS(DELTA!RANK,"2CL",DELTA!NATURE,"NEGLIGENCE OF DUTY",DELTA!N:N,"&gt;0")</f>
        <v>0</v>
      </c>
      <c r="Z12" s="52">
        <f>COUNTIFS(DELTA!RANK,"3CL",DELTA!NATURE,"NEGLIGENCE OF DUTY",DELTA!N:N,"&gt;0")</f>
        <v>2</v>
      </c>
      <c r="AA12" s="52">
        <f>COUNTIFS(DELTA!RANK,"4CL",DELTA!NATURE,"NEGLIGENCE OF DUTY",DELTA!REMARKS,"ONGOING")</f>
        <v>0</v>
      </c>
      <c r="AB12" s="16"/>
      <c r="AC12" s="51" t="s">
        <v>21</v>
      </c>
      <c r="AD12" s="52">
        <f>COUNTIFS(ECHO!RANK,"1CL",ECHO!NATURE,"NEGLIGENCE OF DUTY",ECHO!M:M,"&gt;0")</f>
        <v>0</v>
      </c>
      <c r="AE12" s="52">
        <f>COUNTIFS(ECHO!RANK,"2CL",ECHO!NATURE,"NEGLIGENCE OF DUTY",ECHO!M:M,"&gt;0")</f>
        <v>0</v>
      </c>
      <c r="AF12" s="52">
        <f>COUNTIFS(ECHO!RANK,"3CL",ECHO!NATURE,"NEGLIGENCE OF DUTY",ECHO!M:M,"&gt;0")</f>
        <v>0</v>
      </c>
      <c r="AG12" s="52">
        <f>COUNTIFS(ECHO!RANK,"4CL",ECHO!NATURE,"NEGLIGENCE OF DUTY",ECHO!REMARKS,"ONGOING")</f>
        <v>0</v>
      </c>
      <c r="AH12" s="16"/>
      <c r="AI12" s="51" t="s">
        <v>21</v>
      </c>
      <c r="AJ12" s="52">
        <f>COUNTIFS(FOXTROT!RANK,"1CL",FOXTROT!NATURE,"NEGLIGENCE OF DUTY",FOXTROT!N:N,"&gt;0")</f>
        <v>0</v>
      </c>
      <c r="AK12" s="52">
        <f>COUNTIFS(FOXTROT!RANK,"2CL",FOXTROT!NATURE,"NEGLIGENCE OF DUTY",FOXTROT!N:N,"&gt;0")</f>
        <v>0</v>
      </c>
      <c r="AL12" s="52">
        <f>COUNTIFS(FOXTROT!RANK,"3CL",FOXTROT!NATURE,"NEGLIGENCE OF DUTY",FOXTROT!N:N,"&gt;0")</f>
        <v>0</v>
      </c>
      <c r="AM12" s="52">
        <f>COUNTIFS(FOXTROT!RANK,"4CL",FOXTROT!NATURE,"NEGLIGENCE OF DUTY",FOXTROT!REMARKS,"ONGOING")</f>
        <v>0</v>
      </c>
      <c r="AN12" s="11"/>
      <c r="AO12" s="53" t="s">
        <v>21</v>
      </c>
      <c r="AP12" s="52">
        <f>COUNTIFS(GOLF!RANK,"1CL",GOLF!NATURE,"NEGLIGENCE OF DUTY",GOLF!N:N,"&gt;0")</f>
        <v>0</v>
      </c>
      <c r="AQ12" s="52">
        <f>COUNTIFS(GOLF!RANK,"2CL",GOLF!NATURE,"NEGLIGENCE OF DUTY",GOLF!N:N,"&gt;0")</f>
        <v>0</v>
      </c>
      <c r="AR12" s="52">
        <f>COUNTIFS(GOLF!RANK,"3CL",GOLF!NATURE,"NEGLIGENCE OF DUTY",GOLF!N:N,"&gt;0")</f>
        <v>0</v>
      </c>
      <c r="AS12" s="52">
        <f>COUNTIFS(GOLF!RANK,"4CL",GOLF!NATURE,"NEGLIGENCE OF DUTY",GOLF!REMARKS,"ONGOING")</f>
        <v>0</v>
      </c>
      <c r="AT12" s="16"/>
      <c r="AU12" s="51" t="s">
        <v>21</v>
      </c>
      <c r="AV12" s="52">
        <f>COUNTIFS(HAWK!RANK,"1CL",HAWK!NATURE,"NEGLIGENCE OF DUTY",HAWK!N:N,"&gt;0")</f>
        <v>0</v>
      </c>
      <c r="AW12" s="52">
        <f>COUNTIFS(HAWK!RANK,"2CL",HAWK!NATURE,"NEGLIGENCE OF DUTY",HAWK!N:N,"&gt;0")</f>
        <v>0</v>
      </c>
      <c r="AX12" s="52">
        <f>COUNTIFS(HAWK!RANK,"3CL",HAWK!NATURE,"NEGLIGENCE OF DUTY",HAWK!N:N,"&gt;0")</f>
        <v>0</v>
      </c>
      <c r="AY12" s="52">
        <f>COUNTIFS(HAWK!RANK,"4CL",HAWK!NATURE,"NEGLIGENCE OF DUTY",HAWK!REMARKS,"ONGOING")</f>
        <v>0</v>
      </c>
      <c r="AZ12" s="54"/>
      <c r="BA12" s="53" t="s">
        <v>21</v>
      </c>
      <c r="BB12" s="48">
        <f>COUNTIFS(#REF!,"1CL",#REF!,"NEGLIGENCE OF DUTY",#REF!,"ONGOING")</f>
        <v>0</v>
      </c>
      <c r="BC12" s="48">
        <f>COUNTIFS(#REF!,"2CL",#REF!,"NEGLIGENCE OF DUTY",#REF!,"ONGOING")</f>
        <v>0</v>
      </c>
      <c r="BD12" s="48">
        <f>COUNTIFS(#REF!,"3CL",#REF!,"NEGLIGENCE OF DUTY",#REF!,"ONGOING")</f>
        <v>0</v>
      </c>
      <c r="BE12" s="48">
        <f>COUNTIFS(#REF!,"4CL",#REF!,"NEGLIGENCE OF DUTY",#REF!,"ONGOING")</f>
        <v>0</v>
      </c>
      <c r="BF12" s="54"/>
      <c r="BG12" s="54"/>
      <c r="BH12" s="54"/>
      <c r="BI12" s="54"/>
      <c r="BJ12" s="54"/>
      <c r="BK12" s="54"/>
    </row>
    <row r="13">
      <c r="A13" s="11"/>
      <c r="B13" s="11"/>
      <c r="C13" s="24"/>
      <c r="D13" s="24"/>
      <c r="E13" s="47" t="s">
        <v>22</v>
      </c>
      <c r="F13" s="48">
        <f>COUNTIFS(RANK,"1CL",NATURE,"POSSESSING/USING UNAUTHORIZED ITEM",ALFA!N:N,"&gt;0")</f>
        <v>0</v>
      </c>
      <c r="G13" s="55">
        <f>COUNTIFS(RANK,"2CL",NATURE,"POSSESSING/USING UNAUTHORIZED ITEM",ALFA!N:N,"&gt;0")</f>
        <v>1</v>
      </c>
      <c r="H13" s="48">
        <f>COUNTIFS(RANK,"3CL",NATURE,"POSSESSING/USING UNAUTHORIZED ITEM",ALFA!N:N,"&gt;0")</f>
        <v>0</v>
      </c>
      <c r="I13" s="48">
        <f>COUNTIFS(RANK,"4CL",NATURE,"POSSESSING/USING UNAUTHORIZED ITEM",REMARKS,"ONGOING")</f>
        <v>0</v>
      </c>
      <c r="J13" s="11"/>
      <c r="K13" s="47" t="s">
        <v>22</v>
      </c>
      <c r="L13" s="48">
        <f>COUNTIFS(BRAVO!RANK,"1CL",BRAVO!NATURE,"POSSESSING/USING UNAUTHORIZED ITEM",BRAVO!N:N,"&gt;0")</f>
        <v>0</v>
      </c>
      <c r="M13" s="48">
        <f>COUNTIFS(BRAVO!RANK,"2CL",BRAVO!NATURE,"POSSESSING/USING UNAUTHORIZED ITEM",BRAVO!N:N,"&gt;0")</f>
        <v>0</v>
      </c>
      <c r="N13" s="48">
        <f>COUNTIFS(BRAVO!RANK,"3CL",BRAVO!NATURE,"POSSESSING/USING UNAUTHORIZED ITEM",BRAVO!N:N,"&gt;0")</f>
        <v>0</v>
      </c>
      <c r="O13" s="48">
        <f>COUNTIFS(BRAVO!RANK,"4CL",BRAVO!NATURE,"POSSESSING/USING UNAUTHORIZED ITEM",BRAVO!REMARKS,"ONGOING")</f>
        <v>0</v>
      </c>
      <c r="P13" s="11"/>
      <c r="Q13" s="50" t="s">
        <v>22</v>
      </c>
      <c r="R13" s="48">
        <f>COUNTIFS(CHARLIE!RANK,"1CL",CHARLIE!NATURE,"POSSESSING/USING UNAUTHORIZED ITEM",CHARLIE!N:N,"&gt;0")</f>
        <v>0</v>
      </c>
      <c r="S13" s="48">
        <f>COUNTIFS(CHARLIE!RANK,"2CL",CHARLIE!NATURE,"POSSESSING/USING UNAUTHORIZED ITEM",CHARLIE!N:N,"&gt;0")</f>
        <v>1</v>
      </c>
      <c r="T13" s="48">
        <f>COUNTIFS(CHARLIE!RANK,"3CL",CHARLIE!NATURE,"POSSESSING/USING UNAUTHORIZED ITEM",CHARLIE!N:N,"&gt;0")</f>
        <v>2</v>
      </c>
      <c r="U13" s="48">
        <f>COUNTIFS(CHARLIE!RANK,"4CL",CHARLIE!NATURE,"POSSESSING/USING UNAUTHORIZED ITEM",CHARLIE!REMARKS,"ONGOING")</f>
        <v>0</v>
      </c>
      <c r="V13" s="16"/>
      <c r="W13" s="51" t="s">
        <v>22</v>
      </c>
      <c r="X13" s="52">
        <f>COUNTIFS(DELTA!RANK,"1CL",DELTA!NATURE,"POSSESSING/USING UNAUTHORIZED ITEM",DELTA!N:N,"&gt;0")</f>
        <v>0</v>
      </c>
      <c r="Y13" s="52">
        <f>COUNTIFS(DELTA!RANK,"2CL",DELTA!NATURE,"POSSESSING/USING UNAUTHORIZED ITEM",DELTA!N:N,"&gt;0")</f>
        <v>1</v>
      </c>
      <c r="Z13" s="52">
        <f>COUNTIFS(DELTA!RANK,"3CL",DELTA!NATURE,"POSSESSING/USING UNAUTHORIZED ITEM",DELTA!N:N,"&gt;0")</f>
        <v>0</v>
      </c>
      <c r="AA13" s="52">
        <f>COUNTIFS(DELTA!RANK,"4CL",DELTA!NATURE,"POSSESSING/USING UNAUTHORIZED ITEM",DELTA!REMARKS,"ONGOING")</f>
        <v>0</v>
      </c>
      <c r="AB13" s="16"/>
      <c r="AC13" s="51" t="s">
        <v>22</v>
      </c>
      <c r="AD13" s="52">
        <f>COUNTIFS(ECHO!RANK,"1CL",ECHO!NATURE,"POSSESSING/USING UNAUTHORIZED ITEM",ECHO!M:M,"&gt;0")</f>
        <v>0</v>
      </c>
      <c r="AE13" s="52">
        <f>COUNTIFS(ECHO!RANK,"2CL",ECHO!NATURE,"POSSESSING/USING UNAUTHORIZED ITEM",ECHO!M:M,"&gt;0")</f>
        <v>1</v>
      </c>
      <c r="AF13" s="52">
        <f>COUNTIFS(ECHO!RANK,"3CL",ECHO!NATURE,"POSSESSING/USING UNAUTHORIZED ITEM",ECHO!M:M,"&gt;0")</f>
        <v>0</v>
      </c>
      <c r="AG13" s="52">
        <f>COUNTIFS(ECHO!RANK,"4CL",ECHO!NATURE,"POSSESSING/USING UNAUTHORIZED ITEM",ECHO!REMARKS,"ONGOING")</f>
        <v>0</v>
      </c>
      <c r="AH13" s="16"/>
      <c r="AI13" s="51" t="s">
        <v>22</v>
      </c>
      <c r="AJ13" s="52">
        <f>COUNTIFS(FOXTROT!RANK,"1CL",FOXTROT!NATURE,"POSSESSING/USING UNAUTHORIZED ITEM",FOXTROT!N:N,"&gt;0")</f>
        <v>0</v>
      </c>
      <c r="AK13" s="52">
        <f>COUNTIFS(FOXTROT!RANK,"2CL",FOXTROT!NATURE,"POSSESSING/USING UNAUTHORIZED ITEM",FOXTROT!N:N,"&gt;0")</f>
        <v>1</v>
      </c>
      <c r="AL13" s="52">
        <f>COUNTIFS(FOXTROT!RANK,"3CL",FOXTROT!NATURE,"POSSESSING/USING UNAUTHORIZED ITEM",FOXTROT!N:N,"&gt;0")</f>
        <v>0</v>
      </c>
      <c r="AM13" s="52">
        <f>COUNTIFS(FOXTROT!RANK,"4CL",FOXTROT!NATURE,"POSSESSING/USING UNAUTHORIZED ITEM",FOXTROT!REMARKS,"ONGOING")</f>
        <v>0</v>
      </c>
      <c r="AN13" s="11"/>
      <c r="AO13" s="53" t="s">
        <v>22</v>
      </c>
      <c r="AP13" s="52">
        <f>COUNTIFS(GOLF!RANK,"1CL",GOLF!NATURE,"POSSESSING/USING UNAUTHORIZED ITEM",GOLF!N:N,"&gt;0")</f>
        <v>0</v>
      </c>
      <c r="AQ13" s="52">
        <f>COUNTIFS(GOLF!RANK,"2CL",GOLF!NATURE,"POSSESSING/USING UNAUTHORIZED ITEM",GOLF!N:N,"&gt;0")</f>
        <v>0</v>
      </c>
      <c r="AR13" s="52">
        <f>COUNTIFS(GOLF!RANK,"3CL",GOLF!NATURE,"POSSESSING/USING UNAUTHORIZED ITEM",GOLF!N:N,"&gt;0")</f>
        <v>0</v>
      </c>
      <c r="AS13" s="52">
        <f>COUNTIFS(GOLF!RANK,"4CL",GOLF!NATURE,"POSSESSING/USING UNAUTHORIZED ITEM",GOLF!REMARKS,"ONGOING")</f>
        <v>0</v>
      </c>
      <c r="AT13" s="16"/>
      <c r="AU13" s="51" t="s">
        <v>22</v>
      </c>
      <c r="AV13" s="52">
        <f>COUNTIFS(HAWK!RANK,"1CL",HAWK!NATURE,"POSSESSING/USING UNAUTHORIZED ITEM",HAWK!N:N,"&gt;0")</f>
        <v>0</v>
      </c>
      <c r="AW13" s="52">
        <f>COUNTIFS(HAWK!RANK,"2CL",HAWK!NATURE,"POSSESSING/USING UNAUTHORIZED ITEM",HAWK!N:N,"&gt;0")</f>
        <v>0</v>
      </c>
      <c r="AX13" s="52">
        <f>COUNTIFS(HAWK!RANK,"3CL",HAWK!NATURE,"POSSESSING/USING UNAUTHORIZED ITEM",HAWK!N:N,"&gt;0")</f>
        <v>1</v>
      </c>
      <c r="AY13" s="52">
        <f>COUNTIFS(HAWK!RANK,"4CL",HAWK!NATURE,"POSSESSING/USING UNAUTHORIZED ITEM",HAWK!REMARKS,"ONGOING")</f>
        <v>0</v>
      </c>
      <c r="AZ13" s="54"/>
      <c r="BA13" s="53" t="s">
        <v>22</v>
      </c>
      <c r="BB13" s="48">
        <f>COUNTIFS(#REF!,"1CL",#REF!,"POSSESSING/USING UNAUTHORIZED ITEM",#REF!,"ONGOING")</f>
        <v>0</v>
      </c>
      <c r="BC13" s="48">
        <f>COUNTIFS(#REF!,"2CL",#REF!,"POSSESSING/USING UNAUTHORIZED ITEM",#REF!,"ONGOING")</f>
        <v>0</v>
      </c>
      <c r="BD13" s="48">
        <f>COUNTIFS(#REF!,"3CL",#REF!,"POSSESSING/USING UNAUTHORIZED ITEM",#REF!,"ONGOING")</f>
        <v>0</v>
      </c>
      <c r="BE13" s="48">
        <f>COUNTIFS(#REF!,"4CL",#REF!,"POSSESSING/USING UNAUTHORIZED ITEM",#REF!,"ONGOING")</f>
        <v>0</v>
      </c>
      <c r="BF13" s="54"/>
      <c r="BG13" s="54"/>
      <c r="BH13" s="54"/>
      <c r="BI13" s="54"/>
      <c r="BJ13" s="54"/>
      <c r="BK13" s="54"/>
    </row>
    <row r="14">
      <c r="A14" s="11"/>
      <c r="B14" s="11"/>
      <c r="C14" s="24"/>
      <c r="D14" s="24"/>
      <c r="E14" s="47" t="s">
        <v>23</v>
      </c>
      <c r="F14" s="48">
        <f>COUNTIFS(RANK,"1CL",NATURE,"DOING UNAUTHORIZED THINGS",ALFA!N:N,"&gt;0")</f>
        <v>0</v>
      </c>
      <c r="G14" s="55">
        <f>COUNTIFS(RANK,"2CL",NATURE,"DOING UNAUTHORIZED THINGS",ALFA!N:N,"&gt;0")</f>
        <v>3</v>
      </c>
      <c r="H14" s="48">
        <f>COUNTIFS(RANK,"3CL",NATURE,"DOING UNAUTHORIZED THINGS",ALFA!N:N,"&gt;0")</f>
        <v>0</v>
      </c>
      <c r="I14" s="48">
        <f>COUNTIFS(RANK,"4CL",NATURE,"DOING UNAUTHORIZED THINGS",REMARKS,"ONGOING")</f>
        <v>0</v>
      </c>
      <c r="J14" s="11"/>
      <c r="K14" s="47" t="s">
        <v>23</v>
      </c>
      <c r="L14" s="48">
        <f>COUNTIFS(BRAVO!RANK,"1CL",BRAVO!NATURE,"DOING UNAUTHORIZED THINGS",BRAVO!N:N,"&gt;0")</f>
        <v>0</v>
      </c>
      <c r="M14" s="48">
        <f>COUNTIFS(BRAVO!RANK,"2CL",BRAVO!NATURE,"DOING UNAUTHORIZED THINGS",BRAVO!N:N,"&gt;0")</f>
        <v>0</v>
      </c>
      <c r="N14" s="48">
        <f>COUNTIFS(BRAVO!RANK,"3CL",BRAVO!NATURE,"DOING UNAUTHORIZED THINGS",BRAVO!N:N,"&gt;0")</f>
        <v>0</v>
      </c>
      <c r="O14" s="48">
        <f>COUNTIFS(BRAVO!RANK,"4CL",BRAVO!NATURE,"DOING UNAUTHORIZED THINGS",BRAVO!REMARKS,"ONGOING")</f>
        <v>0</v>
      </c>
      <c r="P14" s="11"/>
      <c r="Q14" s="50" t="s">
        <v>23</v>
      </c>
      <c r="R14" s="48">
        <f>COUNTIFS(CHARLIE!RANK,"1CL",CHARLIE!NATURE,"DOING UNAUTHORIZED THINGS",CHARLIE!N:N,"&gt;0")</f>
        <v>1</v>
      </c>
      <c r="S14" s="48">
        <f>COUNTIFS(CHARLIE!RANK,"2CL",CHARLIE!NATURE,"DOING UNAUTHORIZED THINGS",CHARLIE!N:N,"&gt;0")</f>
        <v>1</v>
      </c>
      <c r="T14" s="48">
        <f>COUNTIFS(CHARLIE!RANK,"3CL",CHARLIE!NATURE,"DOING UNAUTHORIZED THINGS",CHARLIE!N:N,"&gt;0")</f>
        <v>4</v>
      </c>
      <c r="U14" s="48">
        <f>COUNTIFS(CHARLIE!RANK,"4CL",CHARLIE!NATURE,"DOING UNAUTHORIZED THINGS",CHARLIE!REMARKS,"ONGOING")</f>
        <v>0</v>
      </c>
      <c r="V14" s="16"/>
      <c r="W14" s="51" t="s">
        <v>23</v>
      </c>
      <c r="X14" s="52">
        <f>COUNTIFS(DELTA!RANK,"1CL",DELTA!NATURE,"DOING UNAUTHORIZED THINGS",DELTA!N:N,"&gt;0")</f>
        <v>1</v>
      </c>
      <c r="Y14" s="52">
        <f>COUNTIFS(DELTA!RANK,"2CL",DELTA!NATURE,"DOING UNAUTHORIZED THINGS",DELTA!N:N,"&gt;0")</f>
        <v>2</v>
      </c>
      <c r="Z14" s="52">
        <f>COUNTIFS(DELTA!RANK,"3CL",DELTA!NATURE,"DOING UNAUTHORIZED THINGS",DELTA!N:N,"&gt;0")</f>
        <v>0</v>
      </c>
      <c r="AA14" s="52">
        <f>COUNTIFS(DELTA!RANK,"4CL",DELTA!NATURE,"DOING UNAUTHORIZED THINGS",DELTA!REMARKS,"ONGOING")</f>
        <v>1</v>
      </c>
      <c r="AB14" s="16"/>
      <c r="AC14" s="51" t="s">
        <v>23</v>
      </c>
      <c r="AD14" s="52">
        <f>COUNTIFS(ECHO!RANK,"1CL",ECHO!NATURE,"DOING UNAUTHORIZED THINGS",ECHO!M:M,"&gt;0")</f>
        <v>0</v>
      </c>
      <c r="AE14" s="52">
        <f>COUNTIFS(ECHO!RANK,"2CL",ECHO!NATURE,"DOING UNAUTHORIZED THINGS",ECHO!M:M,"&gt;0")</f>
        <v>1</v>
      </c>
      <c r="AF14" s="52">
        <f>COUNTIFS(ECHO!RANK,"3CL",ECHO!NATURE,"DOING UNAUTHORIZED THINGS",ECHO!M:M,"&gt;0")</f>
        <v>0</v>
      </c>
      <c r="AG14" s="52">
        <f>COUNTIFS(ECHO!RANK,"4CL",ECHO!NATURE,"DOING UNAUTHORIZED THINGS",ECHO!REMARKS,"ONGOING")</f>
        <v>0</v>
      </c>
      <c r="AH14" s="16"/>
      <c r="AI14" s="51" t="s">
        <v>23</v>
      </c>
      <c r="AJ14" s="52">
        <f>COUNTIFS(FOXTROT!RANK,"1CL",FOXTROT!NATURE,"DOING UNAUTHORIZED THINGS",FOXTROT!N:N,"&gt;0")</f>
        <v>0</v>
      </c>
      <c r="AK14" s="52">
        <f>COUNTIFS(FOXTROT!RANK,"2CL",FOXTROT!NATURE,"DOING UNAUTHORIZED THINGS",FOXTROT!N:N,"&gt;0")</f>
        <v>1</v>
      </c>
      <c r="AL14" s="52">
        <f>COUNTIFS(FOXTROT!RANK,"3CL",FOXTROT!NATURE,"DOING UNAUTHORIZED THINGS",FOXTROT!N:N,"&gt;0")</f>
        <v>0</v>
      </c>
      <c r="AM14" s="52">
        <f>COUNTIFS(FOXTROT!RANK,"4CL",FOXTROT!NATURE,"DOING UNAUTHORIZED THINGS",FOXTROT!REMARKS,"ONGOING")</f>
        <v>1</v>
      </c>
      <c r="AN14" s="11"/>
      <c r="AO14" s="53" t="s">
        <v>23</v>
      </c>
      <c r="AP14" s="52">
        <f>COUNTIFS(GOLF!RANK,"1CL",GOLF!NATURE,"DOING UNAUTHORIZED THINGS",GOLF!N:N,"&gt;0")</f>
        <v>0</v>
      </c>
      <c r="AQ14" s="52">
        <f>COUNTIFS(GOLF!RANK,"2CL",GOLF!NATURE,"DOING UNAUTHORIZED THINGS",GOLF!N:N,"&gt;0")</f>
        <v>0</v>
      </c>
      <c r="AR14" s="52">
        <f>COUNTIFS(GOLF!RANK,"3CL",GOLF!NATURE,"DOING UNAUTHORIZED THINGS",GOLF!N:N,"&gt;0")</f>
        <v>0</v>
      </c>
      <c r="AS14" s="52">
        <f>COUNTIFS(GOLF!RANK,"4CL",GOLF!NATURE,"DOING UNAUTHORIZED THINGS",GOLF!REMARKS,"ONGOING")</f>
        <v>0</v>
      </c>
      <c r="AT14" s="16"/>
      <c r="AU14" s="51" t="s">
        <v>23</v>
      </c>
      <c r="AV14" s="52">
        <f>COUNTIFS(HAWK!RANK,"1CL",HAWK!NATURE,"DOING UNAUTHORIZED THINGS",HAWK!N:N,"&gt;0")</f>
        <v>0</v>
      </c>
      <c r="AW14" s="52">
        <f>COUNTIFS(HAWK!RANK,"2CL",HAWK!NATURE,"DOING UNAUTHORIZED THINGS",HAWK!N:N,"&gt;0")</f>
        <v>1</v>
      </c>
      <c r="AX14" s="52">
        <f>COUNTIFS(HAWK!RANK,"3CL",HAWK!NATURE,"DOING UNAUTHORIZED THINGS",HAWK!N:N,"&gt;0")</f>
        <v>0</v>
      </c>
      <c r="AY14" s="52">
        <f>COUNTIFS(HAWK!RANK,"4CL",HAWK!NATURE,"DOING UNAUTHORIZED THINGS",HAWK!REMARKS,"ONGOING")</f>
        <v>0</v>
      </c>
      <c r="AZ14" s="54"/>
      <c r="BA14" s="53" t="s">
        <v>23</v>
      </c>
      <c r="BB14" s="48">
        <f>COUNTIFS(#REF!,"1CL",#REF!,"DOING UNAUTHORIZED THINGS",#REF!,"ONGOING")</f>
        <v>0</v>
      </c>
      <c r="BC14" s="48">
        <f>COUNTIFS(#REF!,"2CL",#REF!,"DOING UNAUTHORIZED THINGS",#REF!,"ONGOING")</f>
        <v>0</v>
      </c>
      <c r="BD14" s="48">
        <f>COUNTIFS(#REF!,"3CL",#REF!,"DOING UNAUTHORIZED THINGS",#REF!,"ONGOING")</f>
        <v>0</v>
      </c>
      <c r="BE14" s="48">
        <f>COUNTIFS(#REF!,"4CL",#REF!,"DOING UNAUTHORIZED THINGS",#REF!,"ONGOING")</f>
        <v>0</v>
      </c>
      <c r="BF14" s="54"/>
      <c r="BG14" s="54"/>
      <c r="BH14" s="54"/>
      <c r="BI14" s="54"/>
      <c r="BJ14" s="54"/>
      <c r="BK14" s="54"/>
    </row>
    <row r="15">
      <c r="A15" s="11"/>
      <c r="B15" s="11"/>
      <c r="C15" s="24"/>
      <c r="D15" s="24"/>
      <c r="E15" s="56" t="s">
        <v>24</v>
      </c>
      <c r="F15" s="48">
        <f>COUNTIFS(RANK,"1CL",NATURE,"SEXUAL MISCONDUCT/HARASSMENT",ALFA!N:N,"&gt;0")</f>
        <v>0</v>
      </c>
      <c r="G15" s="55">
        <f>COUNTIFS(RANK,"2CL",NATURE,"SEXUAL MISCONDUCT/HARASSMENT",ALFA!N:N,"&gt;0")</f>
        <v>0</v>
      </c>
      <c r="H15" s="48">
        <f>COUNTIFS(RANK,"3CL",NATURE,"SEXUAL MISCONDUCT/HARASSMENT",ALFA!N:N,"&gt;0")</f>
        <v>0</v>
      </c>
      <c r="I15" s="48">
        <f>COUNTIFS(RANK,"4CL",NATURE,"SEXUAL MISCONDUCT/HARASSMENT",REMARKS,"ONGOING")</f>
        <v>0</v>
      </c>
      <c r="J15" s="11"/>
      <c r="K15" s="56" t="s">
        <v>24</v>
      </c>
      <c r="L15" s="48">
        <f>COUNTIFS(BRAVO!RANK,"1CL",BRAVO!NATURE,"SEXUAL MISCONDUCT/HARASSMENT",BRAVO!N:N,"&gt;0")</f>
        <v>0</v>
      </c>
      <c r="M15" s="48">
        <f>COUNTIFS(BRAVO!RANK,"2CL",BRAVO!NATURE,"SEXUAL MISCONDUCT/HARASSMENT",BRAVO!N:N,"&gt;0")</f>
        <v>0</v>
      </c>
      <c r="N15" s="48">
        <f>COUNTIFS(BRAVO!RANK,"3CL",BRAVO!NATURE,"SEXUAL MISCONDUCT/HARASSMENT",BRAVO!N:N,"&gt;0")</f>
        <v>0</v>
      </c>
      <c r="O15" s="48">
        <f>COUNTIFS(BRAVO!RANK,"4CL",BRAVO!NATURE,"SEXUAL MISCONDUCT/HARASSMENT",BRAVO!REMARKS,"ONGOING")</f>
        <v>0</v>
      </c>
      <c r="P15" s="11"/>
      <c r="Q15" s="57" t="s">
        <v>24</v>
      </c>
      <c r="R15" s="48">
        <f>COUNTIFS(CHARLIE!RANK,"1CL",CHARLIE!NATURE,"SEXUAL MISCONDUCT/HARASSMENT",CHARLIE!N:N,"&gt;0")</f>
        <v>0</v>
      </c>
      <c r="S15" s="48">
        <f>COUNTIFS(CHARLIE!RANK,"2CL",CHARLIE!NATURE,"SEXUAL MISCONDUCT/HARASSMENT",CHARLIE!N:N,"&gt;0")</f>
        <v>0</v>
      </c>
      <c r="T15" s="48">
        <f>COUNTIFS(CHARLIE!RANK,"3CL",CHARLIE!NATURE,"SEXUAL MISCONDUCT/HARASSMENT",CHARLIE!N:N,"&gt;0")</f>
        <v>0</v>
      </c>
      <c r="U15" s="48">
        <f>COUNTIFS(CHARLIE!RANK,"4CL",CHARLIE!NATURE,"SEXUAL MISCONDUCT/HARASSMENT",CHARLIE!REMARKS,"ONGOING")</f>
        <v>0</v>
      </c>
      <c r="V15" s="16"/>
      <c r="W15" s="58" t="s">
        <v>24</v>
      </c>
      <c r="X15" s="52">
        <f>COUNTIFS(DELTA!RANK,"1CL",DELTA!NATURE,"SEXUAL MISCONDUCT/HARASSMENT",DELTA!N:N,"&gt;0")</f>
        <v>0</v>
      </c>
      <c r="Y15" s="52">
        <f>COUNTIFS(DELTA!RANK,"2CL",DELTA!NATURE,"SEXUAL MISCONDUCT/HARASSMENT",DELTA!N:N,"&gt;0")</f>
        <v>0</v>
      </c>
      <c r="Z15" s="52">
        <f>COUNTIFS(DELTA!RANK,"3CL",DELTA!NATURE,"SEXUAL MISCONDUCT/HARASSMENT",DELTA!N:N,"&gt;0")</f>
        <v>0</v>
      </c>
      <c r="AA15" s="52">
        <f>COUNTIFS(DELTA!RANK,"4CL",DELTA!NATURE,"SEXUAL MISCONDUCT/HARASSMENT",DELTA!REMARKS,"ONGOING")</f>
        <v>0</v>
      </c>
      <c r="AB15" s="16"/>
      <c r="AC15" s="58" t="s">
        <v>24</v>
      </c>
      <c r="AD15" s="52">
        <f>COUNTIFS(ECHO!RANK,"1CL",ECHO!NATURE,"SEXUAL MISCONDUCT/HARASSMENT",ECHO!M:M,"&gt;0")</f>
        <v>0</v>
      </c>
      <c r="AE15" s="52">
        <f>COUNTIFS(ECHO!RANK,"2CL",ECHO!NATURE,"SEXUAL MISCONDUCT/HARASSMENT",ECHO!M:M,"&gt;0")</f>
        <v>0</v>
      </c>
      <c r="AF15" s="52">
        <f>COUNTIFS(ECHO!RANK,"3CL",ECHO!NATURE,"SEXUAL MISCONDUCT/HARASSMENT",ECHO!M:M,"&gt;0")</f>
        <v>0</v>
      </c>
      <c r="AG15" s="52">
        <f>COUNTIFS(ECHO!RANK,"4CL",ECHO!NATURE,"SEXUAL MISCONDUCT/HARASSMENT",ECHO!REMARKS,"ONGOING")</f>
        <v>0</v>
      </c>
      <c r="AH15" s="16"/>
      <c r="AI15" s="58" t="s">
        <v>24</v>
      </c>
      <c r="AJ15" s="52">
        <f>COUNTIFS(FOXTROT!RANK,"1CL",FOXTROT!NATURE,"SEXUAL MISCONDUCT/HARASSMENT",FOXTROT!N:N,"&gt;0")</f>
        <v>0</v>
      </c>
      <c r="AK15" s="52">
        <f>COUNTIFS(FOXTROT!RANK,"2CL",FOXTROT!NATURE,"SEXUAL MISCONDUCT/HARASSMENT",FOXTROT!N:N,"&gt;0")</f>
        <v>0</v>
      </c>
      <c r="AL15" s="52">
        <f>COUNTIFS(FOXTROT!RANK,"3CL",FOXTROT!NATURE,"SEXUAL MISCONDUCT/HARASSMENT",FOXTROT!N:N,"&gt;0")</f>
        <v>0</v>
      </c>
      <c r="AM15" s="52">
        <f>COUNTIFS(FOXTROT!RANK,"4CL",FOXTROT!NATURE,"SEXUAL MISCONDUCT/HARASSMENT",FOXTROT!REMARKS,"ONGOING")</f>
        <v>0</v>
      </c>
      <c r="AN15" s="11"/>
      <c r="AO15" s="59" t="s">
        <v>24</v>
      </c>
      <c r="AP15" s="52">
        <f>COUNTIFS(GOLF!RANK,"1CL",GOLF!NATURE,"SEXUAL MISCONDUCT/HARASSMENT",GOLF!N:N,"&gt;0")</f>
        <v>0</v>
      </c>
      <c r="AQ15" s="52">
        <f>COUNTIFS(GOLF!RANK,"2CL",GOLF!NATURE,"SEXUAL MISCONDUCT/HARASSMENT",GOLF!N:N,"&gt;0")</f>
        <v>0</v>
      </c>
      <c r="AR15" s="52">
        <f>COUNTIFS(GOLF!RANK,"3CL",GOLF!NATURE,"SEXUAL MISCONDUCT/HARASSMENT",GOLF!N:N,"&gt;0")</f>
        <v>0</v>
      </c>
      <c r="AS15" s="52">
        <f>COUNTIFS(GOLF!RANK,"4CL",GOLF!NATURE,"SEXUAL MISCONDUCT/HARASSMENT",GOLF!REMARKS,"ONGOING")</f>
        <v>0</v>
      </c>
      <c r="AT15" s="16"/>
      <c r="AU15" s="58" t="s">
        <v>24</v>
      </c>
      <c r="AV15" s="52">
        <f>COUNTIFS(HAWK!RANK,"1CL",HAWK!NATURE,"SEXUAL MISCONDUCT/HARASSMENT",HAWK!N:N,"&gt;0")</f>
        <v>0</v>
      </c>
      <c r="AW15" s="52">
        <f>COUNTIFS(HAWK!RANK,"2CL",HAWK!NATURE,"SEXUAL MISCONDUCT/HARASSMENT",HAWK!N:N,"&gt;0")</f>
        <v>0</v>
      </c>
      <c r="AX15" s="52">
        <f>COUNTIFS(HAWK!RANK,"3CL",HAWK!NATURE,"SEXUAL MISCONDUCT/HARASSMENT",HAWK!N:N,"&gt;0")</f>
        <v>0</v>
      </c>
      <c r="AY15" s="52">
        <f>COUNTIFS(HAWK!RANK,"4CL",HAWK!NATURE,"SEXUAL MISCONDUCT/HARASSMENT",HAWK!REMARKS,"ONGOING")</f>
        <v>0</v>
      </c>
      <c r="AZ15" s="54"/>
      <c r="BA15" s="59" t="s">
        <v>24</v>
      </c>
      <c r="BB15" s="48">
        <f>COUNTIFS(#REF!,"1CL",#REF!,"SEXUAL MISCONDUCT/HARASSMENT",#REF!,"ONGOING")</f>
        <v>0</v>
      </c>
      <c r="BC15" s="48">
        <f>COUNTIFS(#REF!,"2CL",#REF!,"SEXUAL MISCONDUCT/HARASSMENT",#REF!,"ONGOING")</f>
        <v>0</v>
      </c>
      <c r="BD15" s="48">
        <f>COUNTIFS(#REF!,"3CL",#REF!,"SEXUAL MISCONDUCT/HARASSMENT",#REF!,"ONGOING")</f>
        <v>0</v>
      </c>
      <c r="BE15" s="48">
        <f>COUNTIFS(#REF!,"4CL",#REF!,"SEXUAL MISCONDUCT/HARASSMENT",#REF!,"ONGOING")</f>
        <v>0</v>
      </c>
      <c r="BF15" s="54"/>
      <c r="BG15" s="54"/>
      <c r="BH15" s="54"/>
      <c r="BI15" s="54"/>
      <c r="BJ15" s="54"/>
      <c r="BK15" s="54"/>
    </row>
    <row r="16">
      <c r="A16" s="11"/>
      <c r="B16" s="11"/>
      <c r="C16" s="24"/>
      <c r="D16" s="24"/>
      <c r="E16" s="56" t="s">
        <v>25</v>
      </c>
      <c r="F16" s="48">
        <f>COUNTIFS(RANK,"1CL",NATURE,"UMALTREATMENT/NTP/CTP",ALFA!N:N,"&gt;0")</f>
        <v>0</v>
      </c>
      <c r="G16" s="55">
        <f>COUNTIFS(RANK,"2CL",NATURE,"MALTREATMENT/NTP/CTP",ALFA!N:N,"&gt;0")</f>
        <v>0</v>
      </c>
      <c r="H16" s="48">
        <f>COUNTIFS(RANK,"3CL",NATURE,"MALTREATMENT/NTP/CTP",ALFA!N:N,"&gt;0")</f>
        <v>0</v>
      </c>
      <c r="I16" s="48">
        <f>COUNTIFS(RANK,"4CL",NATURE,"MALTREATMENT/NTP/CTP",REMARKS,"ONGOING")</f>
        <v>0</v>
      </c>
      <c r="J16" s="11"/>
      <c r="K16" s="56" t="s">
        <v>25</v>
      </c>
      <c r="L16" s="48">
        <f>COUNTIFS(BRAVO!RANK,"1CL",BRAVO!NATURE,"MALTREATMENT/NTP/CTP",BRAVO!N:N,"&gt;0")</f>
        <v>0</v>
      </c>
      <c r="M16" s="48">
        <f>COUNTIFS(BRAVO!RANK,"2CL",BRAVO!NATURE,"MALTREATMENT/NTP/CTP",BRAVO!N:N,"&gt;0")</f>
        <v>0</v>
      </c>
      <c r="N16" s="48">
        <f>COUNTIFS(BRAVO!RANK,"3CL",BRAVO!NATURE,"MALTREATMENT/NTP/CTP",BRAVO!N:N,"&gt;0")</f>
        <v>0</v>
      </c>
      <c r="O16" s="48">
        <f>COUNTIFS(BRAVO!RANK,"4CL",BRAVO!NATURE,"MALTREATMENT/NTP/CTP",BRAVO!REMARKS,"ONGOING")</f>
        <v>0</v>
      </c>
      <c r="P16" s="11"/>
      <c r="Q16" s="57" t="s">
        <v>25</v>
      </c>
      <c r="R16" s="48">
        <f>COUNTIFS(CHARLIE!RANK,"1CL",CHARLIE!NATURE,"MALTREATMENT/NTP/CTP",CHARLIE!N:N,"&gt;0")</f>
        <v>0</v>
      </c>
      <c r="S16" s="48">
        <f>COUNTIFS(CHARLIE!RANK,"2CL",CHARLIE!NATURE,"MALTREATMENT/NTP/CTP",CHARLIE!N:N,"&gt;0")</f>
        <v>0</v>
      </c>
      <c r="T16" s="48">
        <f>COUNTIFS(CHARLIE!RANK,"3CL",CHARLIE!NATURE,"MALTREATMENT/NTP/CTP",CHARLIE!N:N,"&gt;0")</f>
        <v>0</v>
      </c>
      <c r="U16" s="48">
        <f>COUNTIFS(CHARLIE!RANK,"4CL",CHARLIE!NATURE,"MALTREATMENT/NTP/CTP",CHARLIE!REMARKS,"ONGOING")</f>
        <v>0</v>
      </c>
      <c r="V16" s="16"/>
      <c r="W16" s="58" t="s">
        <v>25</v>
      </c>
      <c r="X16" s="52">
        <f>COUNTIFS(DELTA!RANK,"1CL",DELTA!NATURE,"MALTREATMENT/NTP/CTP",DELTA!N:N,"&gt;0")</f>
        <v>0</v>
      </c>
      <c r="Y16" s="52">
        <f>COUNTIFS(DELTA!RANK,"2CL",DELTA!NATURE,"MALTREATMENT/NTP/CTP",DELTA!N:N,"&gt;0")</f>
        <v>1</v>
      </c>
      <c r="Z16" s="52">
        <f>COUNTIFS(DELTA!RANK,"3CL",DELTA!NATURE,"MALTREATMENT/NTP/CTP",DELTA!N:N,"&gt;0")</f>
        <v>0</v>
      </c>
      <c r="AA16" s="52">
        <f>COUNTIFS(DELTA!RANK,"4CL",DELTA!NATURE,"MALTREATMENT/NTP/CTP",DELTA!REMARKS,"ONGOING")</f>
        <v>0</v>
      </c>
      <c r="AB16" s="16"/>
      <c r="AC16" s="58" t="s">
        <v>25</v>
      </c>
      <c r="AD16" s="52">
        <f>COUNTIFS(ECHO!RANK,"1CL",ECHO!NATURE,"MALTREATMENT/NTP/CTP",ECHO!M:M,"&gt;0")</f>
        <v>0</v>
      </c>
      <c r="AE16" s="52">
        <f>COUNTIFS(ECHO!RANK,"2CL",ECHO!NATURE,"MALTREATMENT/NTP/CTP",ECHO!M:M,"&gt;0")</f>
        <v>0</v>
      </c>
      <c r="AF16" s="52">
        <f>COUNTIFS(ECHO!RANK,"3CL",ECHO!NATURE,"MALTREATMENT/NTP/CTP",ECHO!M:M,"&gt;0")</f>
        <v>0</v>
      </c>
      <c r="AG16" s="52">
        <f>COUNTIFS(ECHO!RANK,"4CL",ECHO!NATURE,"MALTREATMENT/NTP/CTP",ECHO!REMARKS,"ONGOING")</f>
        <v>0</v>
      </c>
      <c r="AH16" s="16"/>
      <c r="AI16" s="58" t="s">
        <v>25</v>
      </c>
      <c r="AJ16" s="52">
        <f>COUNTIFS(FOXTROT!RANK,"1CL",FOXTROT!NATURE,"MALTREATMENT/NTP/CTP",FOXTROT!N:N,"&gt;0")</f>
        <v>0</v>
      </c>
      <c r="AK16" s="52">
        <f>COUNTIFS(FOXTROT!RANK,"2CL",FOXTROT!NATURE,"MALTREATMENT/NTP/CTP",FOXTROT!N:N,"&gt;0")</f>
        <v>1</v>
      </c>
      <c r="AL16" s="52">
        <f>COUNTIFS(FOXTROT!RANK,"3CL",FOXTROT!NATURE,"MALTREATMENT/NTP/CTP",FOXTROT!N:N,"&gt;0")</f>
        <v>0</v>
      </c>
      <c r="AM16" s="52">
        <f>COUNTIFS(FOXTROT!RANK,"4CL",FOXTROT!NATURE,"MALTREATMENT/NTP/CTP",FOXTROT!REMARKS,"ONGOING")</f>
        <v>0</v>
      </c>
      <c r="AN16" s="11"/>
      <c r="AO16" s="59" t="s">
        <v>25</v>
      </c>
      <c r="AP16" s="52">
        <f>COUNTIFS(GOLF!RANK,"1CL",GOLF!NATURE,"MALTREATMENT/NTP/CTP",GOLF!N:N,"&gt;0")</f>
        <v>0</v>
      </c>
      <c r="AQ16" s="52">
        <f>COUNTIFS(GOLF!RANK,"2CL",GOLF!NATURE,"MALTREATMENT/NTP/CTP",GOLF!N:N,"&gt;0")</f>
        <v>0</v>
      </c>
      <c r="AR16" s="52">
        <f>COUNTIFS(GOLF!RANK,"3CL",GOLF!NATURE,"MALTREATMENT/NTP/CTP",GOLF!N:N,"&gt;0")</f>
        <v>0</v>
      </c>
      <c r="AS16" s="52">
        <f>COUNTIFS(GOLF!RANK,"4CL",GOLF!NATURE,"MALTREATMENT/NTP/CTP",GOLF!REMARKS,"ONGOING")</f>
        <v>0</v>
      </c>
      <c r="AT16" s="16"/>
      <c r="AU16" s="58" t="s">
        <v>25</v>
      </c>
      <c r="AV16" s="52">
        <f>COUNTIFS(HAWK!RANK,"1CL",HAWK!NATURE,"MALTREATMENT/NTP/CTP",HAWK!N:N,"&gt;0")</f>
        <v>0</v>
      </c>
      <c r="AW16" s="52">
        <f>COUNTIFS(HAWK!RANK,"2CL",HAWK!NATURE,"MALTREATMENT/NTP/CTP",HAWK!N:N,"&gt;0")</f>
        <v>0</v>
      </c>
      <c r="AX16" s="52">
        <f>COUNTIFS(HAWK!RANK,"3CL",HAWK!NATURE,"MALTREATMENT/NTP/CTP",HAWK!N:N,"&gt;0")</f>
        <v>0</v>
      </c>
      <c r="AY16" s="52">
        <f>COUNTIFS(HAWK!RANK,"4CL",HAWK!NATURE,"MALTREATMENT/NTP/CTP",HAWK!REMARKS,"ONGOING")</f>
        <v>0</v>
      </c>
      <c r="AZ16" s="54"/>
      <c r="BA16" s="59" t="s">
        <v>25</v>
      </c>
      <c r="BB16" s="48">
        <f>COUNTIFS(#REF!,"1CL",#REF!,"MALTREATMENT/NTP/CTP",#REF!,"ONGOING")</f>
        <v>0</v>
      </c>
      <c r="BC16" s="48">
        <f>COUNTIFS(#REF!,"2CL",#REF!,"MALTREATMENT/NTP/CTP",#REF!,"ONGOING")</f>
        <v>0</v>
      </c>
      <c r="BD16" s="48">
        <f>COUNTIFS(#REF!,"3CL",#REF!,"MALTREATMENT/NTP/CTP",#REF!,"ONGOING")</f>
        <v>0</v>
      </c>
      <c r="BE16" s="48">
        <f>COUNTIFS(#REF!,"4CL",#REF!,"MALTREATMENT/NTP/CTP",#REF!,"ONGOING")</f>
        <v>0</v>
      </c>
      <c r="BF16" s="54"/>
      <c r="BG16" s="54"/>
      <c r="BH16" s="54"/>
      <c r="BI16" s="54"/>
      <c r="BJ16" s="54"/>
      <c r="BK16" s="54"/>
    </row>
    <row r="17">
      <c r="A17" s="11"/>
      <c r="B17" s="11"/>
      <c r="C17" s="24"/>
      <c r="D17" s="24"/>
      <c r="E17" s="56" t="s">
        <v>26</v>
      </c>
      <c r="F17" s="48">
        <f>COUNTIFS(RANK,"1CL",NATURE,"HONOR",ALFA!N:N,"&gt;0")</f>
        <v>0</v>
      </c>
      <c r="G17" s="55">
        <f>COUNTIFS(RANK,"2CL",NATURE,"HONOR",ALFA!N:N,"&gt;0")</f>
        <v>0</v>
      </c>
      <c r="H17" s="48">
        <f>COUNTIFS(RANK,"3CL",NATURE,"HONOR",ALFA!N:N,"&gt;0")</f>
        <v>0</v>
      </c>
      <c r="I17" s="60">
        <f>COUNTIFS(RANK,"4CL",NATURE,"HONOR",REMARKS,"ONGOING")</f>
        <v>0</v>
      </c>
      <c r="J17" s="11"/>
      <c r="K17" s="56" t="s">
        <v>26</v>
      </c>
      <c r="L17" s="48">
        <f>COUNTIFS(BRAVO!RANK,"1CL",BRAVO!NATURE,"HONOR",BRAVO!N:N,"&gt;0")</f>
        <v>0</v>
      </c>
      <c r="M17" s="48">
        <f>COUNTIFS(BRAVO!RANK,"2CL",BRAVO!NATURE,"HONOR",BRAVO!N:N,"&gt;0")</f>
        <v>0</v>
      </c>
      <c r="N17" s="48">
        <f>COUNTIFS(BRAVO!RANK,"3CL",BRAVO!NATURE,"HONOR",BRAVO!N:N,"&gt;0")</f>
        <v>0</v>
      </c>
      <c r="O17" s="48">
        <f>COUNTIFS(BRAVO!RANK,"4CL",BRAVO!NATURE,"HONOR",BRAVO!REMARKS,"ONGOING")</f>
        <v>0</v>
      </c>
      <c r="P17" s="11"/>
      <c r="Q17" s="57" t="s">
        <v>26</v>
      </c>
      <c r="R17" s="48">
        <f>COUNTIFS(CHARLIE!RANK,"1CL",CHARLIE!NATURE,"HONOR",CHARLIE!N:N,"&gt;0")</f>
        <v>0</v>
      </c>
      <c r="S17" s="48">
        <f>COUNTIFS(CHARLIE!RANK,"2CL",CHARLIE!NATURE,"HONOR",CHARLIE!N:N,"&gt;0")</f>
        <v>0</v>
      </c>
      <c r="T17" s="48">
        <f>COUNTIFS(CHARLIE!RANK,"3CL",CHARLIE!NATURE,"HONOR",CHARLIE!N:N,"&gt;0")</f>
        <v>0</v>
      </c>
      <c r="U17" s="48">
        <f>COUNTIFS(CHARLIE!RANK,"4CL",CHARLIE!NATURE,"HONOR",CHARLIE!REMARKS,"ONGOING")</f>
        <v>0</v>
      </c>
      <c r="V17" s="16"/>
      <c r="W17" s="58" t="s">
        <v>26</v>
      </c>
      <c r="X17" s="52">
        <f>COUNTIFS(DELTA!RANK,"1CL",DELTA!NATURE,"HONOR",DELTA!N:N,"&gt;0")</f>
        <v>0</v>
      </c>
      <c r="Y17" s="52">
        <f>COUNTIFS(DELTA!RANK,"2CL",DELTA!NATURE,"HONOR",DELTA!N:N,"&gt;0")</f>
        <v>0</v>
      </c>
      <c r="Z17" s="52">
        <f>COUNTIFS(DELTA!RANK,"3CL",DELTA!NATURE,"HONOR",DELTA!N:N,"&gt;0")</f>
        <v>0</v>
      </c>
      <c r="AA17" s="52">
        <f>COUNTIFS(DELTA!RANK,"4CL",DELTA!NATURE,"HONOR",DELTA!REMARKS,"ONGOING")</f>
        <v>0</v>
      </c>
      <c r="AB17" s="16"/>
      <c r="AC17" s="58" t="s">
        <v>26</v>
      </c>
      <c r="AD17" s="52">
        <f>COUNTIFS(ECHO!RANK,"1CL",ECHO!NATURE,"HONOR",ECHO!M:M,"&gt;0")</f>
        <v>0</v>
      </c>
      <c r="AE17" s="52">
        <f>COUNTIFS(ECHO!RANK,"2CL",ECHO!NATURE,"HONOR",ECHO!M:M,"&gt;0")</f>
        <v>0</v>
      </c>
      <c r="AF17" s="52">
        <f>COUNTIFS(ECHO!RANK,"3CL",ECHO!NATURE,"HONOR",ECHO!M:M,"&gt;0")</f>
        <v>0</v>
      </c>
      <c r="AG17" s="52">
        <f>COUNTIFS(ECHO!RANK,"4CL",ECHO!NATURE,"HONOR",ECHO!REMARKS,"ONGOING")</f>
        <v>0</v>
      </c>
      <c r="AH17" s="16"/>
      <c r="AI17" s="58" t="s">
        <v>26</v>
      </c>
      <c r="AJ17" s="52">
        <f>COUNTIFS(FOXTROT!RANK,"1CL",FOXTROT!NATURE,"HONOR",FOXTROT!N:N,"&gt;0")</f>
        <v>0</v>
      </c>
      <c r="AK17" s="52">
        <f>COUNTIFS(FOXTROT!RANK,"2CL",FOXTROT!NATURE,"HONOR",FOXTROT!N:N,"&gt;0")</f>
        <v>0</v>
      </c>
      <c r="AL17" s="52">
        <f>COUNTIFS(FOXTROT!RANK,"3CL",FOXTROT!NATURE,"HONOR",FOXTROT!N:N,"&gt;0")</f>
        <v>0</v>
      </c>
      <c r="AM17" s="52">
        <f>COUNTIFS(FOXTROT!RANK,"4CL",FOXTROT!NATURE,"HONOR",FOXTROT!REMARKS,"ONGOING")</f>
        <v>0</v>
      </c>
      <c r="AN17" s="11"/>
      <c r="AO17" s="59" t="s">
        <v>26</v>
      </c>
      <c r="AP17" s="52">
        <f>COUNTIFS(GOLF!RANK,"1CL",GOLF!NATURE,"HONOR",GOLF!N:N,"&gt;0")</f>
        <v>0</v>
      </c>
      <c r="AQ17" s="52">
        <f>COUNTIFS(GOLF!RANK,"2CL",GOLF!NATURE,"HONOR",GOLF!N:N,"&gt;0")</f>
        <v>0</v>
      </c>
      <c r="AR17" s="52">
        <f>COUNTIFS(GOLF!RANK,"3CL",GOLF!NATURE,"HONOR",GOLF!N:N,"&gt;0")</f>
        <v>0</v>
      </c>
      <c r="AS17" s="52">
        <f>COUNTIFS(GOLF!RANK,"4CL",GOLF!NATURE,"HONOR",GOLF!REMARKS,"ONGOING")</f>
        <v>0</v>
      </c>
      <c r="AT17" s="16"/>
      <c r="AU17" s="58" t="s">
        <v>26</v>
      </c>
      <c r="AV17" s="52">
        <f>COUNTIFS(HAWK!RANK,"1CL",HAWK!NATURE,"HONOR",HAWK!N:N,"&gt;0")</f>
        <v>0</v>
      </c>
      <c r="AW17" s="52">
        <f>COUNTIFS(HAWK!RANK,"2CL",HAWK!NATURE,"HONOR",HAWK!N:N,"&gt;0")</f>
        <v>0</v>
      </c>
      <c r="AX17" s="52">
        <f>COUNTIFS(HAWK!RANK,"3CL",HAWK!NATURE,"HONOR",HAWK!N:N,"&gt;0")</f>
        <v>0</v>
      </c>
      <c r="AY17" s="52">
        <f>COUNTIFS(HAWK!RANK,"4CL",HAWK!NATURE,"HONOR",HAWK!REMARKS,"ONGOING")</f>
        <v>0</v>
      </c>
      <c r="AZ17" s="54"/>
      <c r="BA17" s="59" t="s">
        <v>26</v>
      </c>
      <c r="BB17" s="48">
        <f>COUNTIFS(#REF!,"1CL",#REF!,"HONOR",#REF!,"ONGOING")</f>
        <v>0</v>
      </c>
      <c r="BC17" s="48">
        <f>COUNTIFS(#REF!,"2CL",#REF!,"HONOR",#REF!,"ONGOING")</f>
        <v>0</v>
      </c>
      <c r="BD17" s="48">
        <f>COUNTIFS(#REF!,"3CL",#REF!,"HONOR",#REF!,"ONGOING")</f>
        <v>0</v>
      </c>
      <c r="BE17" s="48">
        <f>COUNTIFS(#REF!,"4CL",#REF!,"HONOR",#REF!,"ONGOING")</f>
        <v>0</v>
      </c>
      <c r="BF17" s="54"/>
      <c r="BG17" s="54"/>
      <c r="BH17" s="54"/>
      <c r="BI17" s="54"/>
      <c r="BJ17" s="54"/>
      <c r="BK17" s="54"/>
    </row>
    <row r="18">
      <c r="A18" s="11"/>
      <c r="B18" s="11"/>
      <c r="C18" s="24"/>
      <c r="D18" s="24" t="s">
        <v>27</v>
      </c>
      <c r="E18" s="56" t="s">
        <v>28</v>
      </c>
      <c r="F18" s="48">
        <f>COUNTIFS(RANK,"1CL",NATURE,"CLEANLINESS OF ROOM",ALFA!N:N,"&gt;0")</f>
        <v>0</v>
      </c>
      <c r="G18" s="55">
        <f>COUNTIFS(RANK,"2CL",NATURE,"CLEANLINESS OF ROOM",ALFA!N:N,"&gt;0")</f>
        <v>0</v>
      </c>
      <c r="H18" s="48">
        <f>COUNTIFS(RANK,"3CL",NATURE,"CLEANLINESS OF ROOM",ALFA!N:N,"&gt;0")</f>
        <v>0</v>
      </c>
      <c r="I18" s="48">
        <f>COUNTIFS(RANK,"4CL",NATURE,"CLEANLINESS OF ROOM",REMARKS,"ONGOING")</f>
        <v>0</v>
      </c>
      <c r="J18" s="11"/>
      <c r="K18" s="56" t="s">
        <v>28</v>
      </c>
      <c r="L18" s="48">
        <f>COUNTIFS(BRAVO!RANK,"1CL",BRAVO!NATURE,"CLEANLINESS OF ROOM",BRAVO!N:N,"&gt;0")</f>
        <v>0</v>
      </c>
      <c r="M18" s="48">
        <f>COUNTIFS(BRAVO!RANK,"2CL",BRAVO!NATURE,"CLEANLINESS OF ROOM",BRAVO!N:N,"&gt;0")</f>
        <v>0</v>
      </c>
      <c r="N18" s="48">
        <f>COUNTIFS(BRAVO!RANK,"3CL",BRAVO!NATURE,"CLEANLINESS OF ROOM",BRAVO!N:N,"&gt;0")</f>
        <v>0</v>
      </c>
      <c r="O18" s="48">
        <f>COUNTIFS(BRAVO!RANK,"4CL",BRAVO!NATURE,"CLEANLINESS OF ROOM",BRAVO!REMARKS,"ONGOING")</f>
        <v>0</v>
      </c>
      <c r="P18" s="11"/>
      <c r="Q18" s="57" t="s">
        <v>28</v>
      </c>
      <c r="R18" s="48">
        <f>COUNTIFS(CHARLIE!RANK,"1CL",CHARLIE!NATURE,"CLEANLINESS OF ROOM",CHARLIE!N:N,"&gt;0")</f>
        <v>0</v>
      </c>
      <c r="S18" s="48">
        <f>COUNTIFS(CHARLIE!RANK,"2CL",CHARLIE!NATURE,"CLEANLINESS OF ROOM",CHARLIE!N:N,"&gt;0")</f>
        <v>0</v>
      </c>
      <c r="T18" s="48">
        <f>COUNTIFS(CHARLIE!RANK,"3CL",CHARLIE!NATURE,"CLEANLINESS OF ROOM",CHARLIE!N:N,"&gt;0")</f>
        <v>0</v>
      </c>
      <c r="U18" s="48">
        <f>COUNTIFS(CHARLIE!RANK,"4CL",CHARLIE!NATURE,"CLEANLINESS OF ROOM",CHARLIE!REMARKS,"ONGOING")</f>
        <v>0</v>
      </c>
      <c r="V18" s="16"/>
      <c r="W18" s="58" t="s">
        <v>28</v>
      </c>
      <c r="X18" s="52">
        <f>COUNTIFS(DELTA!RANK,"1CL",DELTA!NATURE,"CLEANLINESS OF ROOM",DELTA!N:N,"&gt;0")</f>
        <v>0</v>
      </c>
      <c r="Y18" s="52">
        <f>COUNTIFS(DELTA!RANK,"2CL",DELTA!NATURE,"CLEANLINESS OF ROOM",DELTA!N:N,"&gt;0")</f>
        <v>0</v>
      </c>
      <c r="Z18" s="52">
        <f>COUNTIFS(DELTA!RANK,"3CL",DELTA!NATURE,"CLEANLINESS OF ROOM",DELTA!N:N,"&gt;0")</f>
        <v>0</v>
      </c>
      <c r="AA18" s="52">
        <f>COUNTIFS(DELTA!RANK,"4CL",DELTA!NATURE,"CLEANLINESS OF ROOM",DELTA!REMARKS,"ONGOING")</f>
        <v>0</v>
      </c>
      <c r="AB18" s="16"/>
      <c r="AC18" s="58" t="s">
        <v>28</v>
      </c>
      <c r="AD18" s="52">
        <f>COUNTIFS(ECHO!RANK,"1CL",ECHO!NATURE,"CLEANLINESS OF ROOM",ECHO!M:M,"&gt;0")</f>
        <v>0</v>
      </c>
      <c r="AE18" s="52">
        <f>COUNTIFS(ECHO!RANK,"2CL",ECHO!NATURE,"CLEANLINESS OF ROOM",ECHO!M:M,"&gt;0")</f>
        <v>0</v>
      </c>
      <c r="AF18" s="52">
        <f>COUNTIFS(ECHO!RANK,"3CL",ECHO!NATURE,"CLEANLINESS OF ROOM",ECHO!M:M,"&gt;0")</f>
        <v>0</v>
      </c>
      <c r="AG18" s="52">
        <f>COUNTIFS(ECHO!RANK,"4CL",ECHO!NATURE,"CLEANLINESS OF ROOM",ECHO!REMARKS,"ONGOING")</f>
        <v>0</v>
      </c>
      <c r="AH18" s="16"/>
      <c r="AI18" s="58" t="s">
        <v>28</v>
      </c>
      <c r="AJ18" s="52">
        <f>COUNTIFS(FOXTROT!RANK,"1CL",FOXTROT!NATURE,"CLEANLINESS OF ROOM",FOXTROT!N:N,"&gt;0")</f>
        <v>0</v>
      </c>
      <c r="AK18" s="52">
        <f>COUNTIFS(FOXTROT!RANK,"2CL",FOXTROT!NATURE,"CLEANLINESS OF ROOM",FOXTROT!N:N,"&gt;0")</f>
        <v>0</v>
      </c>
      <c r="AL18" s="52">
        <f>COUNTIFS(FOXTROT!RANK,"3CL",FOXTROT!NATURE,"CLEANLINESS OF ROOM",FOXTROT!N:N,"&gt;0")</f>
        <v>0</v>
      </c>
      <c r="AM18" s="52">
        <f>COUNTIFS(FOXTROT!RANK,"4CL",FOXTROT!NATURE,"CLEANLINESS OF ROOM",FOXTROT!REMARKS,"ONGOING")</f>
        <v>0</v>
      </c>
      <c r="AN18" s="11"/>
      <c r="AO18" s="59" t="s">
        <v>28</v>
      </c>
      <c r="AP18" s="52">
        <f>COUNTIFS(GOLF!RANK,"1CL",GOLF!NATURE,"CLEANLINESS OF ROOM",GOLF!N:N,"&gt;0")</f>
        <v>0</v>
      </c>
      <c r="AQ18" s="52">
        <f>COUNTIFS(GOLF!RANK,"2CL",GOLF!NATURE,"CLEANLINESS OF ROOM",GOLF!N:N,"&gt;0")</f>
        <v>0</v>
      </c>
      <c r="AR18" s="52">
        <f>COUNTIFS(GOLF!RANK,"3CL",GOLF!NATURE,"CLEANLINESS OF ROOM",GOLF!N:N,"&gt;0")</f>
        <v>0</v>
      </c>
      <c r="AS18" s="52">
        <f>COUNTIFS(GOLF!RANK,"4CL",GOLF!NATURE,"CLEANLINESS OF ROOM",GOLF!REMARKS,"ONGOING")</f>
        <v>0</v>
      </c>
      <c r="AT18" s="16"/>
      <c r="AU18" s="58" t="s">
        <v>28</v>
      </c>
      <c r="AV18" s="52">
        <f>COUNTIFS(HAWK!RANK,"1CL",HAWK!NATURE,"CLEANLINESS OF ROOM",HAWK!N:N,"&gt;0")</f>
        <v>0</v>
      </c>
      <c r="AW18" s="52">
        <f>COUNTIFS(HAWK!RANK,"2CL",HAWK!NATURE,"CLEANLINESS OF ROOM",HAWK!N:N,"&gt;0")</f>
        <v>0</v>
      </c>
      <c r="AX18" s="52">
        <f>COUNTIFS(HAWK!RANK,"3CL",HAWK!NATURE,"CLEANLINESS OF ROOM",HAWK!N:N,"&gt;0")</f>
        <v>0</v>
      </c>
      <c r="AY18" s="52">
        <f>COUNTIFS(HAWK!RANK,"4CL",HAWK!NATURE,"CLEANLINESS OF ROOM",HAWK!REMARKS,"ONGOING")</f>
        <v>0</v>
      </c>
      <c r="AZ18" s="54"/>
      <c r="BA18" s="59" t="s">
        <v>28</v>
      </c>
      <c r="BB18" s="48">
        <f>COUNTIFS(#REF!,"1CL",#REF!,"CLEANLINESS OF ROOM",#REF!,"ONGOING")</f>
        <v>0</v>
      </c>
      <c r="BC18" s="48">
        <f>COUNTIFS(#REF!,"2CL",#REF!,"CLEANLINESS OF ROOM",#REF!,"ONGOING")</f>
        <v>0</v>
      </c>
      <c r="BD18" s="48">
        <f>COUNTIFS(#REF!,"3CL",#REF!,"CLEANLINESS OF ROOM",#REF!,"ONGOING")</f>
        <v>0</v>
      </c>
      <c r="BE18" s="48">
        <f>COUNTIFS(#REF!,"4CL",#REF!,"CLEANLINESS OF ROOM",#REF!,"ONGOING")</f>
        <v>0</v>
      </c>
      <c r="BF18" s="54"/>
      <c r="BG18" s="54"/>
      <c r="BH18" s="54"/>
      <c r="BI18" s="54"/>
      <c r="BJ18" s="54"/>
      <c r="BK18" s="54"/>
    </row>
    <row r="19">
      <c r="A19" s="11"/>
      <c r="B19" s="11"/>
      <c r="C19" s="24"/>
      <c r="D19" s="24"/>
      <c r="E19" s="56" t="s">
        <v>29</v>
      </c>
      <c r="F19" s="48">
        <f>COUNTIFS(RANK,"1CL",NATURE,"UNIFORM",ALFA!N:N,"&gt;0")</f>
        <v>0</v>
      </c>
      <c r="G19" s="55">
        <f>COUNTIFS(RANK,"2CL",NATURE,"UNIFORM",ALFA!N:N,"&gt;0")</f>
        <v>0</v>
      </c>
      <c r="H19" s="48">
        <f>COUNTIFS(RANK,"3CL",NATURE,"UNIFORM",ALFA!N:N,"&gt;0")</f>
        <v>0</v>
      </c>
      <c r="I19" s="48">
        <f>COUNTIFS(RANK,"4CL",NATURE,"UNIFORM",REMARKS,"ONGOING")</f>
        <v>0</v>
      </c>
      <c r="J19" s="11"/>
      <c r="K19" s="56" t="s">
        <v>29</v>
      </c>
      <c r="L19" s="48">
        <f>COUNTIFS(BRAVO!RANK,"1CL",BRAVO!NATURE,"UNIFORM",BRAVO!N:N,"&gt;0")</f>
        <v>0</v>
      </c>
      <c r="M19" s="48">
        <f>COUNTIFS(BRAVO!RANK,"2CL",BRAVO!NATURE,"UNIFORM",BRAVO!N:N,"&gt;0")</f>
        <v>0</v>
      </c>
      <c r="N19" s="48">
        <f>COUNTIFS(BRAVO!RANK,"3CL",BRAVO!NATURE,"UNIFORM",BRAVO!N:N,"&gt;0")</f>
        <v>0</v>
      </c>
      <c r="O19" s="48">
        <f>COUNTIFS(BRAVO!RANK,"4CL",BRAVO!NATURE,"UNIFORM",BRAVO!REMARKS,"ONGOING")</f>
        <v>0</v>
      </c>
      <c r="P19" s="11"/>
      <c r="Q19" s="57" t="s">
        <v>29</v>
      </c>
      <c r="R19" s="48">
        <f>COUNTIFS(CHARLIE!RANK,"1CL",CHARLIE!NATURE,"UNIFORM",CHARLIE!N:N,"&gt;0")</f>
        <v>0</v>
      </c>
      <c r="S19" s="48">
        <f>COUNTIFS(CHARLIE!RANK,"2CL",CHARLIE!NATURE,"UNIFORM",CHARLIE!N:N,"&gt;0")</f>
        <v>0</v>
      </c>
      <c r="T19" s="48">
        <f>COUNTIFS(CHARLIE!RANK,"3CL",CHARLIE!NATURE,"UNIFORM",CHARLIE!N:N,"&gt;0")</f>
        <v>0</v>
      </c>
      <c r="U19" s="48">
        <f>COUNTIFS(CHARLIE!RANK,"4CL",CHARLIE!NATURE,"UNIFORM",CHARLIE!REMARKS,"ONGOING")</f>
        <v>0</v>
      </c>
      <c r="V19" s="16"/>
      <c r="W19" s="58" t="s">
        <v>29</v>
      </c>
      <c r="X19" s="52">
        <f>COUNTIFS(DELTA!RANK,"1CL",DELTA!NATURE,"UNIFORM",DELTA!N:N,"&gt;0")</f>
        <v>0</v>
      </c>
      <c r="Y19" s="52">
        <f>COUNTIFS(DELTA!RANK,"2CL",DELTA!NATURE,"UNIFORM",DELTA!N:N,"&gt;0")</f>
        <v>0</v>
      </c>
      <c r="Z19" s="52">
        <f>COUNTIFS(DELTA!RANK,"3CL",DELTA!NATURE,"UNIFORM",DELTA!N:N,"&gt;0")</f>
        <v>0</v>
      </c>
      <c r="AA19" s="52">
        <f>COUNTIFS(DELTA!RANK,"4CL",DELTA!NATURE,"UNIFORM",DELTA!REMARKS,"ONGOING")</f>
        <v>0</v>
      </c>
      <c r="AB19" s="16"/>
      <c r="AC19" s="58" t="s">
        <v>29</v>
      </c>
      <c r="AD19" s="52">
        <f>COUNTIFS(ECHO!RANK,"1CL",ECHO!NATURE,"UNIFORM",ECHO!M:M,"&gt;0")</f>
        <v>0</v>
      </c>
      <c r="AE19" s="52">
        <f>COUNTIFS(ECHO!RANK,"2CL",ECHO!NATURE,"UNIFORM",ECHO!M:M,"&gt;0")</f>
        <v>0</v>
      </c>
      <c r="AF19" s="52">
        <f>COUNTIFS(ECHO!RANK,"3CL",ECHO!NATURE,"UNIFORM",ECHO!M:M,"&gt;0")</f>
        <v>0</v>
      </c>
      <c r="AG19" s="52">
        <f>COUNTIFS(ECHO!RANK,"4CL",ECHO!NATURE,"UNIFORM",ECHO!REMARKS,"ONGOING")</f>
        <v>0</v>
      </c>
      <c r="AH19" s="16"/>
      <c r="AI19" s="58" t="s">
        <v>29</v>
      </c>
      <c r="AJ19" s="52">
        <f>COUNTIFS(FOXTROT!RANK,"1CL",FOXTROT!NATURE,"UNIFORM",FOXTROT!N:N,"&gt;0")</f>
        <v>0</v>
      </c>
      <c r="AK19" s="52">
        <f>COUNTIFS(FOXTROT!RANK,"2CL",FOXTROT!NATURE,"UNIFORM",FOXTROT!N:N,"&gt;0")</f>
        <v>0</v>
      </c>
      <c r="AL19" s="52">
        <f>COUNTIFS(FOXTROT!RANK,"3CL",FOXTROT!NATURE,"UNIFORM",FOXTROT!N:N,"&gt;0")</f>
        <v>0</v>
      </c>
      <c r="AM19" s="52">
        <f>COUNTIFS(FOXTROT!RANK,"4CL",FOXTROT!NATURE,"UNIFORM",FOXTROT!REMARKS,"ONGOING")</f>
        <v>0</v>
      </c>
      <c r="AN19" s="11"/>
      <c r="AO19" s="59" t="s">
        <v>29</v>
      </c>
      <c r="AP19" s="52">
        <f>COUNTIFS(GOLF!RANK,"1CL",GOLF!NATURE,"UNIFORM",GOLF!N:N,"&gt;0")</f>
        <v>0</v>
      </c>
      <c r="AQ19" s="52">
        <f>COUNTIFS(GOLF!RANK,"2CL",GOLF!NATURE,"UNIFORM",GOLF!N:N,"&gt;0")</f>
        <v>0</v>
      </c>
      <c r="AR19" s="52">
        <f>COUNTIFS(GOLF!RANK,"3CL",GOLF!NATURE,"UNIFORM",GOLF!N:N,"&gt;0")</f>
        <v>0</v>
      </c>
      <c r="AS19" s="52">
        <f>COUNTIFS(GOLF!RANK,"4CL",GOLF!NATURE,"UNIFORM",GOLF!REMARKS,"ONGOING")</f>
        <v>0</v>
      </c>
      <c r="AT19" s="16"/>
      <c r="AU19" s="58" t="s">
        <v>29</v>
      </c>
      <c r="AV19" s="52">
        <f>COUNTIFS(HAWK!RANK,"1CL",HAWK!NATURE,"UNIFORM",HAWK!N:N,"&gt;0")</f>
        <v>0</v>
      </c>
      <c r="AW19" s="52">
        <f>COUNTIFS(HAWK!RANK,"2CL",HAWK!NATURE,"UNIFORM",HAWK!N:N,"&gt;0")</f>
        <v>0</v>
      </c>
      <c r="AX19" s="52">
        <f>COUNTIFS(HAWK!RANK,"3CL",HAWK!NATURE,"UNIFORM",HAWK!N:N,"&gt;0")</f>
        <v>0</v>
      </c>
      <c r="AY19" s="52">
        <f>COUNTIFS(HAWK!RANK,"4CL",HAWK!NATURE,"UNIFORM",HAWK!REMARKS,"ONGOING")</f>
        <v>0</v>
      </c>
      <c r="AZ19" s="54"/>
      <c r="BA19" s="59" t="s">
        <v>29</v>
      </c>
      <c r="BB19" s="48">
        <f>COUNTIFS(#REF!,"1CL",#REF!,"UNIFORM",#REF!,"ONGOING")</f>
        <v>0</v>
      </c>
      <c r="BC19" s="48">
        <f>COUNTIFS(#REF!,"2CL",#REF!,"UNIFORM",#REF!,"ONGOING")</f>
        <v>0</v>
      </c>
      <c r="BD19" s="48">
        <f>COUNTIFS(#REF!,"3CL",#REF!,"UNIFORM",#REF!,"ONGOING")</f>
        <v>0</v>
      </c>
      <c r="BE19" s="48">
        <f>COUNTIFS(#REF!,"4CL",#REF!,"UNIFORM",#REF!,"ONGOING")</f>
        <v>0</v>
      </c>
      <c r="BF19" s="54"/>
      <c r="BG19" s="54"/>
      <c r="BH19" s="54"/>
      <c r="BI19" s="54"/>
      <c r="BJ19" s="54"/>
      <c r="BK19" s="54"/>
    </row>
    <row r="20">
      <c r="A20" s="11"/>
      <c r="B20" s="11"/>
      <c r="C20" s="24"/>
      <c r="D20" s="24"/>
      <c r="E20" s="61" t="s">
        <v>30</v>
      </c>
      <c r="F20" s="62">
        <f t="shared" ref="F20:I20" si="1">SUM(F10:F19)</f>
        <v>0</v>
      </c>
      <c r="G20" s="62">
        <f t="shared" si="1"/>
        <v>4</v>
      </c>
      <c r="H20" s="62">
        <f t="shared" si="1"/>
        <v>2</v>
      </c>
      <c r="I20" s="62">
        <f t="shared" si="1"/>
        <v>0</v>
      </c>
      <c r="J20" s="11"/>
      <c r="K20" s="61" t="s">
        <v>30</v>
      </c>
      <c r="L20" s="63">
        <f>SUM(L10:L18)</f>
        <v>0</v>
      </c>
      <c r="M20" s="62">
        <f t="shared" ref="M20:O20" si="2">SUM(M10:M19)</f>
        <v>0</v>
      </c>
      <c r="N20" s="62">
        <f t="shared" si="2"/>
        <v>0</v>
      </c>
      <c r="O20" s="62">
        <f t="shared" si="2"/>
        <v>0</v>
      </c>
      <c r="P20" s="11"/>
      <c r="Q20" s="64" t="s">
        <v>30</v>
      </c>
      <c r="R20" s="65">
        <f t="shared" ref="R20:U20" si="3">sum(R10:R19)</f>
        <v>3</v>
      </c>
      <c r="S20" s="65">
        <f t="shared" si="3"/>
        <v>5</v>
      </c>
      <c r="T20" s="65">
        <f t="shared" si="3"/>
        <v>16</v>
      </c>
      <c r="U20" s="65">
        <f t="shared" si="3"/>
        <v>0</v>
      </c>
      <c r="V20" s="16"/>
      <c r="W20" s="66" t="s">
        <v>30</v>
      </c>
      <c r="X20" s="65">
        <f t="shared" ref="X20:AA20" si="4">SUM(X10:X19)</f>
        <v>1</v>
      </c>
      <c r="Y20" s="65">
        <f t="shared" si="4"/>
        <v>4</v>
      </c>
      <c r="Z20" s="65">
        <f t="shared" si="4"/>
        <v>7</v>
      </c>
      <c r="AA20" s="65">
        <f t="shared" si="4"/>
        <v>3</v>
      </c>
      <c r="AB20" s="16"/>
      <c r="AC20" s="66" t="s">
        <v>30</v>
      </c>
      <c r="AD20" s="65">
        <f t="shared" ref="AD20:AG20" si="5">SUm(AD10:AD19)</f>
        <v>0</v>
      </c>
      <c r="AE20" s="65">
        <f t="shared" si="5"/>
        <v>2</v>
      </c>
      <c r="AF20" s="65">
        <f t="shared" si="5"/>
        <v>0</v>
      </c>
      <c r="AG20" s="65">
        <f t="shared" si="5"/>
        <v>0</v>
      </c>
      <c r="AH20" s="16"/>
      <c r="AI20" s="66" t="s">
        <v>30</v>
      </c>
      <c r="AJ20" s="65">
        <f t="shared" ref="AJ20:AM20" si="6">SUM(AJ10:AJ19)</f>
        <v>0</v>
      </c>
      <c r="AK20" s="65">
        <f t="shared" si="6"/>
        <v>3</v>
      </c>
      <c r="AL20" s="65">
        <f t="shared" si="6"/>
        <v>0</v>
      </c>
      <c r="AM20" s="65">
        <f t="shared" si="6"/>
        <v>8</v>
      </c>
      <c r="AN20" s="11"/>
      <c r="AO20" s="67" t="s">
        <v>30</v>
      </c>
      <c r="AP20" s="62">
        <f t="shared" ref="AP20:AS20" si="7">Sum(AP10:AP19)</f>
        <v>0</v>
      </c>
      <c r="AQ20" s="62">
        <f t="shared" si="7"/>
        <v>0</v>
      </c>
      <c r="AR20" s="62">
        <f t="shared" si="7"/>
        <v>0</v>
      </c>
      <c r="AS20" s="62">
        <f t="shared" si="7"/>
        <v>0</v>
      </c>
      <c r="AT20" s="16"/>
      <c r="AU20" s="66" t="s">
        <v>30</v>
      </c>
      <c r="AV20" s="65">
        <f t="shared" ref="AV20:AY20" si="8">SUM(AV10:AV19)</f>
        <v>0</v>
      </c>
      <c r="AW20" s="65">
        <f t="shared" si="8"/>
        <v>1</v>
      </c>
      <c r="AX20" s="65">
        <f t="shared" si="8"/>
        <v>1</v>
      </c>
      <c r="AY20" s="65">
        <f t="shared" si="8"/>
        <v>2</v>
      </c>
      <c r="AZ20" s="54"/>
      <c r="BA20" s="67" t="s">
        <v>30</v>
      </c>
      <c r="BB20" s="62">
        <f t="shared" ref="BB20:BE20" si="9">SUM(BB10:BB19)</f>
        <v>0</v>
      </c>
      <c r="BC20" s="62">
        <f t="shared" si="9"/>
        <v>0</v>
      </c>
      <c r="BD20" s="62">
        <f t="shared" si="9"/>
        <v>0</v>
      </c>
      <c r="BE20" s="62">
        <f t="shared" si="9"/>
        <v>0</v>
      </c>
      <c r="BF20" s="54"/>
      <c r="BG20" s="54"/>
      <c r="BH20" s="54"/>
      <c r="BI20" s="54"/>
      <c r="BJ20" s="54"/>
      <c r="BK20" s="54"/>
    </row>
    <row r="21">
      <c r="A21" s="11"/>
      <c r="B21" s="11"/>
      <c r="C21" s="24"/>
      <c r="D21" s="24"/>
      <c r="E21" s="68"/>
      <c r="F21" s="68"/>
      <c r="G21" s="68"/>
      <c r="H21" s="68"/>
      <c r="I21" s="68"/>
      <c r="J21" s="11"/>
      <c r="K21" s="68"/>
      <c r="L21" s="68"/>
      <c r="M21" s="68"/>
      <c r="N21" s="68"/>
      <c r="O21" s="68"/>
      <c r="P21" s="11"/>
      <c r="Q21" s="68"/>
      <c r="R21" s="9"/>
      <c r="S21" s="9"/>
      <c r="T21" s="9"/>
      <c r="U21" s="9"/>
      <c r="V21" s="16"/>
      <c r="W21" s="9"/>
      <c r="X21" s="9"/>
      <c r="Y21" s="9"/>
      <c r="Z21" s="9"/>
      <c r="AA21" s="9"/>
      <c r="AB21" s="16"/>
      <c r="AC21" s="9"/>
      <c r="AD21" s="9"/>
      <c r="AE21" s="9"/>
      <c r="AF21" s="9"/>
      <c r="AG21" s="9"/>
      <c r="AH21" s="16"/>
      <c r="AI21" s="9"/>
      <c r="AJ21" s="9"/>
      <c r="AK21" s="9"/>
      <c r="AL21" s="9"/>
      <c r="AM21" s="9"/>
      <c r="AN21" s="11"/>
      <c r="AO21" s="68"/>
      <c r="AP21" s="68"/>
      <c r="AQ21" s="68"/>
      <c r="AR21" s="68"/>
      <c r="AS21" s="68"/>
      <c r="AT21" s="16"/>
      <c r="AU21" s="9"/>
      <c r="AV21" s="9"/>
      <c r="AW21" s="9"/>
      <c r="AX21" s="9"/>
      <c r="AY21" s="9"/>
      <c r="AZ21" s="54"/>
      <c r="BA21" s="68"/>
      <c r="BB21" s="68"/>
      <c r="BC21" s="68"/>
      <c r="BD21" s="68"/>
      <c r="BE21" s="68"/>
      <c r="BF21" s="54"/>
      <c r="BG21" s="54"/>
      <c r="BH21" s="54"/>
      <c r="BI21" s="54"/>
      <c r="BJ21" s="54"/>
      <c r="BK21" s="54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69"/>
      <c r="R22" s="69"/>
      <c r="S22" s="69"/>
      <c r="T22" s="69"/>
      <c r="U22" s="69"/>
      <c r="V22" s="70"/>
      <c r="W22" s="69"/>
      <c r="X22" s="69"/>
      <c r="Y22" s="69"/>
      <c r="Z22" s="69"/>
      <c r="AA22" s="69"/>
      <c r="AB22" s="70"/>
      <c r="AC22" s="69"/>
      <c r="AD22" s="69"/>
      <c r="AE22" s="69"/>
      <c r="AF22" s="69"/>
      <c r="AG22" s="69"/>
      <c r="AH22" s="70"/>
      <c r="AI22" s="69"/>
      <c r="AJ22" s="69"/>
      <c r="AK22" s="69"/>
      <c r="AL22" s="69"/>
      <c r="AM22" s="69"/>
      <c r="AN22" s="11"/>
      <c r="AO22" s="71"/>
      <c r="AP22" s="71"/>
      <c r="AQ22" s="71"/>
      <c r="AR22" s="71"/>
      <c r="AS22" s="71"/>
      <c r="AT22" s="70"/>
      <c r="AU22" s="69"/>
      <c r="AV22" s="69"/>
      <c r="AW22" s="69"/>
      <c r="AX22" s="69"/>
      <c r="AY22" s="69"/>
      <c r="AZ22" s="54"/>
      <c r="BA22" s="71"/>
      <c r="BB22" s="71"/>
      <c r="BC22" s="71"/>
      <c r="BD22" s="71"/>
      <c r="BE22" s="71"/>
      <c r="BF22" s="54"/>
      <c r="BG22" s="54"/>
      <c r="BH22" s="54"/>
      <c r="BI22" s="54"/>
      <c r="BJ22" s="54"/>
      <c r="BK22" s="54"/>
    </row>
    <row r="23" ht="13.5" customHeight="1">
      <c r="A23" s="11"/>
      <c r="B23" s="11"/>
      <c r="C23" s="11"/>
      <c r="D23" s="11"/>
      <c r="E23" s="72" t="s">
        <v>31</v>
      </c>
      <c r="F23" s="2"/>
      <c r="G23" s="2"/>
      <c r="H23" s="2"/>
      <c r="I23" s="3"/>
      <c r="J23" s="11"/>
      <c r="K23" s="72" t="s">
        <v>31</v>
      </c>
      <c r="L23" s="2"/>
      <c r="M23" s="2"/>
      <c r="N23" s="2"/>
      <c r="O23" s="3"/>
      <c r="P23" s="11"/>
      <c r="Q23" s="26" t="s">
        <v>31</v>
      </c>
      <c r="U23" s="6"/>
      <c r="V23" s="16"/>
      <c r="W23" s="27" t="s">
        <v>31</v>
      </c>
      <c r="AA23" s="6"/>
      <c r="AB23" s="16"/>
      <c r="AC23" s="27" t="s">
        <v>31</v>
      </c>
      <c r="AG23" s="6"/>
      <c r="AH23" s="16"/>
      <c r="AI23" s="27" t="s">
        <v>31</v>
      </c>
      <c r="AM23" s="6"/>
      <c r="AN23" s="11"/>
      <c r="AO23" s="28" t="s">
        <v>31</v>
      </c>
      <c r="AP23" s="2"/>
      <c r="AQ23" s="2"/>
      <c r="AR23" s="2"/>
      <c r="AS23" s="3"/>
      <c r="AT23" s="16"/>
      <c r="AU23" s="27" t="s">
        <v>31</v>
      </c>
      <c r="AY23" s="6"/>
      <c r="AZ23" s="29"/>
      <c r="BA23" s="28" t="s">
        <v>31</v>
      </c>
      <c r="BB23" s="2"/>
      <c r="BC23" s="2"/>
      <c r="BD23" s="2"/>
      <c r="BE23" s="3"/>
      <c r="BF23" s="29"/>
      <c r="BG23" s="29"/>
      <c r="BH23" s="29"/>
      <c r="BI23" s="29"/>
      <c r="BJ23" s="29"/>
      <c r="BK23" s="29"/>
    </row>
    <row r="24" ht="13.5" customHeight="1">
      <c r="A24" s="11"/>
      <c r="B24" s="11"/>
      <c r="C24" s="11"/>
      <c r="D24" s="11"/>
      <c r="E24" s="7"/>
      <c r="F24" s="8"/>
      <c r="G24" s="8"/>
      <c r="H24" s="8"/>
      <c r="I24" s="9"/>
      <c r="J24" s="11"/>
      <c r="K24" s="7"/>
      <c r="L24" s="8"/>
      <c r="M24" s="8"/>
      <c r="N24" s="8"/>
      <c r="O24" s="9"/>
      <c r="P24" s="11"/>
      <c r="Q24" s="7"/>
      <c r="R24" s="8"/>
      <c r="S24" s="8"/>
      <c r="T24" s="8"/>
      <c r="U24" s="9"/>
      <c r="V24" s="16"/>
      <c r="W24" s="8"/>
      <c r="X24" s="8"/>
      <c r="Y24" s="8"/>
      <c r="Z24" s="8"/>
      <c r="AA24" s="9"/>
      <c r="AB24" s="16"/>
      <c r="AC24" s="8"/>
      <c r="AD24" s="8"/>
      <c r="AE24" s="8"/>
      <c r="AF24" s="8"/>
      <c r="AG24" s="9"/>
      <c r="AH24" s="16"/>
      <c r="AI24" s="8"/>
      <c r="AJ24" s="8"/>
      <c r="AK24" s="8"/>
      <c r="AL24" s="8"/>
      <c r="AM24" s="9"/>
      <c r="AN24" s="11"/>
      <c r="AO24" s="7"/>
      <c r="AP24" s="8"/>
      <c r="AQ24" s="8"/>
      <c r="AR24" s="8"/>
      <c r="AS24" s="9"/>
      <c r="AT24" s="16"/>
      <c r="AU24" s="8"/>
      <c r="AV24" s="8"/>
      <c r="AW24" s="8"/>
      <c r="AX24" s="8"/>
      <c r="AY24" s="9"/>
      <c r="AZ24" s="29"/>
      <c r="BA24" s="7"/>
      <c r="BB24" s="8"/>
      <c r="BC24" s="8"/>
      <c r="BD24" s="8"/>
      <c r="BE24" s="9"/>
      <c r="BF24" s="29"/>
      <c r="BG24" s="29"/>
      <c r="BH24" s="29"/>
      <c r="BI24" s="29"/>
      <c r="BJ24" s="29"/>
      <c r="BK24" s="29"/>
    </row>
    <row r="25" ht="33.0" customHeight="1">
      <c r="A25" s="73"/>
      <c r="B25" s="73"/>
      <c r="C25" s="11"/>
      <c r="D25" s="11"/>
      <c r="E25" s="30" t="s">
        <v>32</v>
      </c>
      <c r="F25" s="31" t="s">
        <v>15</v>
      </c>
      <c r="G25" s="32" t="s">
        <v>16</v>
      </c>
      <c r="H25" s="33" t="s">
        <v>17</v>
      </c>
      <c r="I25" s="34" t="s">
        <v>18</v>
      </c>
      <c r="J25" s="11"/>
      <c r="K25" s="30" t="s">
        <v>32</v>
      </c>
      <c r="L25" s="31" t="s">
        <v>15</v>
      </c>
      <c r="M25" s="32" t="s">
        <v>16</v>
      </c>
      <c r="N25" s="33" t="s">
        <v>17</v>
      </c>
      <c r="O25" s="34" t="s">
        <v>18</v>
      </c>
      <c r="P25" s="11"/>
      <c r="Q25" s="35" t="s">
        <v>32</v>
      </c>
      <c r="R25" s="36" t="s">
        <v>15</v>
      </c>
      <c r="S25" s="37" t="s">
        <v>16</v>
      </c>
      <c r="T25" s="38" t="s">
        <v>17</v>
      </c>
      <c r="U25" s="39" t="s">
        <v>18</v>
      </c>
      <c r="V25" s="16"/>
      <c r="W25" s="40" t="s">
        <v>32</v>
      </c>
      <c r="X25" s="36" t="s">
        <v>15</v>
      </c>
      <c r="Y25" s="37" t="s">
        <v>16</v>
      </c>
      <c r="Z25" s="38" t="s">
        <v>17</v>
      </c>
      <c r="AA25" s="39" t="s">
        <v>18</v>
      </c>
      <c r="AB25" s="16"/>
      <c r="AC25" s="40" t="s">
        <v>32</v>
      </c>
      <c r="AD25" s="36" t="s">
        <v>15</v>
      </c>
      <c r="AE25" s="37" t="s">
        <v>16</v>
      </c>
      <c r="AF25" s="38" t="s">
        <v>17</v>
      </c>
      <c r="AG25" s="39" t="s">
        <v>18</v>
      </c>
      <c r="AH25" s="16"/>
      <c r="AI25" s="40" t="s">
        <v>32</v>
      </c>
      <c r="AJ25" s="36" t="s">
        <v>15</v>
      </c>
      <c r="AK25" s="37" t="s">
        <v>16</v>
      </c>
      <c r="AL25" s="38" t="s">
        <v>17</v>
      </c>
      <c r="AM25" s="39" t="s">
        <v>18</v>
      </c>
      <c r="AN25" s="11"/>
      <c r="AO25" s="41" t="s">
        <v>32</v>
      </c>
      <c r="AP25" s="42" t="s">
        <v>15</v>
      </c>
      <c r="AQ25" s="43" t="s">
        <v>16</v>
      </c>
      <c r="AR25" s="44" t="s">
        <v>17</v>
      </c>
      <c r="AS25" s="45" t="s">
        <v>18</v>
      </c>
      <c r="AT25" s="16"/>
      <c r="AU25" s="40" t="s">
        <v>32</v>
      </c>
      <c r="AV25" s="36" t="s">
        <v>15</v>
      </c>
      <c r="AW25" s="37" t="s">
        <v>16</v>
      </c>
      <c r="AX25" s="38" t="s">
        <v>17</v>
      </c>
      <c r="AY25" s="39" t="s">
        <v>18</v>
      </c>
      <c r="AZ25" s="46"/>
      <c r="BA25" s="41" t="s">
        <v>32</v>
      </c>
      <c r="BB25" s="42" t="s">
        <v>15</v>
      </c>
      <c r="BC25" s="43" t="s">
        <v>16</v>
      </c>
      <c r="BD25" s="44" t="s">
        <v>17</v>
      </c>
      <c r="BE25" s="45" t="s">
        <v>18</v>
      </c>
      <c r="BF25" s="46"/>
      <c r="BG25" s="46"/>
      <c r="BH25" s="46"/>
      <c r="BI25" s="46"/>
      <c r="BJ25" s="46"/>
      <c r="BK25" s="46"/>
    </row>
    <row r="26">
      <c r="A26" s="11"/>
      <c r="B26" s="11"/>
      <c r="C26" s="11"/>
      <c r="D26" s="11"/>
      <c r="E26" s="74" t="s">
        <v>33</v>
      </c>
      <c r="F26" s="75">
        <f>COUNTIFS(CLASS,"I",RANK,"1CL",REMARKS, "ONGOING/CONFINED")+COUNTIFS(CLASS,"I", RANK,"1CL",REMARKS, "ONGOING")</f>
        <v>1</v>
      </c>
      <c r="G26" s="75">
        <f>COUNTIFS(CLASS,"I",RANK,"2CL",REMARKS, "ONGOING/CONFINED")+COUNTIFS(CLASS,"I", RANK,"2CL",REMARKS, "ONGOING")</f>
        <v>0</v>
      </c>
      <c r="H26" s="75">
        <f>COUNTIFS(CLASS,"I",RANK,"3CL",REMARKS, "ONGOING/CONFINED")+COUNTIFS(CLASS,"I", RANK,"3CL",REMARKS, "ONGOING")</f>
        <v>0</v>
      </c>
      <c r="I26" s="75">
        <f>COUNTIFS(CLASS,"I",RANK,"4CL",REMARKS,"ONGOING")</f>
        <v>0</v>
      </c>
      <c r="J26" s="11"/>
      <c r="K26" s="74" t="s">
        <v>33</v>
      </c>
      <c r="L26" s="75">
        <f>COUNTIFS(BRAVO!CLASS,"I",BRAVO!RANK,"1CL",BRAVO!REMARKS, "ONGOING/CONFINED")+COUNTIFS(BRAVO!CLASS,"I", BRAVO!RANK,"1CL",BRAVO!REMARKS, "ONGOING")</f>
        <v>0</v>
      </c>
      <c r="M26" s="75">
        <f>COUNTIFS(BRAVO!CLASS,"I",BRAVO!RANK,"2CL",BRAVO!REMARKS, "ONGOING/CONFINED")+COUNTIFS(BRAVO!CLASS,"I", BRAVO!RANK,"2CL",BRAVO!REMARKS, "ONGOING")</f>
        <v>0</v>
      </c>
      <c r="N26" s="75">
        <f>COUNTIFS(BRAVO!CLASS,"I",BRAVO!RANK,"3CL",BRAVO!REMARKS, "ONGOING/CONFINED")+COUNTIFS(BRAVO!CLASS,"I", BRAVO!RANK,"3CL",BRAVO!REMARKS, "ONGOING")</f>
        <v>0</v>
      </c>
      <c r="O26" s="75">
        <f>COUNTIFS(BRAVO!CLASS,"I",BRAVO!RANK,"4CL",BRAVO!REMARKS,"ONGOING")</f>
        <v>0</v>
      </c>
      <c r="P26" s="11"/>
      <c r="Q26" s="76" t="s">
        <v>33</v>
      </c>
      <c r="R26" s="75">
        <f>COUNTIFS(CHARLIE!CLASS,"I",CHARLIE!RANK,"1CL",CHARLIE!REMARKS, "ONGOING/CONFINED")+COUNTIFS(CHARLIE!CLASS,"I", CHARLIE!RANK,"1CL",CHARLIE!REMARKS, "ONGOING")+COUNTIFS(CHARLIE!CLASS,"I", CHARLIE!RANK,"1CL",CHARLIE!REMARKS, "CONFINED")</f>
        <v>0</v>
      </c>
      <c r="S26" s="75">
        <f>COUNTIFS(CHARLIE!CLASS,"I",CHARLIE!RANK,"2CL",CHARLIE!REMARKS, "ONGOING/CONFINED")+COUNTIFS(CHARLIE!CLASS,"I", CHARLIE!RANK,"2CL",CHARLIE!REMARKS, "ONGOING")+COUNTIFS(CHARLIE!CLASS,"I", CHARLIE!RANK,"2CL",CHARLIE!REMARKS, "CONFINED")</f>
        <v>0</v>
      </c>
      <c r="T26" s="75">
        <f>COUNTIFS(CHARLIE!CLASS,"I",CHARLIE!RANK,"3CL",CHARLIE!REMARKS, "ONGOING/CONFINED")+COUNTIFS(CHARLIE!CLASS,"I", CHARLIE!RANK,"3CL",CHARLIE!REMARKS, "ONGOING")+COUNTIFS(CHARLIE!CLASS,"I", CHARLIE!RANK,"3CL",CHARLIE!REMARKS, "CONFINED")</f>
        <v>1</v>
      </c>
      <c r="U26" s="75">
        <f>COUNTIFS(CHARLIE!CLASS,"I",CHARLIE!RANK,"4CL",CHARLIE!REMARKS,"ONGOING")</f>
        <v>0</v>
      </c>
      <c r="V26" s="16"/>
      <c r="W26" s="77" t="s">
        <v>33</v>
      </c>
      <c r="X26" s="75">
        <f>COUNTIFS(DELTA!CLASS,"I",DELTA!RANK,"1CL",DELTA!REMARKS, "ONGOING/CONFINED")+COUNTIFS(DELTA!CLASS,"I", DELTA!RANK,"1CL",DELTA!REMARKS, "ONGOING")+COUNTIFS(DELTA!CLASS,"I", DELTA!RANK,"1CL",DELTA!REMARKS, "CONFINED")</f>
        <v>0</v>
      </c>
      <c r="Y26" s="75">
        <f>COUNTIFS(DELTA!CLASS,"I",DELTA!RANK,"2CL",DELTA!REMARKS, "ONGOING/CONFINED")+COUNTIFS(DELTA!CLASS,"I", DELTA!RANK,"2CL",DELTA!REMARKS, "ONGOING")+COUNTIFS(DELTA!CLASS,"I", DELTA!RANK,"2CL",DELTA!REMARKS, "CONFINED")</f>
        <v>0</v>
      </c>
      <c r="Z26" s="75">
        <f>COUNTIFS(DELTA!CLASS,"I",DELTA!RANK,"3CL",DELTA!REMARKS, "ONGOING/CONFINED")+COUNTIFS(DELTA!CLASS,"I", DELTA!RANK,"3CL",DELTA!REMARKS, "ONGOING")+COUNTIFS(DELTA!CLASS,"I", DELTA!RANK,"3CL",DELTA!REMARKS, "CONFINED")</f>
        <v>0</v>
      </c>
      <c r="AA26" s="75">
        <f>COUNTIFS(DELTA!CLASS,"I",DELTA!RANK,"4CL",DELTA!REMARKS,"ONGOING")</f>
        <v>0</v>
      </c>
      <c r="AB26" s="16"/>
      <c r="AC26" s="77" t="s">
        <v>33</v>
      </c>
      <c r="AD26" s="78">
        <f>COUNTIFS(ECHO!CLASS,"I",ECHO!RANK,"1CL",ECHO!REMARKS, "ONGOING/CONFINED")+COUNTIFS(ECHO!CLASS,"I", ECHO!RANK,"1CL",ECHO!REMARKS, "ONGOING")+COUNTIFS(ECHO!CLASS,"I", ECHO!RANK,"1CL",ECHO!REMARKS, "CONFINED")</f>
        <v>0</v>
      </c>
      <c r="AE26" s="78">
        <f>COUNTIFS(ECHO!CLASS,"I",ECHO!RANK,"2CL",ECHO!REMARKS, "ONGOING/CONFINED")+COUNTIFS(ECHO!CLASS,"I", ECHO!RANK,"2CL",ECHO!REMARKS, "ONGOING")+COUNTIFS(ECHO!CLASS,"I", ECHO!RANK,"2CL",ECHO!REMARKS, "CONFINED")</f>
        <v>0</v>
      </c>
      <c r="AF26" s="78">
        <f>COUNTIFS(ECHO!CLASS,"I",ECHO!RANK,"3CL",ECHO!REMARKS, "ONGOING/CONFINED")+COUNTIFS(ECHO!CLASS,"I", ECHO!RANK,"3CL",ECHO!REMARKS, "ONGOING")+COUNTIFS(ECHO!CLASS,"I", ECHO!RANK,"3CL",ECHO!REMARKS, "CONFINED")</f>
        <v>0</v>
      </c>
      <c r="AG26" s="78">
        <f>COUNTIFS(ECHO!CLASS,"I",ECHO!RANK,"4CL",ECHO!REMARKS,"ONGOING")</f>
        <v>0</v>
      </c>
      <c r="AH26" s="16"/>
      <c r="AI26" s="77" t="s">
        <v>33</v>
      </c>
      <c r="AJ26" s="78">
        <f>COUNTIFS(FOXTROT!CLASS,"I",FOXTROT!RANK,"1CL",FOXTROT!REMARKS, "ONGOING/CONFINED")+COUNTIFS(FOXTROT!CLASS,"I", FOXTROT!RANK,"1CL",FOXTROT!REMARKS, "ONGOING")+COUNTIFS(FOXTROT!CLASS,"I", FOXTROT!RANK,"1CL",FOXTROT!REMARKS, "CONFINED")</f>
        <v>0</v>
      </c>
      <c r="AK26" s="78">
        <f>COUNTIFS(FOXTROT!CLASS,"I",FOXTROT!RANK,"2CL",FOXTROT!REMARKS, "ONGOING/CONFINED")+COUNTIFS(FOXTROT!CLASS,"I", FOXTROT!RANK,"2CL",FOXTROT!REMARKS, "ONGOING")+COUNTIFS(FOXTROT!CLASS,"I", FOXTROT!RANK,"2CL",FOXTROT!REMARKS, "CONFINED")</f>
        <v>0</v>
      </c>
      <c r="AL26" s="78">
        <f>COUNTIFS(FOXTROT!CLASS,"I",FOXTROT!RANK,"3CL",FOXTROT!REMARKS, "ONGOING/CONFINED")+COUNTIFS(FOXTROT!CLASS,"I", FOXTROT!RANK,"3CL",FOXTROT!REMARKS, "ONGOING")+COUNTIFS(FOXTROT!CLASS,"I", FOXTROT!RANK,"3CL",FOXTROT!REMARKS, "CONFINED")</f>
        <v>0</v>
      </c>
      <c r="AM26" s="78">
        <f>COUNTIFS(FOXTROT!CLASS,"I",FOXTROT!RANK,"4CL",FOXTROT!REMARKS,"ONGOING")</f>
        <v>0</v>
      </c>
      <c r="AN26" s="11"/>
      <c r="AO26" s="79" t="s">
        <v>33</v>
      </c>
      <c r="AP26" s="78">
        <f>COUNTIFS(GOLF!CLASS,"I",GOLF!RANK,"3CL",GOLF!REMARKS, "ONGOING/CONFINED")+COUNTIFS(GOLF!CLASS,"I", GOLF!RANK,"3CL",GOLF!REMARKS, "ONGOING")+COUNTIFS(GOLF!CLASS,"I", GOLF!RANK,"3CL",GOLF!REMARKS, "CONFINED")</f>
        <v>0</v>
      </c>
      <c r="AQ26" s="78">
        <f>COUNTIFS(GOLF!CLASS,"I",GOLF!RANK,"2CL",GOLF!REMARKS, "ONGOING/CONFINED")+COUNTIFS(GOLF!CLASS,"I", GOLF!RANK,"2CL",GOLF!REMARKS, "ONGOING")+COUNTIFS(GOLF!CLASS,"I", GOLF!RANK,"2CL",GOLF!REMARKS, "CONFINED")</f>
        <v>0</v>
      </c>
      <c r="AR26" s="78">
        <f>COUNTIFS(GOLF!CLASS,"I",GOLF!RANK,"3CL",GOLF!REMARKS, "ONGOING/CONFINED")+COUNTIFS(GOLF!CLASS,"I", GOLF!RANK,"3CL",GOLF!REMARKS, "ONGOING")+COUNTIFS(GOLF!CLASS,"I", GOLF!RANK,"3CL",GOLF!REMARKS, "CONFINED")</f>
        <v>0</v>
      </c>
      <c r="AS26" s="78">
        <f>COUNTIFS(GOLF!CLASS,"I",GOLF!RANK,"4CL",GOLF!REMARKS,"ONGOING")</f>
        <v>0</v>
      </c>
      <c r="AT26" s="16"/>
      <c r="AU26" s="77" t="s">
        <v>33</v>
      </c>
      <c r="AV26" s="78">
        <f>COUNTIFS(HAWK!CLASS,"I",HAWK!RANK,"1CL",HAWK!REMARKS, "ONGOING/CONFINED")+COUNTIFS(HAWK!CLASS,"I", HAWK!RANK,"1CL",HAWK!REMARKS, "ONGOING")+COUNTIFS(HAWK!CLASS,"I", HAWK!RANK,"1CL",HAWK!REMARKS, "CONFINED")</f>
        <v>0</v>
      </c>
      <c r="AW26" s="78">
        <f>COUNTIFS(HAWK!CLASS,"I",HAWK!RANK,"2CL",HAWK!REMARKS, "ONGOING/CONFINED")+COUNTIFS(HAWK!CLASS,"I", HAWK!RANK,"2CL",HAWK!REMARKS, "ONGOING")+COUNTIFS(HAWK!CLASS,"I", HAWK!RANK,"2CL",HAWK!REMARKS, "CONFINED")</f>
        <v>1</v>
      </c>
      <c r="AX26" s="78">
        <f>COUNTIFS(HAWK!CLASS,"I",HAWK!RANK,"3CL",HAWK!REMARKS, "ONGOING/CONFINED")+COUNTIFS(HAWK!CLASS,"I", HAWK!RANK,"3CL",HAWK!REMARKS, "ONGOING")+COUNTIFS(HAWK!CLASS,"I", HAWK!RANK,"3CL",HAWK!REMARKS, "CONFINED")</f>
        <v>0</v>
      </c>
      <c r="AY26" s="78">
        <f>COUNTIFS(HAWK!CLASS,"I",HAWK!RANK,"4CL",HAWK!REMARKS,"ONGOING")</f>
        <v>0</v>
      </c>
      <c r="AZ26" s="54"/>
      <c r="BA26" s="79" t="s">
        <v>33</v>
      </c>
      <c r="BB26" s="75">
        <f>COUNTIFS(#REF!,"I",#REF!,"1CL",#REF!,"ONGOING")</f>
        <v>0</v>
      </c>
      <c r="BC26" s="75">
        <f>COUNTIFS(#REF!,"I",#REF!,"2CL",#REF!,"ONGOING")</f>
        <v>0</v>
      </c>
      <c r="BD26" s="75">
        <f>COUNTIFS(#REF!,"I",#REF!,"3CL",#REF!,"ONGOING")</f>
        <v>0</v>
      </c>
      <c r="BE26" s="75">
        <f>COUNTIFS(#REF!,"I",#REF!,"4CL",#REF!,"ONGOING")</f>
        <v>0</v>
      </c>
      <c r="BF26" s="54"/>
      <c r="BG26" s="54"/>
      <c r="BH26" s="54"/>
      <c r="BI26" s="54"/>
      <c r="BJ26" s="54"/>
      <c r="BK26" s="54"/>
    </row>
    <row r="27">
      <c r="A27" s="11"/>
      <c r="B27" s="11"/>
      <c r="C27" s="11"/>
      <c r="D27" s="11"/>
      <c r="E27" s="68"/>
      <c r="F27" s="68"/>
      <c r="G27" s="68"/>
      <c r="H27" s="68"/>
      <c r="I27" s="68"/>
      <c r="J27" s="11"/>
      <c r="K27" s="68"/>
      <c r="L27" s="68"/>
      <c r="M27" s="68"/>
      <c r="N27" s="68"/>
      <c r="O27" s="68"/>
      <c r="P27" s="11"/>
      <c r="Q27" s="68"/>
      <c r="R27" s="68"/>
      <c r="S27" s="68"/>
      <c r="T27" s="68"/>
      <c r="U27" s="68"/>
      <c r="V27" s="16"/>
      <c r="W27" s="9"/>
      <c r="X27" s="68"/>
      <c r="Y27" s="68"/>
      <c r="Z27" s="68"/>
      <c r="AA27" s="68"/>
      <c r="AB27" s="16"/>
      <c r="AC27" s="9"/>
      <c r="AD27" s="9"/>
      <c r="AE27" s="9"/>
      <c r="AF27" s="9"/>
      <c r="AG27" s="9"/>
      <c r="AH27" s="16"/>
      <c r="AI27" s="9"/>
      <c r="AJ27" s="9"/>
      <c r="AK27" s="9"/>
      <c r="AL27" s="9"/>
      <c r="AM27" s="9"/>
      <c r="AN27" s="11"/>
      <c r="AO27" s="68"/>
      <c r="AP27" s="9"/>
      <c r="AQ27" s="9"/>
      <c r="AR27" s="9"/>
      <c r="AS27" s="9"/>
      <c r="AT27" s="16"/>
      <c r="AU27" s="9"/>
      <c r="AV27" s="9"/>
      <c r="AW27" s="9"/>
      <c r="AX27" s="9"/>
      <c r="AY27" s="9"/>
      <c r="AZ27" s="54"/>
      <c r="BA27" s="68"/>
      <c r="BB27" s="68"/>
      <c r="BC27" s="68"/>
      <c r="BD27" s="68"/>
      <c r="BE27" s="68"/>
      <c r="BF27" s="54"/>
      <c r="BG27" s="54"/>
      <c r="BH27" s="54"/>
      <c r="BI27" s="54"/>
      <c r="BJ27" s="54"/>
      <c r="BK27" s="54"/>
    </row>
    <row r="28">
      <c r="A28" s="11"/>
      <c r="B28" s="11"/>
      <c r="C28" s="11"/>
      <c r="D28" s="11"/>
      <c r="E28" s="74" t="s">
        <v>34</v>
      </c>
      <c r="F28" s="75">
        <f>COUNTIFS(CLASS,"II",RANK,"1CL",REMARKS, "ONGOING/CONFINED")+COUNTIFS(CLASS,"II", RANK,"1CL",REMARKS, "ONGOING")</f>
        <v>0</v>
      </c>
      <c r="G28" s="80">
        <f>COUNTIFS(CLASS,"II",RANK,"2CL",REMARKS, "ONGOING/CONFINED")+COUNTIFS(CLASS,"II", RANK,"2CL",REMARKS, "ONGOING")</f>
        <v>10</v>
      </c>
      <c r="H28" s="75">
        <f>COUNTIFS(CLASS,"II",RANK,"3CL",REMARKS, "ONGOING/CONFINED")+COUNTIFS(CLASS,"II", RANK,"3CL",REMARKS, "ONGOING")</f>
        <v>3</v>
      </c>
      <c r="I28" s="75">
        <f>COUNTIFS(CLASS,"II",RANK,"4CL",REMARKS,"ONGOING")</f>
        <v>0</v>
      </c>
      <c r="J28" s="11"/>
      <c r="K28" s="74" t="s">
        <v>34</v>
      </c>
      <c r="L28" s="75">
        <f>COUNTIFS(BRAVO!CLASS,"II",BRAVO!RANK,"1CL",BRAVO!REMARKS, "ONGOING/CONFINED")+COUNTIFS(BRAVO!CLASS,"II", BRAVO!RANK,"1CL",BRAVO!REMARKS, "ONGOING")</f>
        <v>0</v>
      </c>
      <c r="M28" s="75">
        <f>COUNTIFS(BRAVO!CLASS,"II",BRAVO!RANK,"2CL",BRAVO!REMARKS, "ONGOING/CONFINED")+COUNTIFS(BRAVO!CLASS,"II", BRAVO!RANK,"2CL",BRAVO!REMARKS, "ONGOING")</f>
        <v>0</v>
      </c>
      <c r="N28" s="75">
        <f>COUNTIFS(BRAVO!CLASS,"II",BRAVO!RANK,"3CL",BRAVO!REMARKS, "ONGOING/CONFINED")+COUNTIFS(BRAVO!CLASS,"II", BRAVO!RANK,"3CL",BRAVO!REMARKS, "ONGOING")</f>
        <v>0</v>
      </c>
      <c r="O28" s="75">
        <f>COUNTIFS(BRAVO!CLASS,"II",BRAVO!RANK,"4CL",BRAVO!REMARKS,"ONGOING")</f>
        <v>0</v>
      </c>
      <c r="P28" s="11"/>
      <c r="Q28" s="76" t="s">
        <v>34</v>
      </c>
      <c r="R28" s="75">
        <f>COUNTIFS(CHARLIE!CLASS,"II",CHARLIE!RANK,"1CL",CHARLIE!REMARKS, "ONGOING/CONFINED")+COUNTIFS(CHARLIE!CLASS,"II", CHARLIE!RANK,"1CL",CHARLIE!REMARKS, "ONGOING")+COUNTIFS(CHARLIE!CLASS,"II", CHARLIE!RANK,"1CL",CHARLIE!REMARKS, "CONFINED")</f>
        <v>0</v>
      </c>
      <c r="S28" s="75">
        <f>COUNTIFS(CHARLIE!CLASS,"II",CHARLIE!RANK,"2CL",CHARLIE!REMARKS, "ONGOING/CONFINED")+COUNTIFS(CHARLIE!CLASS,"II", CHARLIE!RANK,"2CL",CHARLIE!REMARKS, "ONGOING")+COUNTIFS(CHARLIE!CLASS,"II", CHARLIE!RANK,"2CL",CHARLIE!REMARKS, "CONFINED")</f>
        <v>0</v>
      </c>
      <c r="T28" s="75">
        <f>COUNTIFS(CHARLIE!CLASS,"II",CHARLIE!RANK,"3CL",CHARLIE!REMARKS, "ONGOING/CONFINED")+COUNTIFS(CHARLIE!CLASS,"II", CHARLIE!RANK,"3CL",CHARLIE!REMARKS, "ONGOING")+COUNTIFS(CHARLIE!CLASS,"II", CHARLIE!RANK,"3CL",CHARLIE!REMARKS, "CONFINED")</f>
        <v>4</v>
      </c>
      <c r="U28" s="75">
        <f>COUNTIFS(CHARLIE!CLASS,"II",CHARLIE!RANK,"4CL",CHARLIE!REMARKS,"ONGOING")</f>
        <v>0</v>
      </c>
      <c r="V28" s="16"/>
      <c r="W28" s="77" t="s">
        <v>34</v>
      </c>
      <c r="X28" s="75">
        <f>COUNTIFS(DELTA!CLASS,"II",DELTA!RANK,"1CL",DELTA!REMARKS, "ONGOING/CONFINED")+COUNTIFS(DELTA!CLASS,"II", DELTA!RANK,"1CL",DELTA!REMARKS, "ONGOING")+COUNTIFS(DELTA!CLASS,"II", DELTA!RANK,"1CL",DELTA!REMARKS, "CONFINED")</f>
        <v>0</v>
      </c>
      <c r="Y28" s="75">
        <f>COUNTIFS(DELTA!CLASS,"II",DELTA!RANK,"2CL",DELTA!REMARKS, "ONGOING/CONFINED")+COUNTIFS(DELTA!CLASS,"II", DELTA!RANK,"2CL",DELTA!REMARKS, "ONGOING")+COUNTIFS(DELTA!CLASS,"II", DELTA!RANK,"2CL",DELTA!REMARKS, "CONFINED")</f>
        <v>4</v>
      </c>
      <c r="Z28" s="75">
        <f>COUNTIFS(DELTA!CLASS,"II",DELTA!RANK,"3CL",DELTA!REMARKS, "ONGOING/CONFINED")+COUNTIFS(DELTA!CLASS,"II", DELTA!RANK,"3CL",DELTA!REMARKS, "ONGOING")+COUNTIFS(DELTA!CLASS,"II", DELTA!RANK,"3CL",DELTA!REMARKS, "CONFINED")</f>
        <v>0</v>
      </c>
      <c r="AA28" s="75">
        <f>COUNTIFS(DELTA!CLASS,"II",DELTA!RANK,"4CL",DELTA!REMARKS,"ONGOING")</f>
        <v>0</v>
      </c>
      <c r="AB28" s="16"/>
      <c r="AC28" s="77" t="s">
        <v>34</v>
      </c>
      <c r="AD28" s="78">
        <f>COUNTIFS(ECHO!CLASS,"II",ECHO!RANK,"1CL",ECHO!REMARKS, "ONGOING/CONFINED")+COUNTIFS(ECHO!CLASS,"II", ECHO!RANK,"1CL",ECHO!REMARKS, "ONGOING")+COUNTIFS(ECHO!CLASS,"II", ECHO!RANK,"1CL",ECHO!REMARKS, "CONFINED")</f>
        <v>1</v>
      </c>
      <c r="AE28" s="78">
        <f>COUNTIFS(ECHO!CLASS,"II",ECHO!RANK,"2CL",ECHO!REMARKS, "ONGOING/CONFINED")+COUNTIFS(ECHO!CLASS,"II", ECHO!RANK,"2CL",ECHO!REMARKS, "ONGOING")+COUNTIFS(ECHO!CLASS,"II", ECHO!RANK,"2CL",ECHO!REMARKS, "CONFINED")</f>
        <v>1</v>
      </c>
      <c r="AF28" s="78">
        <f>COUNTIFS(ECHO!CLASS,"II",ECHO!RANK,"3CL",ECHO!REMARKS, "ONGOING/CONFINED")+COUNTIFS(ECHO!CLASS,"II", ECHO!RANK,"3CL",ECHO!REMARKS, "ONGOING")+COUNTIFS(ECHO!CLASS,"II", ECHO!RANK,"3CL",ECHO!REMARKS, "CONFINED")</f>
        <v>1</v>
      </c>
      <c r="AG28" s="78">
        <f>COUNTIFS(ECHO!CLASS,"II",ECHO!RANK,"4CL",ECHO!REMARKS,"ONGOING")</f>
        <v>0</v>
      </c>
      <c r="AH28" s="16"/>
      <c r="AI28" s="77" t="s">
        <v>34</v>
      </c>
      <c r="AJ28" s="78">
        <f>COUNTIFS(FOXTROT!CLASS,"II",FOXTROT!RANK,"1CL",FOXTROT!REMARKS, "ONGOING/CONFINED")+COUNTIFS(FOXTROT!CLASS,"II", FOXTROT!RANK,"1CL",FOXTROT!REMARKS, "ONGOING")+COUNTIFS(FOXTROT!CLASS,"II", FOXTROT!RANK,"1CL",FOXTROT!REMARKS, "CONFINED")</f>
        <v>0</v>
      </c>
      <c r="AK28" s="78">
        <f>COUNTIFS(FOXTROT!CLASS,"II",FOXTROT!RANK,"2CL",FOXTROT!REMARKS, "ONGOING/CONFINED")+COUNTIFS(FOXTROT!CLASS,"II", FOXTROT!RANK,"2CL",FOXTROT!REMARKS, "ONGOING")+COUNTIFS(FOXTROT!CLASS,"II", FOXTROT!RANK,"2CL",FOXTROT!REMARKS, "CONFINED")</f>
        <v>1</v>
      </c>
      <c r="AL28" s="78">
        <f>COUNTIFS(FOXTROT!CLASS,"II",FOXTROT!RANK,"3CL",FOXTROT!REMARKS, "ONGOING/CONFINED")+COUNTIFS(FOXTROT!CLASS,"II", FOXTROT!RANK,"3CL",FOXTROT!REMARKS, "ONGOING")+COUNTIFS(FOXTROT!CLASS,"II", FOXTROT!RANK,"3CL",FOXTROT!REMARKS, "CONFINED")</f>
        <v>0</v>
      </c>
      <c r="AM28" s="78">
        <f>COUNTIFS(FOXTROT!CLASS,"II",FOXTROT!RANK,"4CL",FOXTROT!REMARKS,"ONGOING")</f>
        <v>1</v>
      </c>
      <c r="AN28" s="11"/>
      <c r="AO28" s="79" t="s">
        <v>34</v>
      </c>
      <c r="AP28" s="78">
        <f>COUNTIFS(GOLF!CLASS,"II",GOLF!RANK,"3CL",GOLF!REMARKS, "ONGOING/CONFINED")+COUNTIFS(GOLF!CLASS,"II", GOLF!RANK,"3CL",GOLF!REMARKS, "ONGOING")+COUNTIFS(GOLF!CLASS,"II", GOLF!RANK,"3CL",GOLF!REMARKS, "CONFINED")</f>
        <v>0</v>
      </c>
      <c r="AQ28" s="78">
        <f>COUNTIFS(GOLF!CLASS,"II",GOLF!RANK,"2CL",GOLF!REMARKS, "ONGOING/CONFINED")+COUNTIFS(GOLF!CLASS,"II", GOLF!RANK,"2CL",GOLF!REMARKS, "ONGOING")+COUNTIFS(GOLF!CLASS,"II", GOLF!RANK,"2CL",GOLF!REMARKS, "CONFINED")</f>
        <v>1</v>
      </c>
      <c r="AR28" s="78">
        <f>COUNTIFS(GOLF!CLASS,"II",GOLF!RANK,"3CL",GOLF!REMARKS, "ONGOING/CONFINED")+COUNTIFS(GOLF!CLASS,"II", GOLF!RANK,"3CL",GOLF!REMARKS, "ONGOING")+COUNTIFS(GOLF!CLASS,"II", GOLF!RANK,"3CL",GOLF!REMARKS, "CONFINED")</f>
        <v>0</v>
      </c>
      <c r="AS28" s="78">
        <f>COUNTIFS(GOLF!CLASS,"II",GOLF!RANK,"4CL",GOLF!REMARKS,"ONGOING")</f>
        <v>0</v>
      </c>
      <c r="AT28" s="16"/>
      <c r="AU28" s="77" t="s">
        <v>34</v>
      </c>
      <c r="AV28" s="78">
        <f>COUNTIFS(HAWK!CLASS,"II",HAWK!RANK,"1CL",HAWK!REMARKS, "ONGOING/CONFINED")+COUNTIFS(HAWK!CLASS,"II", HAWK!RANK,"1CL",HAWK!REMARKS, "ONGOING")+COUNTIFS(HAWK!CLASS,"II", HAWK!RANK,"1CL",HAWK!REMARKS, "CONFINED")</f>
        <v>0</v>
      </c>
      <c r="AW28" s="78">
        <f>COUNTIFS(HAWK!CLASS,"II",HAWK!RANK,"2CL",HAWK!REMARKS, "ONGOING/CONFINED")+COUNTIFS(HAWK!CLASS,"II", HAWK!RANK,"2CL",HAWK!REMARKS, "ONGOING")+COUNTIFS(HAWK!CLASS,"II", HAWK!RANK,"2CL",HAWK!REMARKS, "CONFINED")</f>
        <v>0</v>
      </c>
      <c r="AX28" s="78">
        <f>COUNTIFS(HAWK!CLASS,"II",HAWK!RANK,"3CL",HAWK!REMARKS, "ONGOING/CONFINED")+COUNTIFS(HAWK!CLASS,"II", HAWK!RANK,"3CL",HAWK!REMARKS, "ONGOING")+COUNTIFS(HAWK!CLASS,"II", HAWK!RANK,"3CL",HAWK!REMARKS, "CONFINED")</f>
        <v>0</v>
      </c>
      <c r="AY28" s="78">
        <f>COUNTIFS(HAWK!CLASS,"II",HAWK!RANK,"4CL",HAWK!REMARKS,"ONGOING")</f>
        <v>0</v>
      </c>
      <c r="AZ28" s="70"/>
      <c r="BA28" s="79" t="s">
        <v>34</v>
      </c>
      <c r="BB28" s="75">
        <f>COUNTIFS(#REF!,"II",#REF!,"1CL",#REF!,"ONGOING")</f>
        <v>0</v>
      </c>
      <c r="BC28" s="75">
        <f>COUNTIFS(#REF!,"II",#REF!,"2CL",#REF!,"ONGOING")</f>
        <v>0</v>
      </c>
      <c r="BD28" s="75">
        <f>COUNTIFS(#REF!,"II",#REF!,"3CL",#REF!,"ONGOING")</f>
        <v>0</v>
      </c>
      <c r="BE28" s="75">
        <f>COUNTIFS(#REF!,"II",#REF!,"4CL",#REF!,"ONGOING")</f>
        <v>0</v>
      </c>
      <c r="BF28" s="70"/>
      <c r="BG28" s="70"/>
      <c r="BH28" s="70"/>
      <c r="BI28" s="70"/>
      <c r="BJ28" s="70"/>
      <c r="BK28" s="70"/>
    </row>
    <row r="29">
      <c r="A29" s="11"/>
      <c r="B29" s="11"/>
      <c r="C29" s="11"/>
      <c r="D29" s="11"/>
      <c r="E29" s="68"/>
      <c r="F29" s="68"/>
      <c r="G29" s="68"/>
      <c r="H29" s="68"/>
      <c r="I29" s="68"/>
      <c r="J29" s="11"/>
      <c r="K29" s="68"/>
      <c r="L29" s="68"/>
      <c r="M29" s="68"/>
      <c r="N29" s="68"/>
      <c r="O29" s="68"/>
      <c r="P29" s="11"/>
      <c r="Q29" s="68"/>
      <c r="R29" s="68"/>
      <c r="S29" s="68"/>
      <c r="T29" s="68"/>
      <c r="U29" s="68"/>
      <c r="V29" s="16"/>
      <c r="W29" s="9"/>
      <c r="X29" s="68"/>
      <c r="Y29" s="68"/>
      <c r="Z29" s="68"/>
      <c r="AA29" s="68"/>
      <c r="AB29" s="16"/>
      <c r="AC29" s="9"/>
      <c r="AD29" s="9"/>
      <c r="AE29" s="9"/>
      <c r="AF29" s="9"/>
      <c r="AG29" s="9"/>
      <c r="AH29" s="16"/>
      <c r="AI29" s="9"/>
      <c r="AJ29" s="9"/>
      <c r="AK29" s="9"/>
      <c r="AL29" s="9"/>
      <c r="AM29" s="9"/>
      <c r="AN29" s="11"/>
      <c r="AO29" s="68"/>
      <c r="AP29" s="9"/>
      <c r="AQ29" s="9"/>
      <c r="AR29" s="9"/>
      <c r="AS29" s="9"/>
      <c r="AT29" s="16"/>
      <c r="AU29" s="9"/>
      <c r="AV29" s="9"/>
      <c r="AW29" s="9"/>
      <c r="AX29" s="9"/>
      <c r="AY29" s="9"/>
      <c r="AZ29" s="70"/>
      <c r="BA29" s="68"/>
      <c r="BB29" s="68"/>
      <c r="BC29" s="68"/>
      <c r="BD29" s="68"/>
      <c r="BE29" s="68"/>
      <c r="BF29" s="70"/>
      <c r="BG29" s="70"/>
      <c r="BH29" s="70"/>
      <c r="BI29" s="70"/>
      <c r="BJ29" s="70"/>
      <c r="BK29" s="70"/>
    </row>
    <row r="30">
      <c r="A30" s="11"/>
      <c r="B30" s="11"/>
      <c r="C30" s="11"/>
      <c r="D30" s="11"/>
      <c r="E30" s="74" t="s">
        <v>35</v>
      </c>
      <c r="F30" s="75">
        <f>COUNTIFS(CLASS,"III",RANK,"1CL",REMARKS, "ONGOING/CONFINED")+COUNTIFS(CLASS,"III", RANK,"1CL",REMARKS, "ONGOING")</f>
        <v>1</v>
      </c>
      <c r="G30" s="75">
        <f>COUNTIFS(CLASS,"III",RANK,"2CL",REMARKS, "ONGOING/CONFINED")+COUNTIFS(CLASS,"III", RANK,"2CL",REMARKS, "ONGOING")</f>
        <v>2</v>
      </c>
      <c r="H30" s="75">
        <f>COUNTIFS(CLASS,"III",RANK,"3CL",REMARKS, "ONGOING/CONFINED")+COUNTIFS(CLASS,"III", RANK,"3CL",REMARKS, "ONGOING")</f>
        <v>0</v>
      </c>
      <c r="I30" s="75">
        <f>COUNTIFS(CLASS,"III",RANK,"4CL",REMARKS,"ONGOING")</f>
        <v>0</v>
      </c>
      <c r="J30" s="11"/>
      <c r="K30" s="74" t="s">
        <v>35</v>
      </c>
      <c r="L30" s="75">
        <f>COUNTIFS(BRAVO!CLASS,"III",BRAVO!RANK,"1CL",BRAVO!REMARKS, "ONGOING/CONFINED")+COUNTIFS(BRAVO!CLASS,"III", BRAVO!RANK,"1CL",BRAVO!REMARKS, "ONGOING")</f>
        <v>0</v>
      </c>
      <c r="M30" s="75">
        <f>COUNTIFS(BRAVO!CLASS,"III",BRAVO!RANK,"2CL",BRAVO!REMARKS, "ONGOING/CONFINED")+COUNTIFS(BRAVO!CLASS,"III", BRAVO!RANK,"2CL",BRAVO!REMARKS, "ONGOING")</f>
        <v>0</v>
      </c>
      <c r="N30" s="75">
        <f>COUNTIFS(BRAVO!CLASS,"III",BRAVO!RANK,"3CL",BRAVO!REMARKS, "ONGOING/CONFINED")+COUNTIFS(BRAVO!CLASS,"III", BRAVO!RANK,"3CL",BRAVO!REMARKS, "ONGOING")</f>
        <v>0</v>
      </c>
      <c r="O30" s="75">
        <f>COUNTIFS(BRAVO!CLASS,"III",BRAVO!RANK,"4CL",BRAVO!REMARKS,"ONGOING")</f>
        <v>0</v>
      </c>
      <c r="P30" s="11"/>
      <c r="Q30" s="76" t="s">
        <v>35</v>
      </c>
      <c r="R30" s="75">
        <f>COUNTIFS(CHARLIE!CLASS,"III",CHARLIE!RANK,"1CL",CHARLIE!REMARKS, "ONGOING/CONFINED")+COUNTIFS(CHARLIE!CLASS,"III", CHARLIE!RANK,"1CL",CHARLIE!REMARKS, "ONGOING")+COUNTIFS(CHARLIE!CLASS,"III", CHARLIE!RANK,"1CL",CHARLIE!REMARKS, "CONFINED")</f>
        <v>0</v>
      </c>
      <c r="S30" s="75">
        <f>COUNTIFS(CHARLIE!CLASS,"IIi",CHARLIE!RANK,"2CL",CHARLIE!REMARKS, "ONGOING/CONFINED")+COUNTIFS(CHARLIE!CLASS,"IiI", CHARLIE!RANK,"2CL",CHARLIE!REMARKS, "ONGOING")+COUNTIFS(CHARLIE!CLASS,"IiI", CHARLIE!RANK,"2CL",CHARLIE!REMARKS, "CONFINED")</f>
        <v>0</v>
      </c>
      <c r="T30" s="75">
        <f>COUNTIFS(CHARLIE!CLASS,"III",CHARLIE!RANK,"3CL",CHARLIE!REMARKS, "ONGOING/CONFINED")+COUNTIFS(CHARLIE!CLASS,"III", CHARLIE!RANK,"3CL",CHARLIE!REMARKS, "ONGOING")+COUNTIFS(CHARLIE!CLASS,"III", CHARLIE!RANK,"3CL",CHARLIE!REMARKS, "CONFINED")</f>
        <v>10</v>
      </c>
      <c r="U30" s="75">
        <f>COUNTIFS(CHARLIE!CLASS,"III",CHARLIE!RANK,"4CL",CHARLIE!REMARKS,"ONGOING")</f>
        <v>0</v>
      </c>
      <c r="V30" s="16"/>
      <c r="W30" s="77" t="s">
        <v>35</v>
      </c>
      <c r="X30" s="75">
        <f>COUNTIFS(DELTA!CLASS,"III",DELTA!RANK,"1CL",DELTA!REMARKS, "ONGOING/CONFINED")+COUNTIFS(DELTA!CLASS,"III", DELTA!RANK,"1CL",DELTA!REMARKS, "ONGOING")+COUNTIFS(DELTA!CLASS,"III", DELTA!RANK,"1CL",DELTA!REMARKS, "CONFINED")</f>
        <v>1</v>
      </c>
      <c r="Y30" s="75">
        <f>COUNTIFS(DELTA!CLASS,"III",DELTA!RANK,"2CL",DELTA!REMARKS, "ONGOING/CONFINED")+COUNTIFS(DELTA!CLASS,"III", DELTA!RANK,"2CL",DELTA!REMARKS, "ONGOING")+COUNTIFS(DELTA!CLASS,"III", DELTA!RANK,"2CL",DELTA!REMARKS, "CONFINED")</f>
        <v>2</v>
      </c>
      <c r="Z30" s="75">
        <f>COUNTIFS(DELTA!CLASS,"III",DELTA!RANK,"3CL",DELTA!REMARKS, "ONGOING/CONFINED")+COUNTIFS(DELTA!CLASS,"III", DELTA!RANK,"3CL",DELTA!REMARKS, "ONGOING")+COUNTIFS(DELTA!CLASS,"III", DELTA!RANK,"3CL",DELTA!REMARKS, "CONFINED")</f>
        <v>11</v>
      </c>
      <c r="AA30" s="75">
        <f>COUNTIFS(DELTA!CLASS,"III",DELTA!RANK,"4CL",DELTA!REMARKS,"ONGOING")</f>
        <v>3</v>
      </c>
      <c r="AB30" s="16"/>
      <c r="AC30" s="77" t="s">
        <v>35</v>
      </c>
      <c r="AD30" s="78">
        <f>COUNTIFS(ECHO!CLASS,"III",ECHO!RANK,"1CL",ECHO!REMARKS, "ONGOING/CONFINED")+COUNTIFS(ECHO!CLASS,"III", ECHO!RANK,"1CL",ECHO!REMARKS, "ONGOING")+COUNTIFS(ECHO!CLASS,"III", ECHO!RANK,"1CL",ECHO!REMARKS, "CONFINED")</f>
        <v>0</v>
      </c>
      <c r="AE30" s="78">
        <f>COUNTIFS(ECHO!CLASS,"III",ECHO!RANK,"2CL",ECHO!REMARKS, "ONGOING/CONFINED")+COUNTIFS(ECHO!CLASS,"III", ECHO!RANK,"2CL",ECHO!REMARKS, "ONGOING")+COUNTIFS(ECHO!CLASS,"III", ECHO!RANK,"2CL",ECHO!REMARKS, "CONFINED")</f>
        <v>0</v>
      </c>
      <c r="AF30" s="78">
        <f>COUNTIFS(ECHO!CLASS,"III",ECHO!RANK,"3CL",ECHO!REMARKS, "ONGOING/CONFINED")+COUNTIFS(ECHO!CLASS,"III", ECHO!RANK,"3CL",ECHO!REMARKS, "ONGOING")+COUNTIFS(ECHO!CLASS,"III", ECHO!RANK,"3CL",ECHO!REMARKS, "CONFINED")</f>
        <v>0</v>
      </c>
      <c r="AG30" s="78">
        <f>COUNTIFS(ECHO!CLASS,"III",ECHO!RANK,"4CL",ECHO!REMARKS,"ONGOING")</f>
        <v>0</v>
      </c>
      <c r="AH30" s="16"/>
      <c r="AI30" s="77" t="s">
        <v>35</v>
      </c>
      <c r="AJ30" s="78">
        <f>COUNTIFS(FOXTROT!CLASS,"III",FOXTROT!RANK,"1CL",FOXTROT!REMARKS, "ONGOING/CONFINED")+COUNTIFS(FOXTROT!CLASS,"III", FOXTROT!RANK,"1CL",FOXTROT!REMARKS, "ONGOING")+COUNTIFS(FOXTROT!CLASS,"III", FOXTROT!RANK,"1CL",FOXTROT!REMARKS, "CONFINED")</f>
        <v>0</v>
      </c>
      <c r="AK30" s="78">
        <f>COUNTIFS(FOXTROT!CLASS,"III",FOXTROT!RANK,"2CL",FOXTROT!REMARKS, "ONGOING/CONFINED")+COUNTIFS(FOXTROT!CLASS,"III", FOXTROT!RANK,"2CL",FOXTROT!REMARKS, "ONGOING")+COUNTIFS(FOXTROT!CLASS,"III", FOXTROT!RANK,"2CL",FOXTROT!REMARKS, "CONFINED")</f>
        <v>2</v>
      </c>
      <c r="AL30" s="78">
        <f>COUNTIFS(FOXTROT!CLASS,"III",FOXTROT!RANK,"3CL",FOXTROT!REMARKS, "ONGOING/CONFINED")+COUNTIFS(FOXTROT!CLASS,"III", FOXTROT!RANK,"3CL",FOXTROT!REMARKS, "ONGOING")+COUNTIFS(FOXTROT!CLASS,"III", FOXTROT!RANK,"3CL",FOXTROT!REMARKS, "CONFINED")</f>
        <v>0</v>
      </c>
      <c r="AM30" s="78">
        <f>COUNTIFS(FOXTROT!CLASS,"III",FOXTROT!RANK,"4CL",FOXTROT!REMARKS,"ONGOING")</f>
        <v>7</v>
      </c>
      <c r="AN30" s="11"/>
      <c r="AO30" s="79" t="s">
        <v>35</v>
      </c>
      <c r="AP30" s="78">
        <f>COUNTIFS(GOLF!CLASS,"III",GOLF!RANK,"3CL",GOLF!REMARKS, "ONGOING/CONFINED")+COUNTIFS(GOLF!CLASS,"III", GOLF!RANK,"3CL",GOLF!REMARKS, "ONGOING")+COUNTIFS(GOLF!CLASS,"III", GOLF!RANK,"3CL",GOLF!REMARKS, "CONFINED")</f>
        <v>0</v>
      </c>
      <c r="AQ30" s="78">
        <f>COUNTIFS(GOLF!CLASS,"III",GOLF!RANK,"2CL",GOLF!REMARKS, "ONGOING/CONFINED")+COUNTIFS(GOLF!CLASS,"III", GOLF!RANK,"2CL",GOLF!REMARKS, "ONGOING")+COUNTIFS(GOLF!CLASS,"III", GOLF!RANK,"2CL",GOLF!REMARKS, "CONFINED")</f>
        <v>0</v>
      </c>
      <c r="AR30" s="78">
        <f>COUNTIFS(GOLF!CLASS,"III",GOLF!RANK,"3CL",GOLF!REMARKS, "ONGOING/CONFINED")+COUNTIFS(GOLF!CLASS,"III", GOLF!RANK,"3CL",GOLF!REMARKS, "ONGOING")+COUNTIFS(GOLF!CLASS,"III", GOLF!RANK,"3CL",GOLF!REMARKS, "CONFINED")</f>
        <v>0</v>
      </c>
      <c r="AS30" s="78">
        <f>COUNTIFS(GOLF!CLASS,"III",GOLF!RANK,"4CL",GOLF!REMARKS,"ONGOING")</f>
        <v>0</v>
      </c>
      <c r="AT30" s="16"/>
      <c r="AU30" s="77" t="s">
        <v>35</v>
      </c>
      <c r="AV30" s="78">
        <f>COUNTIFS(HAWK!CLASS,"III",HAWK!RANK,"1CL",HAWK!REMARKS, "ONGOING/CONFINED")+COUNTIFS(HAWK!CLASS,"III", HAWK!RANK,"1CL",HAWK!REMARKS, "ONGOING")+COUNTIFS(HAWK!CLASS,"III", HAWK!RANK,"1CL",HAWK!REMARKS, "CONFINED")</f>
        <v>0</v>
      </c>
      <c r="AW30" s="78">
        <f>COUNTIFS(HAWK!CLASS,"III",HAWK!RANK,"2CL",HAWK!REMARKS, "ONGOING/CONFINED")+COUNTIFS(HAWK!CLASS,"III", HAWK!RANK,"2CL",HAWK!REMARKS, "ONGOING")+COUNTIFS(HAWK!CLASS,"III", HAWK!RANK,"2CL",HAWK!REMARKS, "CONFINED")</f>
        <v>0</v>
      </c>
      <c r="AX30" s="78">
        <f>COUNTIFS(HAWK!CLASS,"III",HAWK!RANK,"3CL",HAWK!REMARKS, "ONGOING/CONFINED")+COUNTIFS(HAWK!CLASS,"III", HAWK!RANK,"3CL",HAWK!REMARKS, "ONGOING")+COUNTIFS(HAWK!CLASS,"III", HAWK!RANK,"3CL",HAWK!REMARKS, "CONFINED")</f>
        <v>2</v>
      </c>
      <c r="AY30" s="78">
        <f>COUNTIFS(HAWK!CLASS,"III",HAWK!RANK,"4CL",HAWK!REMARKS,"ONGOING")</f>
        <v>2</v>
      </c>
      <c r="AZ30" s="70"/>
      <c r="BA30" s="79" t="s">
        <v>35</v>
      </c>
      <c r="BB30" s="75">
        <f>COUNTIFS(#REF!,"III",#REF!,"1CL",#REF!,"ONGOING")</f>
        <v>0</v>
      </c>
      <c r="BC30" s="75">
        <f>COUNTIFS(#REF!,"III",#REF!,"2CL",#REF!,"ONGOING")</f>
        <v>0</v>
      </c>
      <c r="BD30" s="75">
        <f>COUNTIFS(#REF!,"III",#REF!,"3CL",#REF!,"ONGOING")</f>
        <v>0</v>
      </c>
      <c r="BE30" s="75">
        <f>COUNTIFS(#REF!,"III",#REF!,"4CL",#REF!,"ONGOING")</f>
        <v>0</v>
      </c>
      <c r="BF30" s="70"/>
      <c r="BG30" s="70"/>
      <c r="BH30" s="70"/>
      <c r="BI30" s="70"/>
      <c r="BJ30" s="70"/>
      <c r="BK30" s="70"/>
    </row>
    <row r="31">
      <c r="A31" s="11"/>
      <c r="B31" s="11"/>
      <c r="C31" s="11"/>
      <c r="D31" s="11"/>
      <c r="E31" s="68"/>
      <c r="F31" s="68"/>
      <c r="G31" s="68"/>
      <c r="H31" s="68"/>
      <c r="I31" s="68"/>
      <c r="J31" s="11"/>
      <c r="K31" s="68"/>
      <c r="L31" s="68"/>
      <c r="M31" s="68"/>
      <c r="N31" s="68"/>
      <c r="O31" s="68"/>
      <c r="P31" s="11"/>
      <c r="Q31" s="68"/>
      <c r="R31" s="68"/>
      <c r="S31" s="68"/>
      <c r="T31" s="68"/>
      <c r="U31" s="68"/>
      <c r="V31" s="16"/>
      <c r="W31" s="9"/>
      <c r="X31" s="68"/>
      <c r="Y31" s="68"/>
      <c r="Z31" s="68"/>
      <c r="AA31" s="68"/>
      <c r="AB31" s="16"/>
      <c r="AC31" s="9"/>
      <c r="AD31" s="9"/>
      <c r="AE31" s="9"/>
      <c r="AF31" s="9"/>
      <c r="AG31" s="9"/>
      <c r="AH31" s="16"/>
      <c r="AI31" s="9"/>
      <c r="AJ31" s="9"/>
      <c r="AK31" s="9"/>
      <c r="AL31" s="9"/>
      <c r="AM31" s="9"/>
      <c r="AN31" s="11"/>
      <c r="AO31" s="68"/>
      <c r="AP31" s="9"/>
      <c r="AQ31" s="9"/>
      <c r="AR31" s="9"/>
      <c r="AS31" s="9"/>
      <c r="AT31" s="16"/>
      <c r="AU31" s="9"/>
      <c r="AV31" s="9"/>
      <c r="AW31" s="9"/>
      <c r="AX31" s="9"/>
      <c r="AY31" s="9"/>
      <c r="AZ31" s="70"/>
      <c r="BA31" s="68"/>
      <c r="BB31" s="68"/>
      <c r="BC31" s="68"/>
      <c r="BD31" s="68"/>
      <c r="BE31" s="68"/>
      <c r="BF31" s="70"/>
      <c r="BG31" s="70"/>
      <c r="BH31" s="70"/>
      <c r="BI31" s="70"/>
      <c r="BJ31" s="70"/>
      <c r="BK31" s="70"/>
    </row>
    <row r="32">
      <c r="A32" s="11"/>
      <c r="B32" s="11"/>
      <c r="C32" s="11"/>
      <c r="D32" s="11"/>
      <c r="E32" s="61" t="s">
        <v>30</v>
      </c>
      <c r="F32" s="62">
        <f t="shared" ref="F32:I32" si="10">SUM(F26:F31)</f>
        <v>2</v>
      </c>
      <c r="G32" s="62">
        <f t="shared" si="10"/>
        <v>12</v>
      </c>
      <c r="H32" s="62">
        <f t="shared" si="10"/>
        <v>3</v>
      </c>
      <c r="I32" s="62">
        <f t="shared" si="10"/>
        <v>0</v>
      </c>
      <c r="J32" s="11"/>
      <c r="K32" s="61" t="s">
        <v>30</v>
      </c>
      <c r="L32" s="62">
        <f t="shared" ref="L32:O32" si="11">SUM(L26:L31)</f>
        <v>0</v>
      </c>
      <c r="M32" s="62">
        <f t="shared" si="11"/>
        <v>0</v>
      </c>
      <c r="N32" s="62">
        <f t="shared" si="11"/>
        <v>0</v>
      </c>
      <c r="O32" s="62">
        <f t="shared" si="11"/>
        <v>0</v>
      </c>
      <c r="P32" s="11"/>
      <c r="Q32" s="64" t="s">
        <v>30</v>
      </c>
      <c r="R32" s="65">
        <f t="shared" ref="R32:U32" si="12">SUM(R26:R31)</f>
        <v>0</v>
      </c>
      <c r="S32" s="65">
        <f t="shared" si="12"/>
        <v>0</v>
      </c>
      <c r="T32" s="65">
        <f t="shared" si="12"/>
        <v>15</v>
      </c>
      <c r="U32" s="65">
        <f t="shared" si="12"/>
        <v>0</v>
      </c>
      <c r="V32" s="16"/>
      <c r="W32" s="66" t="s">
        <v>30</v>
      </c>
      <c r="X32" s="65">
        <f t="shared" ref="X32:AA32" si="13">SUM(X26:X31)</f>
        <v>1</v>
      </c>
      <c r="Y32" s="65">
        <f t="shared" si="13"/>
        <v>6</v>
      </c>
      <c r="Z32" s="65">
        <f t="shared" si="13"/>
        <v>11</v>
      </c>
      <c r="AA32" s="65">
        <f t="shared" si="13"/>
        <v>3</v>
      </c>
      <c r="AB32" s="16"/>
      <c r="AC32" s="66" t="s">
        <v>30</v>
      </c>
      <c r="AD32" s="65">
        <f t="shared" ref="AD32:AG32" si="14">sum(AD26:AD31)</f>
        <v>1</v>
      </c>
      <c r="AE32" s="65">
        <f t="shared" si="14"/>
        <v>1</v>
      </c>
      <c r="AF32" s="65">
        <f t="shared" si="14"/>
        <v>1</v>
      </c>
      <c r="AG32" s="65">
        <f t="shared" si="14"/>
        <v>0</v>
      </c>
      <c r="AH32" s="16"/>
      <c r="AI32" s="66" t="s">
        <v>30</v>
      </c>
      <c r="AJ32" s="65">
        <f t="shared" ref="AJ32:AM32" si="15">SUM(AJ26:AJ31)</f>
        <v>0</v>
      </c>
      <c r="AK32" s="65">
        <f t="shared" si="15"/>
        <v>3</v>
      </c>
      <c r="AL32" s="65">
        <f t="shared" si="15"/>
        <v>0</v>
      </c>
      <c r="AM32" s="65">
        <f t="shared" si="15"/>
        <v>8</v>
      </c>
      <c r="AN32" s="11"/>
      <c r="AO32" s="67" t="s">
        <v>30</v>
      </c>
      <c r="AP32" s="62">
        <f t="shared" ref="AP32:AS32" si="16">SUM(AP26:AP31)</f>
        <v>0</v>
      </c>
      <c r="AQ32" s="62">
        <f t="shared" si="16"/>
        <v>1</v>
      </c>
      <c r="AR32" s="62">
        <f t="shared" si="16"/>
        <v>0</v>
      </c>
      <c r="AS32" s="62">
        <f t="shared" si="16"/>
        <v>0</v>
      </c>
      <c r="AT32" s="16"/>
      <c r="AU32" s="66" t="s">
        <v>30</v>
      </c>
      <c r="AV32" s="65">
        <f t="shared" ref="AV32:AY32" si="17">SUM(AV26:AV31)</f>
        <v>0</v>
      </c>
      <c r="AW32" s="65">
        <f t="shared" si="17"/>
        <v>1</v>
      </c>
      <c r="AX32" s="65">
        <f t="shared" si="17"/>
        <v>2</v>
      </c>
      <c r="AY32" s="65">
        <f t="shared" si="17"/>
        <v>2</v>
      </c>
      <c r="AZ32" s="70"/>
      <c r="BA32" s="67" t="s">
        <v>30</v>
      </c>
      <c r="BB32" s="62">
        <f t="shared" ref="BB32:BE32" si="18">SUM(BB26:BB31)</f>
        <v>0</v>
      </c>
      <c r="BC32" s="62">
        <f t="shared" si="18"/>
        <v>0</v>
      </c>
      <c r="BD32" s="62">
        <f t="shared" si="18"/>
        <v>0</v>
      </c>
      <c r="BE32" s="62">
        <f t="shared" si="18"/>
        <v>0</v>
      </c>
      <c r="BF32" s="70"/>
      <c r="BG32" s="70"/>
      <c r="BH32" s="70"/>
      <c r="BI32" s="70"/>
      <c r="BJ32" s="70"/>
      <c r="BK32" s="70"/>
    </row>
    <row r="33">
      <c r="A33" s="11"/>
      <c r="B33" s="11"/>
      <c r="C33" s="11"/>
      <c r="D33" s="11"/>
      <c r="E33" s="68"/>
      <c r="F33" s="68"/>
      <c r="G33" s="68"/>
      <c r="H33" s="68"/>
      <c r="I33" s="68"/>
      <c r="J33" s="11"/>
      <c r="K33" s="68"/>
      <c r="L33" s="68"/>
      <c r="M33" s="68"/>
      <c r="N33" s="68"/>
      <c r="O33" s="68"/>
      <c r="P33" s="11"/>
      <c r="Q33" s="68"/>
      <c r="R33" s="9"/>
      <c r="S33" s="9"/>
      <c r="T33" s="9"/>
      <c r="U33" s="9"/>
      <c r="V33" s="16"/>
      <c r="W33" s="9"/>
      <c r="X33" s="9"/>
      <c r="Y33" s="9"/>
      <c r="Z33" s="9"/>
      <c r="AA33" s="9"/>
      <c r="AB33" s="16"/>
      <c r="AC33" s="9"/>
      <c r="AD33" s="9"/>
      <c r="AE33" s="9"/>
      <c r="AF33" s="9"/>
      <c r="AG33" s="9"/>
      <c r="AH33" s="16"/>
      <c r="AI33" s="9"/>
      <c r="AJ33" s="9"/>
      <c r="AK33" s="9"/>
      <c r="AL33" s="9"/>
      <c r="AM33" s="9"/>
      <c r="AN33" s="11"/>
      <c r="AO33" s="68"/>
      <c r="AP33" s="68"/>
      <c r="AQ33" s="68"/>
      <c r="AR33" s="68"/>
      <c r="AS33" s="68"/>
      <c r="AT33" s="16"/>
      <c r="AU33" s="9"/>
      <c r="AV33" s="9"/>
      <c r="AW33" s="9"/>
      <c r="AX33" s="9"/>
      <c r="AY33" s="9"/>
      <c r="AZ33" s="70"/>
      <c r="BA33" s="68"/>
      <c r="BB33" s="68"/>
      <c r="BC33" s="68"/>
      <c r="BD33" s="68"/>
      <c r="BE33" s="68"/>
      <c r="BF33" s="70"/>
      <c r="BG33" s="70"/>
      <c r="BH33" s="70"/>
      <c r="BI33" s="70"/>
      <c r="BJ33" s="70"/>
      <c r="BK33" s="70"/>
    </row>
    <row r="34">
      <c r="A34" s="11"/>
      <c r="B34" s="11"/>
      <c r="C34" s="11"/>
      <c r="D34" s="11"/>
      <c r="E34" s="11"/>
      <c r="F34" s="11"/>
      <c r="G34" s="73"/>
      <c r="H34" s="73"/>
      <c r="I34" s="73"/>
      <c r="J34" s="11"/>
      <c r="K34" s="11"/>
      <c r="L34" s="11"/>
      <c r="M34" s="73"/>
      <c r="N34" s="73"/>
      <c r="O34" s="73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81"/>
      <c r="BB34" s="82"/>
      <c r="BC34" s="11"/>
      <c r="BD34" s="11"/>
      <c r="BE34" s="11"/>
      <c r="BF34" s="11"/>
      <c r="BG34" s="11"/>
      <c r="BH34" s="11"/>
      <c r="BI34" s="11"/>
      <c r="BJ34" s="11"/>
      <c r="BK34" s="11"/>
    </row>
    <row r="35">
      <c r="A35" s="11"/>
      <c r="B35" s="11"/>
      <c r="C35" s="11"/>
      <c r="D35" s="11"/>
      <c r="E35" s="72" t="s">
        <v>36</v>
      </c>
      <c r="F35" s="3"/>
      <c r="G35" s="83"/>
      <c r="H35" s="84" t="s">
        <v>37</v>
      </c>
      <c r="I35" s="3"/>
      <c r="J35" s="11"/>
      <c r="K35" s="72" t="s">
        <v>36</v>
      </c>
      <c r="L35" s="3"/>
      <c r="M35" s="83"/>
      <c r="N35" s="84" t="s">
        <v>37</v>
      </c>
      <c r="O35" s="3"/>
      <c r="P35" s="11"/>
      <c r="Q35" s="72" t="s">
        <v>36</v>
      </c>
      <c r="R35" s="3"/>
      <c r="S35" s="11"/>
      <c r="T35" s="84" t="s">
        <v>37</v>
      </c>
      <c r="U35" s="3"/>
      <c r="V35" s="11"/>
      <c r="W35" s="72" t="s">
        <v>36</v>
      </c>
      <c r="X35" s="3"/>
      <c r="Y35" s="11"/>
      <c r="Z35" s="84" t="s">
        <v>37</v>
      </c>
      <c r="AA35" s="3"/>
      <c r="AB35" s="11"/>
      <c r="AC35" s="72" t="s">
        <v>36</v>
      </c>
      <c r="AD35" s="3"/>
      <c r="AE35" s="11"/>
      <c r="AF35" s="84" t="s">
        <v>37</v>
      </c>
      <c r="AG35" s="3"/>
      <c r="AH35" s="11"/>
      <c r="AI35" s="72" t="s">
        <v>36</v>
      </c>
      <c r="AJ35" s="3"/>
      <c r="AK35" s="11"/>
      <c r="AL35" s="84" t="s">
        <v>37</v>
      </c>
      <c r="AM35" s="3"/>
      <c r="AN35" s="11"/>
      <c r="AO35" s="72" t="s">
        <v>36</v>
      </c>
      <c r="AP35" s="3"/>
      <c r="AQ35" s="11"/>
      <c r="AR35" s="84" t="s">
        <v>37</v>
      </c>
      <c r="AS35" s="3"/>
      <c r="AT35" s="11"/>
      <c r="AU35" s="72" t="s">
        <v>36</v>
      </c>
      <c r="AV35" s="3"/>
      <c r="AW35" s="11"/>
      <c r="AX35" s="84" t="s">
        <v>37</v>
      </c>
      <c r="AY35" s="3"/>
      <c r="AZ35" s="11"/>
      <c r="BA35" s="72" t="s">
        <v>36</v>
      </c>
      <c r="BB35" s="3"/>
      <c r="BC35" s="11"/>
      <c r="BD35" s="84" t="s">
        <v>37</v>
      </c>
      <c r="BE35" s="3"/>
      <c r="BF35" s="11"/>
      <c r="BG35" s="11"/>
      <c r="BH35" s="11"/>
      <c r="BI35" s="11"/>
      <c r="BJ35" s="11"/>
      <c r="BK35" s="11"/>
    </row>
    <row r="36">
      <c r="A36" s="11"/>
      <c r="B36" s="11"/>
      <c r="C36" s="11"/>
      <c r="D36" s="11"/>
      <c r="E36" s="7"/>
      <c r="F36" s="9"/>
      <c r="G36" s="83"/>
      <c r="H36" s="7"/>
      <c r="I36" s="9"/>
      <c r="J36" s="11"/>
      <c r="K36" s="7"/>
      <c r="L36" s="9"/>
      <c r="M36" s="83"/>
      <c r="N36" s="7"/>
      <c r="O36" s="9"/>
      <c r="P36" s="11"/>
      <c r="Q36" s="7"/>
      <c r="R36" s="9"/>
      <c r="S36" s="11"/>
      <c r="T36" s="7"/>
      <c r="U36" s="9"/>
      <c r="V36" s="11"/>
      <c r="W36" s="7"/>
      <c r="X36" s="9"/>
      <c r="Y36" s="11"/>
      <c r="Z36" s="7"/>
      <c r="AA36" s="9"/>
      <c r="AB36" s="11"/>
      <c r="AC36" s="7"/>
      <c r="AD36" s="9"/>
      <c r="AE36" s="11"/>
      <c r="AF36" s="7"/>
      <c r="AG36" s="9"/>
      <c r="AH36" s="11"/>
      <c r="AI36" s="7"/>
      <c r="AJ36" s="9"/>
      <c r="AK36" s="11"/>
      <c r="AL36" s="7"/>
      <c r="AM36" s="9"/>
      <c r="AN36" s="11"/>
      <c r="AO36" s="7"/>
      <c r="AP36" s="9"/>
      <c r="AQ36" s="11"/>
      <c r="AR36" s="7"/>
      <c r="AS36" s="9"/>
      <c r="AT36" s="11"/>
      <c r="AU36" s="7"/>
      <c r="AV36" s="9"/>
      <c r="AW36" s="11"/>
      <c r="AX36" s="7"/>
      <c r="AY36" s="9"/>
      <c r="AZ36" s="11"/>
      <c r="BA36" s="7"/>
      <c r="BB36" s="9"/>
      <c r="BC36" s="11"/>
      <c r="BD36" s="7"/>
      <c r="BE36" s="9"/>
      <c r="BF36" s="11"/>
      <c r="BG36" s="11"/>
      <c r="BH36" s="11"/>
      <c r="BI36" s="11"/>
      <c r="BJ36" s="11"/>
      <c r="BK36" s="11"/>
    </row>
    <row r="37" ht="27.75" customHeight="1">
      <c r="A37" s="11"/>
      <c r="B37" s="11"/>
      <c r="C37" s="11"/>
      <c r="D37" s="11"/>
      <c r="E37" s="31" t="s">
        <v>15</v>
      </c>
      <c r="F37" s="85">
        <f>COUNTIFS(RANK,"1CL",CONFINEMENT,"YES")</f>
        <v>1</v>
      </c>
      <c r="G37" s="11"/>
      <c r="H37" s="31" t="s">
        <v>15</v>
      </c>
      <c r="I37" s="85">
        <f>COUNTIFS(RANK,"1CL",CONFINEMENT,"YES",ALFA!N:N, "&gt;0")</f>
        <v>1</v>
      </c>
      <c r="J37" s="11"/>
      <c r="K37" s="31" t="s">
        <v>15</v>
      </c>
      <c r="L37" s="85">
        <f>COUNTIFS(BRAVO!RANK,"1CL",BRAVO!CONFINEMENT,"YES")</f>
        <v>5</v>
      </c>
      <c r="M37" s="11"/>
      <c r="N37" s="31" t="s">
        <v>15</v>
      </c>
      <c r="O37" s="85">
        <f>COUNTIFS(BRAVO!RANK,"1CL",BRAVO!CONFINEMENT,"YES",BRAVO!N:N, "&gt;0")</f>
        <v>0</v>
      </c>
      <c r="P37" s="11"/>
      <c r="Q37" s="31" t="s">
        <v>15</v>
      </c>
      <c r="R37" s="85">
        <f>COUNTIFS(CHARLIE!RANK,"1CL",CHARLIE!CONFINEMENT,"YES")</f>
        <v>14</v>
      </c>
      <c r="S37" s="11"/>
      <c r="T37" s="31" t="s">
        <v>15</v>
      </c>
      <c r="U37" s="85">
        <f>COUNTIFS(CHARLIE!RANK,"1CL",CHARLIE!CONFINEMENT,"YES" ,CHARLIE!N:N, "&gt;0")</f>
        <v>0</v>
      </c>
      <c r="V37" s="11"/>
      <c r="W37" s="31" t="s">
        <v>15</v>
      </c>
      <c r="X37" s="85">
        <f>COUNTIFS(DELTA!RANK,"1CL",DELTA!CONFINEMENT,"YES")</f>
        <v>3</v>
      </c>
      <c r="Y37" s="11"/>
      <c r="Z37" s="31" t="s">
        <v>15</v>
      </c>
      <c r="AA37" s="85">
        <f>COUNTIFS(DELTA!RANK,"1CL",DELTA!CONFINEMENT,"YES",DELTA!N:N, "&gt;0")</f>
        <v>0</v>
      </c>
      <c r="AB37" s="11"/>
      <c r="AC37" s="31" t="s">
        <v>15</v>
      </c>
      <c r="AD37" s="85">
        <f>COUNTIFS(ECHO!RANK,"1CL",ECHO!CONFINEMENT,"YES")</f>
        <v>9</v>
      </c>
      <c r="AE37" s="11"/>
      <c r="AF37" s="31" t="s">
        <v>15</v>
      </c>
      <c r="AG37" s="85">
        <f>COUNTIFS(ECHO!RANK,"1CL",ECHO!CONFINEMENT,"YES",ECHO!M:M, "&gt;0")</f>
        <v>0</v>
      </c>
      <c r="AH37" s="11"/>
      <c r="AI37" s="31" t="s">
        <v>15</v>
      </c>
      <c r="AJ37" s="85">
        <f>COUNTIFS(FOXTROT!RANK,"1CL",FOXTROT!CONFINEMENT,"YES")</f>
        <v>0</v>
      </c>
      <c r="AK37" s="11"/>
      <c r="AL37" s="31" t="s">
        <v>15</v>
      </c>
      <c r="AM37" s="85">
        <f>COUNTIFS(FOXTROT!RANK,"1CL",FOXTROT!CONFINEMENT,"YES",FOXTROT!N:N, "&gt;0")</f>
        <v>0</v>
      </c>
      <c r="AN37" s="11"/>
      <c r="AO37" s="31" t="s">
        <v>15</v>
      </c>
      <c r="AP37" s="85">
        <f>COUNTIFS(GOLF!RANK,"1CL",GOLF!CONFINEMENT,"YES")</f>
        <v>0</v>
      </c>
      <c r="AQ37" s="11"/>
      <c r="AR37" s="31" t="s">
        <v>15</v>
      </c>
      <c r="AS37" s="85">
        <f>COUNTIFS(GOLF!RANK,"1CL",GOLF!CONFINEMENT,"YES",GOLF!N:N, "&gt;0")</f>
        <v>0</v>
      </c>
      <c r="AT37" s="11"/>
      <c r="AU37" s="31" t="s">
        <v>15</v>
      </c>
      <c r="AV37" s="85">
        <f>COUNTIFS(HAWK!RANK,"1CL",HAWK!CONFINEMENT,"YES")</f>
        <v>10</v>
      </c>
      <c r="AW37" s="11"/>
      <c r="AX37" s="31" t="s">
        <v>15</v>
      </c>
      <c r="AY37" s="85">
        <f>COUNTIFS(HAWK!RANK,"1CL",HAWK!CONFINEMENT,"YES",HAWK!N:N, "&gt;0")</f>
        <v>3</v>
      </c>
      <c r="AZ37" s="11"/>
      <c r="BA37" s="86" t="s">
        <v>15</v>
      </c>
      <c r="BB37" s="85">
        <f>COUNTIFS(#REF!,"1CL",#REF!,"YES")</f>
        <v>0</v>
      </c>
      <c r="BC37" s="11"/>
      <c r="BD37" s="86" t="s">
        <v>15</v>
      </c>
      <c r="BE37" s="85">
        <f>COUNTIFS(#REF!,"1CL",#REF!,"YES",CONDUCT!N:N, "&gt;0")</f>
        <v>0</v>
      </c>
      <c r="BF37" s="11"/>
      <c r="BG37" s="11"/>
      <c r="BH37" s="11"/>
      <c r="BI37" s="11"/>
      <c r="BJ37" s="11"/>
      <c r="BK37" s="11"/>
    </row>
    <row r="38" ht="27.75" customHeight="1">
      <c r="A38" s="11"/>
      <c r="B38" s="11"/>
      <c r="C38" s="11"/>
      <c r="D38" s="11"/>
      <c r="E38" s="32" t="s">
        <v>16</v>
      </c>
      <c r="F38" s="85">
        <f>COUNTIFS(RANK,"2CL",CONFINEMENT,"YES")</f>
        <v>12</v>
      </c>
      <c r="G38" s="11"/>
      <c r="H38" s="32" t="s">
        <v>16</v>
      </c>
      <c r="I38" s="85">
        <f>COUNTIFS(RANK,"2CL",CONFINEMENT,"YES",ALFA!N:N, "&gt;0")</f>
        <v>10</v>
      </c>
      <c r="J38" s="11"/>
      <c r="K38" s="32" t="s">
        <v>16</v>
      </c>
      <c r="L38" s="85">
        <f>COUNTIFS(BRAVO!RANK,"2CL",BRAVO!CONFINEMENT,"YES")</f>
        <v>5</v>
      </c>
      <c r="M38" s="11"/>
      <c r="N38" s="32" t="s">
        <v>16</v>
      </c>
      <c r="O38" s="85">
        <f>COUNTIFS(BRAVO!RANK,"2CL",BRAVO!CONFINEMENT,"YES",BRAVO!N:N, "&gt;0")</f>
        <v>0</v>
      </c>
      <c r="P38" s="11"/>
      <c r="Q38" s="32" t="s">
        <v>16</v>
      </c>
      <c r="R38" s="85">
        <f>COUNTIFS(CHARLIE!RANK,"2CL",CHARLIE!CONFINEMENT,"YES")</f>
        <v>11</v>
      </c>
      <c r="S38" s="11"/>
      <c r="T38" s="32" t="s">
        <v>16</v>
      </c>
      <c r="U38" s="85">
        <f>COUNTIFS(CHARLIE!RANK,"2CL",CHARLIE!CONFINEMENT,"YES",CHARLIE!N:N, "&gt;0")</f>
        <v>4</v>
      </c>
      <c r="V38" s="11"/>
      <c r="W38" s="32" t="s">
        <v>16</v>
      </c>
      <c r="X38" s="85">
        <f>COUNTIFS(DELTA!RANK,"2CL",DELTA!CONFINEMENT,"YES")</f>
        <v>13</v>
      </c>
      <c r="Y38" s="11"/>
      <c r="Z38" s="32" t="s">
        <v>16</v>
      </c>
      <c r="AA38" s="85">
        <f>COUNTIFS(DELTA!RANK,"2CL",DELTA!CONFINEMENT,"YES",DELTA!N:N, "&gt;0")</f>
        <v>4</v>
      </c>
      <c r="AB38" s="11"/>
      <c r="AC38" s="32" t="s">
        <v>16</v>
      </c>
      <c r="AD38" s="85">
        <f>COUNTIFS(ECHO!RANK,"2CL",ECHO!CONFINEMENT,"YES")</f>
        <v>17</v>
      </c>
      <c r="AE38" s="11"/>
      <c r="AF38" s="32" t="s">
        <v>16</v>
      </c>
      <c r="AG38" s="85">
        <f>COUNTIFS(ECHO!RANK,"2CL",ECHO!CONFINEMENT,"YES",ECHO!M:M, "&gt;0")</f>
        <v>1</v>
      </c>
      <c r="AH38" s="11"/>
      <c r="AI38" s="32" t="s">
        <v>16</v>
      </c>
      <c r="AJ38" s="85">
        <f>COUNTIFS(FOXTROT!RANK,"2CL",FOXTROT!CONFINEMENT,"YES")</f>
        <v>0</v>
      </c>
      <c r="AK38" s="11"/>
      <c r="AL38" s="32" t="s">
        <v>16</v>
      </c>
      <c r="AM38" s="85">
        <f>COUNTIFS(FOXTROT!RANK,"2CL",FOXTROT!CONFINEMENT,"YES",FOXTROT!N:N, "&gt;0")</f>
        <v>0</v>
      </c>
      <c r="AN38" s="11"/>
      <c r="AO38" s="32" t="s">
        <v>16</v>
      </c>
      <c r="AP38" s="85">
        <f>COUNTIFS(GOLF!RANK,"2CL",GOLF!CONFINEMENT,"YES")</f>
        <v>1</v>
      </c>
      <c r="AQ38" s="11"/>
      <c r="AR38" s="32" t="s">
        <v>16</v>
      </c>
      <c r="AS38" s="85">
        <f>COUNTIFS(GOLF!RANK,"2CL",GOLF!CONFINEMENT,"YES",GOLF!N:N, "&gt;0")</f>
        <v>0</v>
      </c>
      <c r="AT38" s="11"/>
      <c r="AU38" s="32" t="s">
        <v>16</v>
      </c>
      <c r="AV38" s="85">
        <f>COUNTIFS(HAWK!RANK,"2CL",HAWK!CONFINEMENT,"YES")</f>
        <v>29</v>
      </c>
      <c r="AW38" s="11"/>
      <c r="AX38" s="32" t="s">
        <v>16</v>
      </c>
      <c r="AY38" s="85">
        <f>COUNTIFS(HAWK!RANK,"2CL",HAWK!CONFINEMENT,"YES",HAWK!N:N, "&gt;0")</f>
        <v>2</v>
      </c>
      <c r="AZ38" s="11"/>
      <c r="BA38" s="87" t="s">
        <v>16</v>
      </c>
      <c r="BB38" s="85">
        <f>COUNTIFS(#REF!,"2CL",#REF!,"YES")</f>
        <v>0</v>
      </c>
      <c r="BC38" s="11"/>
      <c r="BD38" s="87" t="s">
        <v>16</v>
      </c>
      <c r="BE38" s="85">
        <f>COUNTIFS(#REF!,"2CL",#REF!,"YES",CONDUCT!N:N, "&gt;0")</f>
        <v>0</v>
      </c>
      <c r="BF38" s="11"/>
      <c r="BG38" s="11"/>
      <c r="BH38" s="11"/>
      <c r="BI38" s="11"/>
      <c r="BJ38" s="11"/>
      <c r="BK38" s="11"/>
    </row>
    <row r="39" ht="27.75" customHeight="1">
      <c r="A39" s="11"/>
      <c r="B39" s="11"/>
      <c r="C39" s="11"/>
      <c r="D39" s="11"/>
      <c r="E39" s="33" t="s">
        <v>17</v>
      </c>
      <c r="F39" s="85">
        <f>COUNTIFS(RANK,"3CL",CONFINEMENT,"YES")</f>
        <v>1</v>
      </c>
      <c r="G39" s="11"/>
      <c r="H39" s="33" t="s">
        <v>17</v>
      </c>
      <c r="I39" s="85">
        <f>COUNTIFS(RANK,"3CL",CONFINEMENT,"YES",ALFA!N:N, "&gt;0")</f>
        <v>0</v>
      </c>
      <c r="J39" s="11"/>
      <c r="K39" s="33" t="s">
        <v>17</v>
      </c>
      <c r="L39" s="85">
        <f>COUNTIFS(BRAVO!RANK,"3CL",BRAVO!CONFINEMENT,"YES")</f>
        <v>6</v>
      </c>
      <c r="M39" s="11"/>
      <c r="N39" s="33" t="s">
        <v>17</v>
      </c>
      <c r="O39" s="85">
        <f>COUNTIFS(BRAVO!RANK,"3CL",BRAVO!CONFINEMENT,"YES",BRAVO!N:N, "&gt;0")</f>
        <v>0</v>
      </c>
      <c r="P39" s="11"/>
      <c r="Q39" s="33" t="s">
        <v>17</v>
      </c>
      <c r="R39" s="85">
        <f>COUNTIFS(CHARLIE!RANK,"3CL",CHARLIE!CONFINEMENT,"YES")</f>
        <v>26</v>
      </c>
      <c r="S39" s="11"/>
      <c r="T39" s="33" t="s">
        <v>17</v>
      </c>
      <c r="U39" s="85">
        <f>COUNTIFS(CHARLIE!RANK,"3CL",CHARLIE!CONFINEMENT,"YES",CHARLIE!N:N, "&gt;0")</f>
        <v>9</v>
      </c>
      <c r="V39" s="11"/>
      <c r="W39" s="33" t="s">
        <v>17</v>
      </c>
      <c r="X39" s="85">
        <f>COUNTIFS(DELTA!RANK,"3CL",DELTA!CONFINEMENT,"YES")</f>
        <v>11</v>
      </c>
      <c r="Y39" s="11"/>
      <c r="Z39" s="33" t="s">
        <v>17</v>
      </c>
      <c r="AA39" s="85">
        <f>COUNTIFS(DELTA!RANK,"3CL",DELTA!CONFINEMENT,"YES",DELTA!N:N, "&gt;0")</f>
        <v>0</v>
      </c>
      <c r="AB39" s="11"/>
      <c r="AC39" s="33" t="s">
        <v>17</v>
      </c>
      <c r="AD39" s="85">
        <f>COUNTIFS(ECHO!RANK,"3CL",ECHO!CONFINEMENT,"YES")</f>
        <v>11</v>
      </c>
      <c r="AE39" s="11"/>
      <c r="AF39" s="33" t="s">
        <v>17</v>
      </c>
      <c r="AG39" s="85">
        <f>COUNTIFS(ECHO!RANK,"3CL",ECHO!CONFINEMENT,"YES",ECHO!M:M, "&gt;0")</f>
        <v>0</v>
      </c>
      <c r="AH39" s="11"/>
      <c r="AI39" s="33" t="s">
        <v>17</v>
      </c>
      <c r="AJ39" s="85">
        <f>COUNTIFS(FOXTROT!RANK,"3CL",FOXTROT!CONFINEMENT,"YES")</f>
        <v>0</v>
      </c>
      <c r="AK39" s="11"/>
      <c r="AL39" s="33" t="s">
        <v>17</v>
      </c>
      <c r="AM39" s="85">
        <f>COUNTIFS(FOXTROT!RANK,"3CL",FOXTROT!CONFINEMENT,"YES",FOXTROT!N:N, "&gt;0")</f>
        <v>0</v>
      </c>
      <c r="AN39" s="11"/>
      <c r="AO39" s="33" t="s">
        <v>17</v>
      </c>
      <c r="AP39" s="85">
        <f>COUNTIFS(GOLF!RANK,"3CL",GOLF!CONFINEMENT,"YES")</f>
        <v>3</v>
      </c>
      <c r="AQ39" s="11"/>
      <c r="AR39" s="33" t="s">
        <v>17</v>
      </c>
      <c r="AS39" s="85">
        <f>COUNTIFS(GOLF!RANK,"3CL",GOLF!CONFINEMENT,"YES",GOLF!N:N, "&gt;0")</f>
        <v>3</v>
      </c>
      <c r="AT39" s="11"/>
      <c r="AU39" s="33" t="s">
        <v>17</v>
      </c>
      <c r="AV39" s="85">
        <f>COUNTIFS(HAWK!RANK,"3CL",HAWK!CONFINEMENT,"YES")</f>
        <v>20</v>
      </c>
      <c r="AW39" s="11"/>
      <c r="AX39" s="33" t="s">
        <v>17</v>
      </c>
      <c r="AY39" s="85">
        <f>COUNTIFS(HAWK!RANK,"3CL",HAWK!CONFINEMENT,"YES",HAWK!N:N, "&gt;0")</f>
        <v>3</v>
      </c>
      <c r="AZ39" s="11"/>
      <c r="BA39" s="88" t="s">
        <v>17</v>
      </c>
      <c r="BB39" s="85">
        <f>COUNTIFS(#REF!,"3CL",#REF!,"YES")</f>
        <v>0</v>
      </c>
      <c r="BC39" s="11"/>
      <c r="BD39" s="88" t="s">
        <v>17</v>
      </c>
      <c r="BE39" s="85">
        <f>COUNTIFS(#REF!,"3CL",#REF!,"YES",CONDUCT!N:N, "&gt;0")</f>
        <v>0</v>
      </c>
      <c r="BF39" s="11"/>
      <c r="BG39" s="11"/>
      <c r="BH39" s="11"/>
      <c r="BI39" s="11"/>
      <c r="BJ39" s="11"/>
      <c r="BK39" s="11"/>
    </row>
    <row r="40" ht="27.75" customHeight="1">
      <c r="A40" s="11"/>
      <c r="B40" s="11"/>
      <c r="C40" s="11"/>
      <c r="D40" s="11"/>
      <c r="E40" s="34" t="s">
        <v>18</v>
      </c>
      <c r="F40" s="85">
        <f>COUNTIFS(RANK,"4CL",CONFINEMENT,"YES")</f>
        <v>1</v>
      </c>
      <c r="G40" s="11"/>
      <c r="H40" s="34" t="s">
        <v>18</v>
      </c>
      <c r="I40" s="85">
        <f>COUNTIFS(RANK,"4CL",CONFINEMENT,"YES",ALFA!N:N, "&gt;0")</f>
        <v>0</v>
      </c>
      <c r="J40" s="11"/>
      <c r="K40" s="34" t="s">
        <v>18</v>
      </c>
      <c r="L40" s="85">
        <f>COUNTIFS(BRAVO!RANK,"4CL",BRAVO!CONFINEMENT,"YES")</f>
        <v>0</v>
      </c>
      <c r="M40" s="11"/>
      <c r="N40" s="34" t="s">
        <v>18</v>
      </c>
      <c r="O40" s="85">
        <f>COUNTIFS(BRAVO!RANK,"4CL",BRAVO!CONFINEMENT,"YES",BRAVO!N:N, "&gt;0")</f>
        <v>0</v>
      </c>
      <c r="P40" s="11"/>
      <c r="Q40" s="34" t="s">
        <v>18</v>
      </c>
      <c r="R40" s="85">
        <f>COUNTIFS(CHARLIE!RANK,"4CL",CHARLIE!CONFINEMENT,"YES")</f>
        <v>17</v>
      </c>
      <c r="S40" s="11"/>
      <c r="T40" s="34" t="s">
        <v>18</v>
      </c>
      <c r="U40" s="85">
        <f>COUNTIFS(CHARLIE!RANK,"4CL",CHARLIE!CONFINEMENT,"YES",CHARLIE!N:N, "&gt;0")</f>
        <v>7</v>
      </c>
      <c r="V40" s="11"/>
      <c r="W40" s="34" t="s">
        <v>18</v>
      </c>
      <c r="X40" s="85">
        <f>COUNTIFS(DELTA!RANK,"4CL",DELTA!CONFINEMENT,"YES")</f>
        <v>2</v>
      </c>
      <c r="Y40" s="11"/>
      <c r="Z40" s="34" t="s">
        <v>18</v>
      </c>
      <c r="AA40" s="85">
        <f>COUNTIFS(DELTA!RANK,"4CL",DELTA!CONFINEMENT,"YES",DELTA!N:N, "&gt;0")</f>
        <v>0</v>
      </c>
      <c r="AB40" s="11"/>
      <c r="AC40" s="34" t="s">
        <v>18</v>
      </c>
      <c r="AD40" s="85">
        <f>COUNTIFS(ECHO!RANK,"4CL",ECHO!CONFINEMENT,"YES")</f>
        <v>0</v>
      </c>
      <c r="AE40" s="11"/>
      <c r="AF40" s="34" t="s">
        <v>18</v>
      </c>
      <c r="AG40" s="85">
        <f>COUNTIFS(ECHO!RANK,"4CL",ECHO!CONFINEMENT,"YES",ECHO!M:M, "&gt;0")</f>
        <v>0</v>
      </c>
      <c r="AH40" s="11"/>
      <c r="AI40" s="34" t="s">
        <v>18</v>
      </c>
      <c r="AJ40" s="85">
        <f>COUNTIFS(FOXTROT!RANK,"4CL",FOXTROT!CONFINEMENT,"YES")</f>
        <v>0</v>
      </c>
      <c r="AK40" s="11"/>
      <c r="AL40" s="34" t="s">
        <v>18</v>
      </c>
      <c r="AM40" s="85">
        <f>COUNTIFS(FOXTROT!RANK,"4CL",FOXTROT!CONFINEMENT,"YES",FOXTROT!N:N, "&gt;0")</f>
        <v>0</v>
      </c>
      <c r="AN40" s="11"/>
      <c r="AO40" s="34" t="s">
        <v>18</v>
      </c>
      <c r="AP40" s="85">
        <f>COUNTIFS(GOLF!RANK,"4CL",GOLF!CONFINEMENT,"YES")</f>
        <v>0</v>
      </c>
      <c r="AQ40" s="11"/>
      <c r="AR40" s="34" t="s">
        <v>18</v>
      </c>
      <c r="AS40" s="85">
        <f>COUNTIFS(GOLF!RANK,"4CL",GOLF!CONFINEMENT,"YES",GOLF!N:N, "&gt;0")</f>
        <v>0</v>
      </c>
      <c r="AT40" s="11"/>
      <c r="AU40" s="34" t="s">
        <v>18</v>
      </c>
      <c r="AV40" s="85">
        <f>COUNTIFS(HAWK!RANK,"4CL",HAWK!CONFINEMENT,"YES")</f>
        <v>0</v>
      </c>
      <c r="AW40" s="11"/>
      <c r="AX40" s="34" t="s">
        <v>18</v>
      </c>
      <c r="AY40" s="85">
        <f>COUNTIFS(HAWK!RANK,"4CL",HAWK!CONFINEMENT,"YES",HAWK!N:N, "&gt;0")</f>
        <v>0</v>
      </c>
      <c r="AZ40" s="11"/>
      <c r="BA40" s="89" t="s">
        <v>18</v>
      </c>
      <c r="BB40" s="85">
        <f>COUNTIFS(#REF!,"4CL",#REF!,"YES")</f>
        <v>0</v>
      </c>
      <c r="BC40" s="11"/>
      <c r="BD40" s="89" t="s">
        <v>18</v>
      </c>
      <c r="BE40" s="85">
        <f>COUNTIFS(#REF!,"4CL",#REF!,"YES",CONDUCT!N:N, "&gt;0")</f>
        <v>0</v>
      </c>
      <c r="BF40" s="11"/>
      <c r="BG40" s="11"/>
      <c r="BH40" s="11"/>
      <c r="BI40" s="11"/>
      <c r="BJ40" s="11"/>
      <c r="BK40" s="11"/>
    </row>
    <row r="41">
      <c r="A41" s="11"/>
      <c r="B41" s="11"/>
      <c r="C41" s="11"/>
      <c r="D41" s="11"/>
      <c r="E41" s="90" t="s">
        <v>30</v>
      </c>
      <c r="F41" s="91">
        <f>SUM(F37:F40)</f>
        <v>15</v>
      </c>
      <c r="G41" s="92"/>
      <c r="H41" s="90" t="s">
        <v>30</v>
      </c>
      <c r="I41" s="91">
        <f>SUM(I37:I40)</f>
        <v>11</v>
      </c>
      <c r="J41" s="11"/>
      <c r="K41" s="90" t="s">
        <v>30</v>
      </c>
      <c r="L41" s="91">
        <f>SUM(L37:L40)</f>
        <v>16</v>
      </c>
      <c r="M41" s="92"/>
      <c r="N41" s="90" t="s">
        <v>30</v>
      </c>
      <c r="O41" s="91">
        <f>SUM(O37:O40)</f>
        <v>0</v>
      </c>
      <c r="P41" s="11"/>
      <c r="Q41" s="90" t="s">
        <v>30</v>
      </c>
      <c r="R41" s="91">
        <f>SUM(R37:R40)</f>
        <v>68</v>
      </c>
      <c r="S41" s="11"/>
      <c r="T41" s="90" t="s">
        <v>30</v>
      </c>
      <c r="U41" s="91">
        <f>SUM(U37:U40)</f>
        <v>20</v>
      </c>
      <c r="V41" s="11"/>
      <c r="W41" s="90" t="s">
        <v>30</v>
      </c>
      <c r="X41" s="91">
        <f>SUM(X37:X40)</f>
        <v>29</v>
      </c>
      <c r="Y41" s="11"/>
      <c r="Z41" s="90" t="s">
        <v>30</v>
      </c>
      <c r="AA41" s="91">
        <f>SUM(AA37:AA40)</f>
        <v>4</v>
      </c>
      <c r="AB41" s="11"/>
      <c r="AC41" s="90" t="s">
        <v>30</v>
      </c>
      <c r="AD41" s="91">
        <f>SUM(AD37:AD40)</f>
        <v>37</v>
      </c>
      <c r="AE41" s="11"/>
      <c r="AF41" s="90" t="s">
        <v>30</v>
      </c>
      <c r="AG41" s="91">
        <f>SUM(AG37:AG40)</f>
        <v>1</v>
      </c>
      <c r="AH41" s="11"/>
      <c r="AI41" s="90" t="s">
        <v>30</v>
      </c>
      <c r="AJ41" s="91">
        <f>SUM(AJ37:AJ40)</f>
        <v>0</v>
      </c>
      <c r="AK41" s="11"/>
      <c r="AL41" s="90" t="s">
        <v>30</v>
      </c>
      <c r="AM41" s="91">
        <f>SUM(AM37:AM40)</f>
        <v>0</v>
      </c>
      <c r="AN41" s="11"/>
      <c r="AO41" s="90" t="s">
        <v>30</v>
      </c>
      <c r="AP41" s="91">
        <f>SUM(AP37:AP40)</f>
        <v>4</v>
      </c>
      <c r="AQ41" s="11"/>
      <c r="AR41" s="90" t="s">
        <v>30</v>
      </c>
      <c r="AS41" s="91">
        <f>SUM(AS37:AS40)</f>
        <v>3</v>
      </c>
      <c r="AT41" s="11"/>
      <c r="AU41" s="90" t="s">
        <v>30</v>
      </c>
      <c r="AV41" s="91">
        <f>SUM(AV37:AV40)</f>
        <v>59</v>
      </c>
      <c r="AW41" s="11"/>
      <c r="AX41" s="90" t="s">
        <v>30</v>
      </c>
      <c r="AY41" s="91">
        <f>SUM(AY37:AY40)</f>
        <v>8</v>
      </c>
      <c r="AZ41" s="11"/>
      <c r="BA41" s="90" t="s">
        <v>30</v>
      </c>
      <c r="BB41" s="91">
        <f>SUM(BB37:BB40)</f>
        <v>0</v>
      </c>
      <c r="BC41" s="11"/>
      <c r="BD41" s="90" t="s">
        <v>30</v>
      </c>
      <c r="BE41" s="91">
        <f>SUM(BE37:BE40)</f>
        <v>0</v>
      </c>
      <c r="BF41" s="11"/>
      <c r="BG41" s="11"/>
      <c r="BH41" s="11"/>
      <c r="BI41" s="11"/>
      <c r="BJ41" s="11"/>
      <c r="BK41" s="11"/>
    </row>
    <row r="42">
      <c r="A42" s="11"/>
      <c r="B42" s="11"/>
      <c r="C42" s="11"/>
      <c r="D42" s="11"/>
      <c r="E42" s="7"/>
      <c r="F42" s="68"/>
      <c r="G42" s="92"/>
      <c r="H42" s="7"/>
      <c r="I42" s="68"/>
      <c r="J42" s="11"/>
      <c r="K42" s="7"/>
      <c r="L42" s="68"/>
      <c r="M42" s="92"/>
      <c r="N42" s="7"/>
      <c r="O42" s="68"/>
      <c r="P42" s="11"/>
      <c r="Q42" s="7"/>
      <c r="R42" s="68"/>
      <c r="S42" s="11"/>
      <c r="T42" s="7"/>
      <c r="U42" s="68"/>
      <c r="V42" s="11"/>
      <c r="W42" s="7"/>
      <c r="X42" s="68"/>
      <c r="Y42" s="11"/>
      <c r="Z42" s="7"/>
      <c r="AA42" s="68"/>
      <c r="AB42" s="11"/>
      <c r="AC42" s="7"/>
      <c r="AD42" s="68"/>
      <c r="AE42" s="11"/>
      <c r="AF42" s="7"/>
      <c r="AG42" s="68"/>
      <c r="AH42" s="11"/>
      <c r="AI42" s="7"/>
      <c r="AJ42" s="68"/>
      <c r="AK42" s="11"/>
      <c r="AL42" s="7"/>
      <c r="AM42" s="68"/>
      <c r="AN42" s="11"/>
      <c r="AO42" s="7"/>
      <c r="AP42" s="68"/>
      <c r="AQ42" s="11"/>
      <c r="AR42" s="7"/>
      <c r="AS42" s="68"/>
      <c r="AT42" s="11"/>
      <c r="AU42" s="7"/>
      <c r="AV42" s="68"/>
      <c r="AW42" s="11"/>
      <c r="AX42" s="7"/>
      <c r="AY42" s="68"/>
      <c r="AZ42" s="11"/>
      <c r="BA42" s="7"/>
      <c r="BB42" s="68"/>
      <c r="BC42" s="11"/>
      <c r="BD42" s="7"/>
      <c r="BE42" s="68"/>
      <c r="BF42" s="11"/>
      <c r="BG42" s="11"/>
      <c r="BH42" s="11"/>
      <c r="BI42" s="11"/>
      <c r="BJ42" s="11"/>
      <c r="BK42" s="11"/>
    </row>
    <row r="43">
      <c r="A43" s="11"/>
      <c r="B43" s="11"/>
      <c r="C43" s="11"/>
      <c r="D43" s="11"/>
      <c r="E43" s="92"/>
      <c r="F43" s="92"/>
      <c r="G43" s="9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</row>
    <row r="44">
      <c r="A44" s="11"/>
      <c r="B44" s="11"/>
      <c r="C44" s="11"/>
      <c r="D44" s="11"/>
      <c r="E44" s="92"/>
      <c r="F44" s="92"/>
      <c r="G44" s="9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</row>
    <row r="45">
      <c r="A45" s="11"/>
      <c r="B45" s="11"/>
      <c r="C45" s="11"/>
      <c r="D45" s="11"/>
      <c r="E45" s="92"/>
      <c r="F45" s="92"/>
      <c r="G45" s="9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</row>
    <row r="46">
      <c r="A46" s="11"/>
      <c r="B46" s="11"/>
      <c r="C46" s="11"/>
      <c r="D46" s="11"/>
      <c r="E46" s="93" t="s">
        <v>38</v>
      </c>
      <c r="F46" s="2"/>
      <c r="G46" s="2"/>
      <c r="H46" s="2"/>
      <c r="I46" s="2"/>
      <c r="J46" s="3"/>
      <c r="K46" s="93" t="s">
        <v>39</v>
      </c>
      <c r="L46" s="2"/>
      <c r="M46" s="2"/>
      <c r="N46" s="2"/>
      <c r="O46" s="2"/>
      <c r="P46" s="3"/>
      <c r="Q46" s="93" t="s">
        <v>37</v>
      </c>
      <c r="R46" s="2"/>
      <c r="S46" s="2"/>
      <c r="T46" s="2"/>
      <c r="U46" s="2"/>
      <c r="V46" s="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</row>
    <row r="47">
      <c r="A47" s="11"/>
      <c r="B47" s="11"/>
      <c r="C47" s="11"/>
      <c r="D47" s="11"/>
      <c r="E47" s="7"/>
      <c r="F47" s="8"/>
      <c r="G47" s="8"/>
      <c r="H47" s="8"/>
      <c r="I47" s="8"/>
      <c r="J47" s="9"/>
      <c r="K47" s="7"/>
      <c r="L47" s="8"/>
      <c r="M47" s="8"/>
      <c r="N47" s="8"/>
      <c r="O47" s="8"/>
      <c r="P47" s="9"/>
      <c r="Q47" s="7"/>
      <c r="R47" s="8"/>
      <c r="S47" s="8"/>
      <c r="T47" s="8"/>
      <c r="U47" s="8"/>
      <c r="V47" s="9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</row>
    <row r="48" ht="39.75" customHeight="1">
      <c r="A48" s="11"/>
      <c r="B48" s="11"/>
      <c r="C48" s="11"/>
      <c r="D48" s="11"/>
      <c r="E48" s="94" t="s">
        <v>40</v>
      </c>
      <c r="F48" s="95">
        <v>6.0</v>
      </c>
      <c r="G48" s="96"/>
      <c r="H48" s="96"/>
      <c r="I48" s="96"/>
      <c r="J48" s="97"/>
      <c r="K48" s="94" t="s">
        <v>40</v>
      </c>
      <c r="L48" s="98">
        <f>F41</f>
        <v>15</v>
      </c>
      <c r="M48" s="96"/>
      <c r="N48" s="96"/>
      <c r="O48" s="96"/>
      <c r="P48" s="97"/>
      <c r="Q48" s="94" t="s">
        <v>40</v>
      </c>
      <c r="R48" s="95">
        <f>I41</f>
        <v>11</v>
      </c>
      <c r="S48" s="96"/>
      <c r="T48" s="96"/>
      <c r="U48" s="96"/>
      <c r="V48" s="97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</row>
    <row r="49" ht="39.75" customHeight="1">
      <c r="A49" s="11"/>
      <c r="B49" s="11"/>
      <c r="C49" s="11"/>
      <c r="D49" s="11"/>
      <c r="E49" s="99" t="s">
        <v>41</v>
      </c>
      <c r="F49" s="98">
        <f>SUM(L20:O21)</f>
        <v>0</v>
      </c>
      <c r="G49" s="96"/>
      <c r="H49" s="96"/>
      <c r="I49" s="96"/>
      <c r="J49" s="97"/>
      <c r="K49" s="99" t="s">
        <v>41</v>
      </c>
      <c r="L49" s="98">
        <f>L41</f>
        <v>16</v>
      </c>
      <c r="M49" s="96"/>
      <c r="N49" s="96"/>
      <c r="O49" s="96"/>
      <c r="P49" s="97"/>
      <c r="Q49" s="99" t="s">
        <v>41</v>
      </c>
      <c r="R49" s="95">
        <f>O41</f>
        <v>0</v>
      </c>
      <c r="S49" s="96"/>
      <c r="T49" s="96"/>
      <c r="U49" s="96"/>
      <c r="V49" s="97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</row>
    <row r="50" ht="39.75" customHeight="1">
      <c r="A50" s="11"/>
      <c r="B50" s="11"/>
      <c r="C50" s="11"/>
      <c r="D50" s="11"/>
      <c r="E50" s="100" t="s">
        <v>42</v>
      </c>
      <c r="F50" s="98">
        <f>SUM(R20:U21)</f>
        <v>24</v>
      </c>
      <c r="G50" s="96"/>
      <c r="H50" s="96"/>
      <c r="I50" s="96"/>
      <c r="J50" s="97"/>
      <c r="K50" s="100" t="s">
        <v>42</v>
      </c>
      <c r="L50" s="98">
        <f>R41</f>
        <v>68</v>
      </c>
      <c r="M50" s="96"/>
      <c r="N50" s="96"/>
      <c r="O50" s="96"/>
      <c r="P50" s="97"/>
      <c r="Q50" s="100" t="s">
        <v>42</v>
      </c>
      <c r="R50" s="95">
        <f>U41</f>
        <v>20</v>
      </c>
      <c r="S50" s="96"/>
      <c r="T50" s="96"/>
      <c r="U50" s="96"/>
      <c r="V50" s="97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</row>
    <row r="51" ht="39.75" customHeight="1">
      <c r="A51" s="11"/>
      <c r="B51" s="11"/>
      <c r="C51" s="11"/>
      <c r="D51" s="11"/>
      <c r="E51" s="101" t="s">
        <v>43</v>
      </c>
      <c r="F51" s="98">
        <f>SUM(X32:Z33)</f>
        <v>18</v>
      </c>
      <c r="G51" s="96"/>
      <c r="H51" s="96"/>
      <c r="I51" s="96"/>
      <c r="J51" s="97"/>
      <c r="K51" s="102" t="s">
        <v>43</v>
      </c>
      <c r="L51" s="98">
        <f>X41</f>
        <v>29</v>
      </c>
      <c r="M51" s="96"/>
      <c r="N51" s="96"/>
      <c r="O51" s="96"/>
      <c r="P51" s="97"/>
      <c r="Q51" s="101" t="s">
        <v>43</v>
      </c>
      <c r="R51" s="95">
        <f>AA41</f>
        <v>4</v>
      </c>
      <c r="S51" s="96"/>
      <c r="T51" s="96"/>
      <c r="U51" s="96"/>
      <c r="V51" s="97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</row>
    <row r="52" ht="39.75" customHeight="1">
      <c r="A52" s="11"/>
      <c r="B52" s="11"/>
      <c r="C52" s="11"/>
      <c r="D52" s="11"/>
      <c r="E52" s="103" t="s">
        <v>44</v>
      </c>
      <c r="F52" s="98">
        <f>SUM(AD20:AG21)</f>
        <v>2</v>
      </c>
      <c r="G52" s="96"/>
      <c r="H52" s="96"/>
      <c r="I52" s="96"/>
      <c r="J52" s="97"/>
      <c r="K52" s="103" t="s">
        <v>44</v>
      </c>
      <c r="L52" s="98">
        <f>AD41</f>
        <v>37</v>
      </c>
      <c r="M52" s="96"/>
      <c r="N52" s="96"/>
      <c r="O52" s="96"/>
      <c r="P52" s="97"/>
      <c r="Q52" s="103" t="s">
        <v>44</v>
      </c>
      <c r="R52" s="95">
        <f>AG41</f>
        <v>1</v>
      </c>
      <c r="S52" s="96"/>
      <c r="T52" s="96"/>
      <c r="U52" s="96"/>
      <c r="V52" s="97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</row>
    <row r="53" ht="39.75" customHeight="1">
      <c r="A53" s="11"/>
      <c r="B53" s="11"/>
      <c r="C53" s="11"/>
      <c r="D53" s="11"/>
      <c r="E53" s="104" t="s">
        <v>45</v>
      </c>
      <c r="F53" s="98">
        <f>SUM(AJ20:AM21)</f>
        <v>11</v>
      </c>
      <c r="G53" s="96"/>
      <c r="H53" s="96"/>
      <c r="I53" s="96"/>
      <c r="J53" s="97"/>
      <c r="K53" s="104" t="s">
        <v>45</v>
      </c>
      <c r="L53" s="98">
        <f>AJ41</f>
        <v>0</v>
      </c>
      <c r="M53" s="96"/>
      <c r="N53" s="96"/>
      <c r="O53" s="96"/>
      <c r="P53" s="97"/>
      <c r="Q53" s="104" t="s">
        <v>45</v>
      </c>
      <c r="R53" s="95">
        <f>AJ41</f>
        <v>0</v>
      </c>
      <c r="S53" s="96"/>
      <c r="T53" s="96"/>
      <c r="U53" s="96"/>
      <c r="V53" s="97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</row>
    <row r="54" ht="39.75" customHeight="1">
      <c r="A54" s="11"/>
      <c r="B54" s="11"/>
      <c r="C54" s="11"/>
      <c r="D54" s="11"/>
      <c r="E54" s="105" t="s">
        <v>46</v>
      </c>
      <c r="F54" s="98">
        <f>SUM(AP20:AS21)</f>
        <v>0</v>
      </c>
      <c r="G54" s="96"/>
      <c r="H54" s="96"/>
      <c r="I54" s="96"/>
      <c r="J54" s="97"/>
      <c r="K54" s="105" t="s">
        <v>46</v>
      </c>
      <c r="L54" s="98">
        <f>AP41</f>
        <v>4</v>
      </c>
      <c r="M54" s="96"/>
      <c r="N54" s="96"/>
      <c r="O54" s="96"/>
      <c r="P54" s="97"/>
      <c r="Q54" s="105" t="s">
        <v>46</v>
      </c>
      <c r="R54" s="95">
        <f>AS41</f>
        <v>3</v>
      </c>
      <c r="S54" s="96"/>
      <c r="T54" s="96"/>
      <c r="U54" s="96"/>
      <c r="V54" s="97"/>
      <c r="W54" s="11"/>
      <c r="X54" s="11"/>
      <c r="Y54" s="11"/>
      <c r="Z54" s="11"/>
      <c r="AA54" s="11"/>
      <c r="AB54" s="11"/>
      <c r="AC54" s="11"/>
      <c r="AD54" s="11"/>
      <c r="AE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</row>
    <row r="55" ht="39.75" customHeight="1">
      <c r="A55" s="11"/>
      <c r="B55" s="11"/>
      <c r="C55" s="11"/>
      <c r="D55" s="11"/>
      <c r="E55" s="106" t="s">
        <v>47</v>
      </c>
      <c r="F55" s="98">
        <f>SUM(AV19:AY20)</f>
        <v>4</v>
      </c>
      <c r="G55" s="96"/>
      <c r="H55" s="96"/>
      <c r="I55" s="96"/>
      <c r="J55" s="97"/>
      <c r="K55" s="106" t="s">
        <v>47</v>
      </c>
      <c r="L55" s="98">
        <f>(AV41)</f>
        <v>59</v>
      </c>
      <c r="M55" s="96"/>
      <c r="N55" s="96"/>
      <c r="O55" s="96"/>
      <c r="P55" s="97"/>
      <c r="Q55" s="106" t="s">
        <v>47</v>
      </c>
      <c r="R55" s="95">
        <f>AY41</f>
        <v>8</v>
      </c>
      <c r="S55" s="96"/>
      <c r="T55" s="96"/>
      <c r="U55" s="96"/>
      <c r="V55" s="97"/>
      <c r="X55" s="11"/>
      <c r="Y55" s="11"/>
      <c r="Z55" s="11"/>
      <c r="AA55" s="11"/>
      <c r="AB55" s="11"/>
      <c r="AC55" s="11"/>
      <c r="AD55" s="11"/>
      <c r="AE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</row>
    <row r="56" ht="39.75" customHeight="1">
      <c r="A56" s="11"/>
      <c r="B56" s="11"/>
      <c r="C56" s="11"/>
      <c r="D56" s="11"/>
      <c r="E56" s="107" t="s">
        <v>12</v>
      </c>
      <c r="F56" s="95">
        <v>30.0</v>
      </c>
      <c r="G56" s="96"/>
      <c r="H56" s="96"/>
      <c r="I56" s="96"/>
      <c r="J56" s="97"/>
      <c r="K56" s="108" t="s">
        <v>12</v>
      </c>
      <c r="L56" s="95">
        <v>16.0</v>
      </c>
      <c r="M56" s="96"/>
      <c r="N56" s="96"/>
      <c r="O56" s="96"/>
      <c r="P56" s="97"/>
      <c r="Q56" s="109" t="s">
        <v>12</v>
      </c>
      <c r="R56" s="95">
        <v>11.0</v>
      </c>
      <c r="S56" s="96"/>
      <c r="T56" s="96"/>
      <c r="U56" s="96"/>
      <c r="V56" s="97"/>
      <c r="X56" s="11"/>
      <c r="Y56" s="11"/>
      <c r="Z56" s="11"/>
      <c r="AA56" s="11"/>
      <c r="AB56" s="11"/>
      <c r="AC56" s="11"/>
      <c r="AD56" s="11"/>
      <c r="AE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</row>
    <row r="57" ht="39.75" customHeight="1">
      <c r="A57" s="11"/>
      <c r="B57" s="11"/>
      <c r="C57" s="11"/>
      <c r="D57" s="11"/>
      <c r="E57" s="110" t="s">
        <v>30</v>
      </c>
      <c r="F57" s="98">
        <f>SUM(F48:J56)</f>
        <v>95</v>
      </c>
      <c r="G57" s="96"/>
      <c r="H57" s="96"/>
      <c r="I57" s="96"/>
      <c r="J57" s="97"/>
      <c r="K57" s="110" t="s">
        <v>30</v>
      </c>
      <c r="L57" s="98">
        <f>SUM(L48:P56)</f>
        <v>244</v>
      </c>
      <c r="M57" s="96"/>
      <c r="N57" s="96"/>
      <c r="O57" s="96"/>
      <c r="P57" s="97"/>
      <c r="Q57" s="110" t="s">
        <v>30</v>
      </c>
      <c r="R57" s="98">
        <f>SUM(R48:V56)</f>
        <v>58</v>
      </c>
      <c r="S57" s="96"/>
      <c r="T57" s="96"/>
      <c r="U57" s="96"/>
      <c r="V57" s="97"/>
      <c r="X57" s="11"/>
      <c r="Y57" s="11"/>
      <c r="Z57" s="11"/>
      <c r="AA57" s="11"/>
      <c r="AB57" s="11"/>
      <c r="AC57" s="11"/>
      <c r="AD57" s="11"/>
      <c r="AE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</row>
    <row r="58">
      <c r="A58" s="11"/>
      <c r="B58" s="11"/>
      <c r="C58" s="11"/>
      <c r="D58" s="11"/>
      <c r="E58" s="111"/>
      <c r="F58" s="111"/>
      <c r="K58" s="11"/>
      <c r="L58" s="11"/>
      <c r="M58" s="11"/>
      <c r="N58" s="11"/>
      <c r="O58" s="11"/>
      <c r="P58" s="11"/>
      <c r="X58" s="11"/>
      <c r="Y58" s="11"/>
      <c r="Z58" s="11"/>
      <c r="AA58" s="11"/>
      <c r="AB58" s="11"/>
      <c r="AC58" s="11"/>
      <c r="AD58" s="11"/>
      <c r="AE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</row>
    <row r="59">
      <c r="A59" s="11"/>
      <c r="B59" s="11"/>
      <c r="C59" s="11"/>
      <c r="D59" s="11"/>
      <c r="K59" s="11"/>
      <c r="L59" s="11"/>
      <c r="M59" s="11"/>
      <c r="N59" s="11"/>
      <c r="O59" s="11"/>
      <c r="P59" s="11"/>
      <c r="X59" s="11"/>
      <c r="Y59" s="11"/>
      <c r="Z59" s="11"/>
      <c r="AA59" s="11"/>
      <c r="AB59" s="11"/>
      <c r="AC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</row>
    <row r="60">
      <c r="A60" s="11"/>
      <c r="B60" s="11"/>
      <c r="C60" s="11"/>
      <c r="D60" s="11"/>
      <c r="K60" s="11"/>
      <c r="L60" s="11"/>
      <c r="M60" s="11"/>
      <c r="N60" s="11"/>
      <c r="O60" s="11"/>
      <c r="P60" s="11"/>
      <c r="Q60" s="11"/>
      <c r="X60" s="11"/>
      <c r="Y60" s="11"/>
      <c r="Z60" s="11"/>
      <c r="AA60" s="11"/>
      <c r="AB60" s="11"/>
      <c r="AC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</row>
    <row r="61">
      <c r="A61" s="11"/>
      <c r="B61" s="11"/>
      <c r="C61" s="11"/>
      <c r="D61" s="11"/>
      <c r="K61" s="11"/>
      <c r="L61" s="11"/>
      <c r="M61" s="11"/>
      <c r="N61" s="11"/>
      <c r="O61" s="11"/>
      <c r="P61" s="11"/>
      <c r="Q61" s="11"/>
      <c r="X61" s="11"/>
      <c r="Y61" s="11"/>
      <c r="Z61" s="11"/>
      <c r="AA61" s="11"/>
      <c r="AB61" s="11"/>
      <c r="AC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</row>
    <row r="62">
      <c r="A62" s="11"/>
      <c r="B62" s="11"/>
      <c r="C62" s="11"/>
      <c r="D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</row>
    <row r="63">
      <c r="A63" s="11"/>
      <c r="B63" s="11"/>
      <c r="C63" s="11"/>
      <c r="D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</row>
    <row r="64">
      <c r="A64" s="11"/>
      <c r="B64" s="11"/>
      <c r="C64" s="11"/>
      <c r="D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</row>
    <row r="65">
      <c r="A65" s="11"/>
      <c r="B65" s="11"/>
      <c r="C65" s="11"/>
      <c r="D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</row>
    <row r="66">
      <c r="A66" s="11"/>
      <c r="B66" s="11"/>
      <c r="C66" s="11"/>
      <c r="D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</row>
    <row r="67">
      <c r="A67" s="11"/>
      <c r="B67" s="11"/>
      <c r="C67" s="11"/>
      <c r="D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</row>
    <row r="68" ht="49.5" customHeight="1">
      <c r="A68" s="11"/>
      <c r="B68" s="11"/>
      <c r="C68" s="11"/>
      <c r="D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</row>
    <row r="69">
      <c r="A69" s="11"/>
      <c r="B69" s="11"/>
      <c r="C69" s="11"/>
      <c r="D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</row>
    <row r="70">
      <c r="A70" s="11"/>
      <c r="B70" s="11"/>
      <c r="C70" s="11"/>
      <c r="D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AC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V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V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V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</row>
    <row r="75">
      <c r="A75" s="11"/>
      <c r="B75" s="11"/>
      <c r="C75" s="11"/>
      <c r="D75" s="11"/>
      <c r="J75" s="11"/>
      <c r="V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</row>
    <row r="76">
      <c r="A76" s="11"/>
      <c r="B76" s="11"/>
      <c r="C76" s="11"/>
      <c r="D76" s="11"/>
      <c r="J76" s="11"/>
      <c r="V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</row>
    <row r="77">
      <c r="A77" s="11"/>
      <c r="B77" s="11"/>
      <c r="C77" s="11"/>
      <c r="D77" s="11"/>
      <c r="V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</row>
    <row r="78">
      <c r="A78" s="11"/>
      <c r="B78" s="11"/>
      <c r="C78" s="11"/>
      <c r="D78" s="11"/>
      <c r="Q78" s="11"/>
      <c r="R78" s="11"/>
      <c r="S78" s="11"/>
      <c r="T78" s="11"/>
      <c r="U78" s="11"/>
      <c r="V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</row>
    <row r="79">
      <c r="A79" s="11"/>
      <c r="B79" s="11"/>
      <c r="C79" s="11"/>
      <c r="D79" s="11"/>
      <c r="Q79" s="11"/>
      <c r="R79" s="11"/>
      <c r="S79" s="11"/>
      <c r="T79" s="11"/>
      <c r="U79" s="11"/>
      <c r="V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</row>
    <row r="80">
      <c r="A80" s="11"/>
      <c r="B80" s="11"/>
      <c r="C80" s="11"/>
      <c r="D80" s="11"/>
      <c r="Q80" s="11"/>
      <c r="R80" s="11"/>
      <c r="S80" s="11"/>
      <c r="T80" s="11"/>
      <c r="U80" s="11"/>
      <c r="V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</row>
    <row r="81">
      <c r="A81" s="11"/>
      <c r="B81" s="11"/>
      <c r="C81" s="11"/>
      <c r="D81" s="11"/>
      <c r="Q81" s="11"/>
      <c r="R81" s="11"/>
      <c r="S81" s="11"/>
      <c r="T81" s="11"/>
      <c r="U81" s="11"/>
      <c r="V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</row>
    <row r="82">
      <c r="A82" s="11"/>
      <c r="B82" s="11"/>
      <c r="C82" s="11"/>
      <c r="D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</row>
    <row r="83">
      <c r="A83" s="11"/>
      <c r="B83" s="11"/>
      <c r="C83" s="11"/>
      <c r="D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</row>
    <row r="84">
      <c r="A84" s="11"/>
      <c r="B84" s="11"/>
      <c r="C84" s="11"/>
      <c r="D84" s="11"/>
      <c r="E84" s="25" t="s">
        <v>13</v>
      </c>
      <c r="I84" s="6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</row>
    <row r="85">
      <c r="A85" s="11"/>
      <c r="B85" s="11"/>
      <c r="C85" s="11"/>
      <c r="D85" s="11"/>
      <c r="E85" s="7"/>
      <c r="F85" s="8"/>
      <c r="G85" s="8"/>
      <c r="H85" s="8"/>
      <c r="I85" s="9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</row>
    <row r="86">
      <c r="A86" s="11"/>
      <c r="B86" s="11"/>
      <c r="C86" s="11"/>
      <c r="D86" s="11"/>
      <c r="E86" s="30" t="s">
        <v>14</v>
      </c>
      <c r="F86" s="31" t="s">
        <v>15</v>
      </c>
      <c r="G86" s="32" t="s">
        <v>16</v>
      </c>
      <c r="H86" s="33" t="s">
        <v>17</v>
      </c>
      <c r="I86" s="34" t="s">
        <v>18</v>
      </c>
      <c r="K86" s="72" t="s">
        <v>31</v>
      </c>
      <c r="L86" s="2"/>
      <c r="M86" s="2"/>
      <c r="N86" s="2"/>
      <c r="O86" s="3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</row>
    <row r="87">
      <c r="A87" s="11"/>
      <c r="B87" s="11"/>
      <c r="C87" s="11"/>
      <c r="D87" s="11"/>
      <c r="E87" s="47" t="s">
        <v>19</v>
      </c>
      <c r="F87" s="48">
        <f t="shared" ref="F87:H87" si="19">F10+L10+R10+X10+AD10+AJ10+AP10+AV10</f>
        <v>2</v>
      </c>
      <c r="G87" s="48">
        <f t="shared" si="19"/>
        <v>2</v>
      </c>
      <c r="H87" s="48">
        <f t="shared" si="19"/>
        <v>4</v>
      </c>
      <c r="I87" s="60">
        <v>2.0</v>
      </c>
      <c r="K87" s="7"/>
      <c r="L87" s="8"/>
      <c r="M87" s="8"/>
      <c r="N87" s="8"/>
      <c r="O87" s="9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</row>
    <row r="88">
      <c r="A88" s="11"/>
      <c r="B88" s="11"/>
      <c r="C88" s="11"/>
      <c r="D88" s="11"/>
      <c r="E88" s="47" t="s">
        <v>20</v>
      </c>
      <c r="F88" s="48">
        <f t="shared" ref="F88:I88" si="20">F11+L11+R11+X11+AD11+AJ11+AP11+AV11</f>
        <v>0</v>
      </c>
      <c r="G88" s="48">
        <f t="shared" si="20"/>
        <v>1</v>
      </c>
      <c r="H88" s="48">
        <f t="shared" si="20"/>
        <v>11</v>
      </c>
      <c r="I88" s="48">
        <f t="shared" si="20"/>
        <v>2</v>
      </c>
      <c r="J88" s="11"/>
      <c r="K88" s="30" t="s">
        <v>32</v>
      </c>
      <c r="L88" s="31" t="s">
        <v>15</v>
      </c>
      <c r="M88" s="32" t="s">
        <v>16</v>
      </c>
      <c r="N88" s="33" t="s">
        <v>17</v>
      </c>
      <c r="O88" s="34" t="s">
        <v>18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</row>
    <row r="89">
      <c r="A89" s="11"/>
      <c r="B89" s="11"/>
      <c r="C89" s="11"/>
      <c r="D89" s="11"/>
      <c r="E89" s="47" t="s">
        <v>21</v>
      </c>
      <c r="F89" s="48">
        <f t="shared" ref="F89:I89" si="21">F12+L12+R12+X12+AD12+AJ12+AP12+AV12</f>
        <v>0</v>
      </c>
      <c r="G89" s="48">
        <f t="shared" si="21"/>
        <v>0</v>
      </c>
      <c r="H89" s="48">
        <f t="shared" si="21"/>
        <v>4</v>
      </c>
      <c r="I89" s="48">
        <f t="shared" si="21"/>
        <v>0</v>
      </c>
      <c r="J89" s="11"/>
      <c r="K89" s="74" t="s">
        <v>33</v>
      </c>
      <c r="L89" s="75">
        <f t="shared" ref="L89:O89" si="22">SUM(F26,L26,R26,X26,AD26,AJ26,AP26,AV26)</f>
        <v>1</v>
      </c>
      <c r="M89" s="75">
        <f t="shared" si="22"/>
        <v>1</v>
      </c>
      <c r="N89" s="75">
        <f t="shared" si="22"/>
        <v>1</v>
      </c>
      <c r="O89" s="75">
        <f t="shared" si="22"/>
        <v>0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</row>
    <row r="90">
      <c r="A90" s="11"/>
      <c r="B90" s="11"/>
      <c r="C90" s="11"/>
      <c r="D90" s="11"/>
      <c r="E90" s="47" t="s">
        <v>22</v>
      </c>
      <c r="F90" s="48">
        <f t="shared" ref="F90:I90" si="23">F13+L13+R13+X13+AD13+AJ13+AP13+AV13</f>
        <v>0</v>
      </c>
      <c r="G90" s="48">
        <f t="shared" si="23"/>
        <v>5</v>
      </c>
      <c r="H90" s="48">
        <f t="shared" si="23"/>
        <v>3</v>
      </c>
      <c r="I90" s="48">
        <f t="shared" si="23"/>
        <v>0</v>
      </c>
      <c r="J90" s="11"/>
      <c r="K90" s="68"/>
      <c r="L90" s="68"/>
      <c r="M90" s="68"/>
      <c r="N90" s="68"/>
      <c r="O90" s="68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</row>
    <row r="91">
      <c r="A91" s="11"/>
      <c r="B91" s="11"/>
      <c r="C91" s="11"/>
      <c r="D91" s="11"/>
      <c r="E91" s="47" t="s">
        <v>23</v>
      </c>
      <c r="F91" s="48">
        <f t="shared" ref="F91:I91" si="24">F14+L14+R14+X14+AD14+AJ14+AP14+AV14</f>
        <v>2</v>
      </c>
      <c r="G91" s="48">
        <f t="shared" si="24"/>
        <v>9</v>
      </c>
      <c r="H91" s="48">
        <f t="shared" si="24"/>
        <v>4</v>
      </c>
      <c r="I91" s="48">
        <f t="shared" si="24"/>
        <v>2</v>
      </c>
      <c r="J91" s="11"/>
      <c r="K91" s="74" t="s">
        <v>34</v>
      </c>
      <c r="L91" s="75">
        <f t="shared" ref="L91:O91" si="25">SUM(F28,L28,R28,X28,AD28,AJ28,AP28,AV28)</f>
        <v>1</v>
      </c>
      <c r="M91" s="75">
        <f t="shared" si="25"/>
        <v>17</v>
      </c>
      <c r="N91" s="75">
        <f t="shared" si="25"/>
        <v>8</v>
      </c>
      <c r="O91" s="75">
        <f t="shared" si="25"/>
        <v>1</v>
      </c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</row>
    <row r="92">
      <c r="A92" s="11"/>
      <c r="B92" s="11"/>
      <c r="C92" s="11"/>
      <c r="D92" s="11"/>
      <c r="E92" s="56" t="s">
        <v>24</v>
      </c>
      <c r="F92" s="48">
        <f t="shared" ref="F92:I92" si="26">F15+L15+R15+X15+AD15+AJ15+AP15+AV15</f>
        <v>0</v>
      </c>
      <c r="G92" s="48">
        <f t="shared" si="26"/>
        <v>0</v>
      </c>
      <c r="H92" s="48">
        <f t="shared" si="26"/>
        <v>0</v>
      </c>
      <c r="I92" s="48">
        <f t="shared" si="26"/>
        <v>0</v>
      </c>
      <c r="J92" s="11"/>
      <c r="K92" s="68"/>
      <c r="L92" s="68"/>
      <c r="M92" s="68"/>
      <c r="N92" s="68"/>
      <c r="O92" s="68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</row>
    <row r="93">
      <c r="A93" s="11"/>
      <c r="B93" s="11"/>
      <c r="C93" s="11"/>
      <c r="D93" s="11"/>
      <c r="E93" s="56" t="s">
        <v>25</v>
      </c>
      <c r="F93" s="48">
        <f t="shared" ref="F93:I93" si="27">F16+L16+R16+X16+AD16+AJ16+AP16+AV16</f>
        <v>0</v>
      </c>
      <c r="G93" s="48">
        <f t="shared" si="27"/>
        <v>2</v>
      </c>
      <c r="H93" s="48">
        <f t="shared" si="27"/>
        <v>0</v>
      </c>
      <c r="I93" s="48">
        <f t="shared" si="27"/>
        <v>0</v>
      </c>
      <c r="J93" s="11"/>
      <c r="K93" s="74" t="s">
        <v>35</v>
      </c>
      <c r="L93" s="75">
        <f t="shared" ref="L93:O93" si="28">SUM(F30,L30,R30,X30,AD30,AJ30,AP30,AV30)</f>
        <v>2</v>
      </c>
      <c r="M93" s="75">
        <f t="shared" si="28"/>
        <v>6</v>
      </c>
      <c r="N93" s="75">
        <f t="shared" si="28"/>
        <v>23</v>
      </c>
      <c r="O93" s="75">
        <f t="shared" si="28"/>
        <v>12</v>
      </c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</row>
    <row r="94">
      <c r="A94" s="11"/>
      <c r="B94" s="11"/>
      <c r="C94" s="11"/>
      <c r="D94" s="11"/>
      <c r="E94" s="56" t="s">
        <v>26</v>
      </c>
      <c r="F94" s="48">
        <f t="shared" ref="F94:I94" si="29">F17+L17+R17+X17+AD17+AJ17+AP17+AV17</f>
        <v>0</v>
      </c>
      <c r="G94" s="48">
        <f t="shared" si="29"/>
        <v>0</v>
      </c>
      <c r="H94" s="48">
        <f t="shared" si="29"/>
        <v>0</v>
      </c>
      <c r="I94" s="48">
        <f t="shared" si="29"/>
        <v>0</v>
      </c>
      <c r="J94" s="11"/>
      <c r="K94" s="68"/>
      <c r="L94" s="68"/>
      <c r="M94" s="68"/>
      <c r="N94" s="68"/>
      <c r="O94" s="68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</row>
    <row r="95">
      <c r="A95" s="11"/>
      <c r="B95" s="11"/>
      <c r="C95" s="11"/>
      <c r="D95" s="11"/>
      <c r="E95" s="56" t="s">
        <v>28</v>
      </c>
      <c r="F95" s="48">
        <f t="shared" ref="F95:I95" si="30">F18+L18+R18+X18+AD18+AJ18+AP18+AV18</f>
        <v>0</v>
      </c>
      <c r="G95" s="48">
        <f t="shared" si="30"/>
        <v>0</v>
      </c>
      <c r="H95" s="48">
        <f t="shared" si="30"/>
        <v>0</v>
      </c>
      <c r="I95" s="48">
        <f t="shared" si="30"/>
        <v>0</v>
      </c>
      <c r="J95" s="11"/>
      <c r="K95" s="61" t="s">
        <v>30</v>
      </c>
      <c r="L95" s="62">
        <f t="shared" ref="L95:O95" si="31">SUM(L89:L94)</f>
        <v>4</v>
      </c>
      <c r="M95" s="62">
        <f t="shared" si="31"/>
        <v>24</v>
      </c>
      <c r="N95" s="62">
        <f t="shared" si="31"/>
        <v>32</v>
      </c>
      <c r="O95" s="62">
        <f t="shared" si="31"/>
        <v>13</v>
      </c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</row>
    <row r="96">
      <c r="A96" s="11"/>
      <c r="B96" s="11"/>
      <c r="C96" s="11"/>
      <c r="D96" s="11"/>
      <c r="E96" s="56" t="s">
        <v>29</v>
      </c>
      <c r="F96" s="48">
        <f t="shared" ref="F96:I96" si="32">F19+L19+R19+X19+AD19+AJ19+AP19+AV19</f>
        <v>0</v>
      </c>
      <c r="G96" s="48">
        <f t="shared" si="32"/>
        <v>0</v>
      </c>
      <c r="H96" s="48">
        <f t="shared" si="32"/>
        <v>0</v>
      </c>
      <c r="I96" s="48">
        <f t="shared" si="32"/>
        <v>0</v>
      </c>
      <c r="J96" s="11"/>
      <c r="K96" s="68"/>
      <c r="L96" s="68"/>
      <c r="M96" s="68"/>
      <c r="N96" s="68"/>
      <c r="O96" s="68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</row>
    <row r="97">
      <c r="A97" s="11"/>
      <c r="B97" s="11"/>
      <c r="C97" s="11"/>
      <c r="D97" s="11"/>
      <c r="E97" s="61" t="s">
        <v>30</v>
      </c>
      <c r="F97" s="62">
        <f>sum(F87:F96)</f>
        <v>4</v>
      </c>
      <c r="G97" s="62">
        <f t="shared" ref="G97:I97" si="33">SUM(G87:G96)</f>
        <v>19</v>
      </c>
      <c r="H97" s="62">
        <f t="shared" si="33"/>
        <v>26</v>
      </c>
      <c r="I97" s="62">
        <f t="shared" si="33"/>
        <v>6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</row>
    <row r="98">
      <c r="A98" s="11"/>
      <c r="B98" s="11"/>
      <c r="C98" s="11"/>
      <c r="D98" s="11"/>
      <c r="E98" s="68"/>
      <c r="F98" s="68"/>
      <c r="G98" s="68"/>
      <c r="H98" s="68"/>
      <c r="I98" s="68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</row>
    <row r="100">
      <c r="A100" s="11"/>
      <c r="B100" s="11"/>
      <c r="C100" s="11"/>
      <c r="D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</row>
    <row r="101">
      <c r="A101" s="11"/>
      <c r="B101" s="11"/>
      <c r="C101" s="11"/>
      <c r="D101" s="11"/>
      <c r="J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</row>
    <row r="102">
      <c r="A102" s="11"/>
      <c r="B102" s="11"/>
      <c r="C102" s="11"/>
      <c r="D102" s="11"/>
      <c r="J102" s="11"/>
      <c r="K102" s="93" t="s">
        <v>48</v>
      </c>
      <c r="L102" s="2"/>
      <c r="M102" s="2"/>
      <c r="N102" s="2"/>
      <c r="O102" s="2"/>
      <c r="P102" s="3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</row>
    <row r="103">
      <c r="A103" s="11"/>
      <c r="B103" s="11"/>
      <c r="C103" s="11"/>
      <c r="D103" s="11"/>
      <c r="J103" s="11"/>
      <c r="K103" s="7"/>
      <c r="L103" s="8"/>
      <c r="M103" s="8"/>
      <c r="N103" s="8"/>
      <c r="O103" s="8"/>
      <c r="P103" s="9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</row>
    <row r="104">
      <c r="A104" s="11"/>
      <c r="B104" s="11"/>
      <c r="C104" s="11"/>
      <c r="D104" s="11"/>
      <c r="J104" s="11"/>
      <c r="K104" s="112" t="s">
        <v>15</v>
      </c>
      <c r="L104" s="113">
        <f>Sum(F20,L19,R20,X20,AD20,AJ20,AP20,AV20,BB20)</f>
        <v>4</v>
      </c>
      <c r="M104" s="96"/>
      <c r="N104" s="96"/>
      <c r="O104" s="96"/>
      <c r="P104" s="97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</row>
    <row r="105">
      <c r="A105" s="11"/>
      <c r="B105" s="11"/>
      <c r="C105" s="11"/>
      <c r="D105" s="11"/>
      <c r="J105" s="11"/>
      <c r="K105" s="114" t="s">
        <v>16</v>
      </c>
      <c r="L105" s="113">
        <f>sum(G20,M20,S20,Y20,AE20,AK20,AQ20,AW20,BC20)</f>
        <v>19</v>
      </c>
      <c r="M105" s="96"/>
      <c r="N105" s="96"/>
      <c r="O105" s="96"/>
      <c r="P105" s="97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</row>
    <row r="106">
      <c r="A106" s="11"/>
      <c r="B106" s="11"/>
      <c r="C106" s="11"/>
      <c r="D106" s="11"/>
      <c r="J106" s="11"/>
      <c r="K106" s="115" t="s">
        <v>17</v>
      </c>
      <c r="L106" s="113">
        <f>sum(H20,N20,T20,Z20,AF20,AL20,AR20,AX20,BD20)</f>
        <v>26</v>
      </c>
      <c r="M106" s="96"/>
      <c r="N106" s="96"/>
      <c r="O106" s="96"/>
      <c r="P106" s="97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</row>
    <row r="107">
      <c r="A107" s="11"/>
      <c r="B107" s="11"/>
      <c r="C107" s="11"/>
      <c r="D107" s="11"/>
      <c r="J107" s="11"/>
      <c r="K107" s="116" t="s">
        <v>18</v>
      </c>
      <c r="L107" s="113">
        <f>I20+O20+U20+AA20+AG20+AM20+AS20+AY20+BE20</f>
        <v>13</v>
      </c>
      <c r="M107" s="96"/>
      <c r="N107" s="96"/>
      <c r="O107" s="96"/>
      <c r="P107" s="97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</row>
    <row r="108">
      <c r="A108" s="11"/>
      <c r="B108" s="11"/>
      <c r="C108" s="11"/>
      <c r="D108" s="11"/>
      <c r="J108" s="11"/>
      <c r="K108" s="117" t="s">
        <v>30</v>
      </c>
      <c r="L108" s="113">
        <f>SUM(L104:P107)</f>
        <v>62</v>
      </c>
      <c r="M108" s="96"/>
      <c r="N108" s="96"/>
      <c r="O108" s="96"/>
      <c r="P108" s="97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</row>
    <row r="109">
      <c r="A109" s="11"/>
      <c r="B109" s="11"/>
      <c r="C109" s="11"/>
      <c r="D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</row>
    <row r="110">
      <c r="A110" s="11"/>
      <c r="B110" s="11"/>
      <c r="C110" s="11"/>
      <c r="D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</row>
    <row r="111">
      <c r="A111" s="11"/>
      <c r="B111" s="11"/>
      <c r="C111" s="11"/>
      <c r="D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</row>
    <row r="112">
      <c r="A112" s="11"/>
      <c r="B112" s="11"/>
      <c r="C112" s="11"/>
      <c r="D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</row>
    <row r="119" ht="31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8" t="s">
        <v>49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</row>
    <row r="120" ht="31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9">
        <f t="shared" ref="J120:J129" si="34">sum(F87:I87)</f>
        <v>10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</row>
    <row r="121" ht="31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9">
        <f t="shared" si="34"/>
        <v>14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</row>
    <row r="122" ht="31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9">
        <f t="shared" si="34"/>
        <v>4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</row>
    <row r="123" ht="31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9">
        <f t="shared" si="34"/>
        <v>8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</row>
    <row r="124" ht="31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9">
        <f t="shared" si="34"/>
        <v>17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</row>
    <row r="125" ht="31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9">
        <f t="shared" si="34"/>
        <v>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</row>
    <row r="126" ht="31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9">
        <f t="shared" si="34"/>
        <v>2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</row>
    <row r="127" ht="31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9">
        <f t="shared" si="34"/>
        <v>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</row>
    <row r="128" ht="31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9">
        <f t="shared" si="34"/>
        <v>0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</row>
    <row r="129" ht="31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9">
        <f t="shared" si="34"/>
        <v>0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</row>
  </sheetData>
  <mergeCells count="373">
    <mergeCell ref="M28:M29"/>
    <mergeCell ref="N28:N29"/>
    <mergeCell ref="O28:O29"/>
    <mergeCell ref="Q28:Q29"/>
    <mergeCell ref="R28:R29"/>
    <mergeCell ref="S28:S29"/>
    <mergeCell ref="T28:T29"/>
    <mergeCell ref="U28:U29"/>
    <mergeCell ref="W28:W29"/>
    <mergeCell ref="X28:X29"/>
    <mergeCell ref="Y28:Y29"/>
    <mergeCell ref="Z28:Z29"/>
    <mergeCell ref="AA28:AA29"/>
    <mergeCell ref="AC28:AC29"/>
    <mergeCell ref="AD28:AD29"/>
    <mergeCell ref="AE28:AE29"/>
    <mergeCell ref="AF28:AF29"/>
    <mergeCell ref="AG28:AG29"/>
    <mergeCell ref="AI28:AI29"/>
    <mergeCell ref="AJ28:AJ29"/>
    <mergeCell ref="AK28:AK29"/>
    <mergeCell ref="AL28:AL29"/>
    <mergeCell ref="AM28:AM29"/>
    <mergeCell ref="AO28:AO29"/>
    <mergeCell ref="AP28:AP29"/>
    <mergeCell ref="AQ28:AQ29"/>
    <mergeCell ref="AR28:AR29"/>
    <mergeCell ref="AS28:AS29"/>
    <mergeCell ref="BC28:BC29"/>
    <mergeCell ref="BD28:BD29"/>
    <mergeCell ref="BE28:BE29"/>
    <mergeCell ref="AU28:AU29"/>
    <mergeCell ref="AV28:AV29"/>
    <mergeCell ref="AW28:AW29"/>
    <mergeCell ref="AX28:AX29"/>
    <mergeCell ref="AY28:AY29"/>
    <mergeCell ref="BA28:BA29"/>
    <mergeCell ref="BB28:BB29"/>
    <mergeCell ref="E28:E29"/>
    <mergeCell ref="F28:F29"/>
    <mergeCell ref="G28:G29"/>
    <mergeCell ref="H28:H29"/>
    <mergeCell ref="I28:I29"/>
    <mergeCell ref="K28:K29"/>
    <mergeCell ref="L28:L29"/>
    <mergeCell ref="M30:M31"/>
    <mergeCell ref="N30:N31"/>
    <mergeCell ref="O30:O31"/>
    <mergeCell ref="Q30:Q31"/>
    <mergeCell ref="R30:R31"/>
    <mergeCell ref="S30:S31"/>
    <mergeCell ref="T30:T31"/>
    <mergeCell ref="U30:U31"/>
    <mergeCell ref="W30:W31"/>
    <mergeCell ref="X30:X31"/>
    <mergeCell ref="Y30:Y31"/>
    <mergeCell ref="Z30:Z31"/>
    <mergeCell ref="AA30:AA31"/>
    <mergeCell ref="AC30:AC31"/>
    <mergeCell ref="AD30:AD31"/>
    <mergeCell ref="AE30:AE31"/>
    <mergeCell ref="AF30:AF31"/>
    <mergeCell ref="AG30:AG31"/>
    <mergeCell ref="AI30:AI31"/>
    <mergeCell ref="AJ30:AJ31"/>
    <mergeCell ref="AK30:AK31"/>
    <mergeCell ref="AL30:AL31"/>
    <mergeCell ref="AM30:AM31"/>
    <mergeCell ref="AO30:AO31"/>
    <mergeCell ref="AP30:AP31"/>
    <mergeCell ref="AQ30:AQ31"/>
    <mergeCell ref="AR30:AR31"/>
    <mergeCell ref="AS30:AS31"/>
    <mergeCell ref="BC30:BC31"/>
    <mergeCell ref="BD30:BD31"/>
    <mergeCell ref="BE30:BE31"/>
    <mergeCell ref="AU30:AU31"/>
    <mergeCell ref="AV30:AV31"/>
    <mergeCell ref="AW30:AW31"/>
    <mergeCell ref="AX30:AX31"/>
    <mergeCell ref="AY30:AY31"/>
    <mergeCell ref="BA30:BA31"/>
    <mergeCell ref="BB30:BB31"/>
    <mergeCell ref="E30:E31"/>
    <mergeCell ref="F30:F31"/>
    <mergeCell ref="G30:G31"/>
    <mergeCell ref="H30:H31"/>
    <mergeCell ref="I30:I31"/>
    <mergeCell ref="K30:K31"/>
    <mergeCell ref="L30:L31"/>
    <mergeCell ref="O41:O42"/>
    <mergeCell ref="Q41:Q42"/>
    <mergeCell ref="R41:R42"/>
    <mergeCell ref="T41:T42"/>
    <mergeCell ref="U41:U42"/>
    <mergeCell ref="W41:W42"/>
    <mergeCell ref="X41:X42"/>
    <mergeCell ref="E41:E42"/>
    <mergeCell ref="F41:F42"/>
    <mergeCell ref="H41:H42"/>
    <mergeCell ref="I41:I42"/>
    <mergeCell ref="K41:K42"/>
    <mergeCell ref="L41:L42"/>
    <mergeCell ref="N41:N42"/>
    <mergeCell ref="AU35:AV36"/>
    <mergeCell ref="AX35:AY36"/>
    <mergeCell ref="BA35:BB36"/>
    <mergeCell ref="BD35:BE36"/>
    <mergeCell ref="Z35:AA36"/>
    <mergeCell ref="AC35:AD36"/>
    <mergeCell ref="AF35:AG36"/>
    <mergeCell ref="AI35:AJ36"/>
    <mergeCell ref="AL35:AM36"/>
    <mergeCell ref="AO35:AP36"/>
    <mergeCell ref="AR35:AS36"/>
    <mergeCell ref="E35:F36"/>
    <mergeCell ref="H35:I36"/>
    <mergeCell ref="K35:L36"/>
    <mergeCell ref="N35:O36"/>
    <mergeCell ref="Q35:R36"/>
    <mergeCell ref="T35:U36"/>
    <mergeCell ref="W35:X36"/>
    <mergeCell ref="Z41:Z42"/>
    <mergeCell ref="AA41:AA42"/>
    <mergeCell ref="AC41:AC42"/>
    <mergeCell ref="AD41:AD42"/>
    <mergeCell ref="AF41:AF42"/>
    <mergeCell ref="AG41:AG42"/>
    <mergeCell ref="AI41:AI42"/>
    <mergeCell ref="AU41:AU42"/>
    <mergeCell ref="AV41:AV42"/>
    <mergeCell ref="AX41:AX42"/>
    <mergeCell ref="AY41:AY42"/>
    <mergeCell ref="BA41:BA42"/>
    <mergeCell ref="BB41:BB42"/>
    <mergeCell ref="BD41:BD42"/>
    <mergeCell ref="BE41:BE42"/>
    <mergeCell ref="AJ41:AJ42"/>
    <mergeCell ref="AL41:AL42"/>
    <mergeCell ref="AM41:AM42"/>
    <mergeCell ref="AO41:AO42"/>
    <mergeCell ref="AP41:AP42"/>
    <mergeCell ref="AR41:AR42"/>
    <mergeCell ref="AS41:AS42"/>
    <mergeCell ref="R48:V48"/>
    <mergeCell ref="R49:V49"/>
    <mergeCell ref="M95:M96"/>
    <mergeCell ref="N95:N96"/>
    <mergeCell ref="E97:E98"/>
    <mergeCell ref="F97:F98"/>
    <mergeCell ref="G97:G98"/>
    <mergeCell ref="H97:H98"/>
    <mergeCell ref="I97:I98"/>
    <mergeCell ref="O95:O96"/>
    <mergeCell ref="K102:P103"/>
    <mergeCell ref="L104:P104"/>
    <mergeCell ref="L105:P105"/>
    <mergeCell ref="L106:P106"/>
    <mergeCell ref="L107:P107"/>
    <mergeCell ref="L108:P108"/>
    <mergeCell ref="K93:K94"/>
    <mergeCell ref="L93:L94"/>
    <mergeCell ref="M93:M94"/>
    <mergeCell ref="N93:N94"/>
    <mergeCell ref="O93:O94"/>
    <mergeCell ref="K95:K96"/>
    <mergeCell ref="L95:L96"/>
    <mergeCell ref="R51:V51"/>
    <mergeCell ref="R52:V52"/>
    <mergeCell ref="R53:V53"/>
    <mergeCell ref="R54:V54"/>
    <mergeCell ref="R55:V55"/>
    <mergeCell ref="R56:V56"/>
    <mergeCell ref="R57:V57"/>
    <mergeCell ref="E46:J47"/>
    <mergeCell ref="K46:P47"/>
    <mergeCell ref="Q46:V47"/>
    <mergeCell ref="F48:J48"/>
    <mergeCell ref="L48:P48"/>
    <mergeCell ref="F49:J49"/>
    <mergeCell ref="R50:V50"/>
    <mergeCell ref="L56:P56"/>
    <mergeCell ref="L57:P57"/>
    <mergeCell ref="L49:P49"/>
    <mergeCell ref="L50:P50"/>
    <mergeCell ref="L51:P51"/>
    <mergeCell ref="L52:P52"/>
    <mergeCell ref="L53:P53"/>
    <mergeCell ref="L54:P54"/>
    <mergeCell ref="L55:P55"/>
    <mergeCell ref="F50:J50"/>
    <mergeCell ref="F51:J51"/>
    <mergeCell ref="F52:J52"/>
    <mergeCell ref="F53:J53"/>
    <mergeCell ref="F54:J54"/>
    <mergeCell ref="F55:J55"/>
    <mergeCell ref="F56:J56"/>
    <mergeCell ref="F57:J57"/>
    <mergeCell ref="F58:J58"/>
    <mergeCell ref="E84:I85"/>
    <mergeCell ref="K86:O87"/>
    <mergeCell ref="K89:K90"/>
    <mergeCell ref="L89:L90"/>
    <mergeCell ref="M89:M90"/>
    <mergeCell ref="N89:N90"/>
    <mergeCell ref="O89:O90"/>
    <mergeCell ref="K91:K92"/>
    <mergeCell ref="L91:L92"/>
    <mergeCell ref="M91:M92"/>
    <mergeCell ref="N91:N92"/>
    <mergeCell ref="O91:O92"/>
    <mergeCell ref="AP20:AP21"/>
    <mergeCell ref="AQ20:AQ21"/>
    <mergeCell ref="AG20:AG21"/>
    <mergeCell ref="AI20:AI21"/>
    <mergeCell ref="AJ20:AJ21"/>
    <mergeCell ref="AK20:AK21"/>
    <mergeCell ref="AL20:AL21"/>
    <mergeCell ref="AM20:AM21"/>
    <mergeCell ref="AO20:AO21"/>
    <mergeCell ref="BA20:BA21"/>
    <mergeCell ref="BB20:BB21"/>
    <mergeCell ref="AR20:AR21"/>
    <mergeCell ref="AS20:AS21"/>
    <mergeCell ref="AU20:AU21"/>
    <mergeCell ref="AV20:AV21"/>
    <mergeCell ref="AW20:AW21"/>
    <mergeCell ref="AX20:AX21"/>
    <mergeCell ref="AY20:AY21"/>
    <mergeCell ref="AU4:AY6"/>
    <mergeCell ref="BA4:BE6"/>
    <mergeCell ref="AU7:AY8"/>
    <mergeCell ref="BA7:BE8"/>
    <mergeCell ref="W4:AA6"/>
    <mergeCell ref="W7:AA8"/>
    <mergeCell ref="AI4:AM6"/>
    <mergeCell ref="AI7:AM8"/>
    <mergeCell ref="E4:I6"/>
    <mergeCell ref="Q4:U6"/>
    <mergeCell ref="AC4:AG6"/>
    <mergeCell ref="AO4:AS6"/>
    <mergeCell ref="E7:I8"/>
    <mergeCell ref="Q7:U8"/>
    <mergeCell ref="AC7:AG8"/>
    <mergeCell ref="AO7:AS8"/>
    <mergeCell ref="K20:K21"/>
    <mergeCell ref="L20:L21"/>
    <mergeCell ref="K4:O6"/>
    <mergeCell ref="K7:O8"/>
    <mergeCell ref="E20:E21"/>
    <mergeCell ref="F20:F21"/>
    <mergeCell ref="G20:G21"/>
    <mergeCell ref="H20:H21"/>
    <mergeCell ref="I20:I21"/>
    <mergeCell ref="O20:O21"/>
    <mergeCell ref="BC20:BC21"/>
    <mergeCell ref="BD20:BD21"/>
    <mergeCell ref="BE20:BE21"/>
    <mergeCell ref="M20:M21"/>
    <mergeCell ref="N20:N21"/>
    <mergeCell ref="Q20:Q21"/>
    <mergeCell ref="R20:R21"/>
    <mergeCell ref="S20:S21"/>
    <mergeCell ref="T20:T21"/>
    <mergeCell ref="U20:U21"/>
    <mergeCell ref="AL26:AL27"/>
    <mergeCell ref="AM26:AM27"/>
    <mergeCell ref="AD26:AD27"/>
    <mergeCell ref="AE26:AE27"/>
    <mergeCell ref="AF26:AF27"/>
    <mergeCell ref="AG26:AG27"/>
    <mergeCell ref="AI26:AI27"/>
    <mergeCell ref="AJ26:AJ27"/>
    <mergeCell ref="AK26:AK27"/>
    <mergeCell ref="AW26:AW27"/>
    <mergeCell ref="AX26:AX27"/>
    <mergeCell ref="AO26:AO27"/>
    <mergeCell ref="AP26:AP27"/>
    <mergeCell ref="AQ26:AQ27"/>
    <mergeCell ref="AR26:AR27"/>
    <mergeCell ref="AS26:AS27"/>
    <mergeCell ref="AU26:AU27"/>
    <mergeCell ref="AV26:AV27"/>
    <mergeCell ref="AE20:AE21"/>
    <mergeCell ref="AF20:AF21"/>
    <mergeCell ref="W20:W21"/>
    <mergeCell ref="X20:X21"/>
    <mergeCell ref="Y20:Y21"/>
    <mergeCell ref="Z20:Z21"/>
    <mergeCell ref="AA20:AA21"/>
    <mergeCell ref="AC20:AC21"/>
    <mergeCell ref="AD20:AD21"/>
    <mergeCell ref="AU23:AY24"/>
    <mergeCell ref="BA23:BE24"/>
    <mergeCell ref="AY26:AY27"/>
    <mergeCell ref="BA26:BA27"/>
    <mergeCell ref="BB26:BB27"/>
    <mergeCell ref="BC26:BC27"/>
    <mergeCell ref="BD26:BD27"/>
    <mergeCell ref="BE26:BE27"/>
    <mergeCell ref="E23:I24"/>
    <mergeCell ref="K23:O24"/>
    <mergeCell ref="Q23:U24"/>
    <mergeCell ref="W23:AA24"/>
    <mergeCell ref="AC23:AG24"/>
    <mergeCell ref="AI23:AM24"/>
    <mergeCell ref="AO23:AS24"/>
    <mergeCell ref="M26:M27"/>
    <mergeCell ref="N26:N27"/>
    <mergeCell ref="O26:O27"/>
    <mergeCell ref="Q26:Q27"/>
    <mergeCell ref="R26:R27"/>
    <mergeCell ref="S26:S27"/>
    <mergeCell ref="T26:T27"/>
    <mergeCell ref="U26:U27"/>
    <mergeCell ref="W26:W27"/>
    <mergeCell ref="X26:X27"/>
    <mergeCell ref="Y26:Y27"/>
    <mergeCell ref="Z26:Z27"/>
    <mergeCell ref="AA26:AA27"/>
    <mergeCell ref="AC26:AC27"/>
    <mergeCell ref="E26:E27"/>
    <mergeCell ref="F26:F27"/>
    <mergeCell ref="G26:G27"/>
    <mergeCell ref="H26:H27"/>
    <mergeCell ref="I26:I27"/>
    <mergeCell ref="K26:K27"/>
    <mergeCell ref="L26:L27"/>
    <mergeCell ref="M32:M33"/>
    <mergeCell ref="N32:N33"/>
    <mergeCell ref="O32:O33"/>
    <mergeCell ref="Q32:Q33"/>
    <mergeCell ref="R32:R33"/>
    <mergeCell ref="S32:S33"/>
    <mergeCell ref="T32:T33"/>
    <mergeCell ref="U32:U33"/>
    <mergeCell ref="W32:W33"/>
    <mergeCell ref="X32:X33"/>
    <mergeCell ref="Y32:Y33"/>
    <mergeCell ref="Z32:Z33"/>
    <mergeCell ref="AA32:AA33"/>
    <mergeCell ref="AC32:AC33"/>
    <mergeCell ref="AD32:AD33"/>
    <mergeCell ref="AE32:AE33"/>
    <mergeCell ref="AF32:AF33"/>
    <mergeCell ref="AG32:AG33"/>
    <mergeCell ref="AI32:AI33"/>
    <mergeCell ref="AJ32:AJ33"/>
    <mergeCell ref="AK32:AK33"/>
    <mergeCell ref="AL32:AL33"/>
    <mergeCell ref="AM32:AM33"/>
    <mergeCell ref="AO32:AO33"/>
    <mergeCell ref="AP32:AP33"/>
    <mergeCell ref="AQ32:AQ33"/>
    <mergeCell ref="AR32:AR33"/>
    <mergeCell ref="AS32:AS33"/>
    <mergeCell ref="BC32:BC33"/>
    <mergeCell ref="BD32:BD33"/>
    <mergeCell ref="BE32:BE33"/>
    <mergeCell ref="AU32:AU33"/>
    <mergeCell ref="AV32:AV33"/>
    <mergeCell ref="AW32:AW33"/>
    <mergeCell ref="AX32:AX33"/>
    <mergeCell ref="AY32:AY33"/>
    <mergeCell ref="BA32:BA33"/>
    <mergeCell ref="BB32:BB33"/>
    <mergeCell ref="E32:E33"/>
    <mergeCell ref="F32:F33"/>
    <mergeCell ref="G32:G33"/>
    <mergeCell ref="H32:H33"/>
    <mergeCell ref="I32:I33"/>
    <mergeCell ref="K32:K33"/>
    <mergeCell ref="L32:L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.13"/>
    <col customWidth="1" min="3" max="3" width="16.25"/>
    <col customWidth="1" hidden="1" min="4" max="4" width="101.5"/>
    <col customWidth="1" hidden="1" min="5" max="5" width="10.25"/>
    <col customWidth="1" hidden="1" min="6" max="6" width="33.13"/>
    <col hidden="1" min="7" max="7" width="12.63"/>
    <col customWidth="1" min="15" max="15" width="16.5"/>
    <col customWidth="1" min="16" max="16" width="22.88"/>
    <col customWidth="1" min="17" max="26" width="16.25"/>
  </cols>
  <sheetData>
    <row r="1">
      <c r="A1" s="120" t="s">
        <v>50</v>
      </c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>
      <c r="A2" s="122" t="s">
        <v>51</v>
      </c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>
      <c r="A3" s="123" t="s">
        <v>52</v>
      </c>
      <c r="E3" s="124">
        <v>46137.0</v>
      </c>
      <c r="H3" s="124">
        <v>46146.0</v>
      </c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>
      <c r="A4" s="125" t="s">
        <v>53</v>
      </c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>
      <c r="A5" s="126" t="s">
        <v>54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>
      <c r="A6" s="127" t="s">
        <v>55</v>
      </c>
      <c r="B6" s="127" t="s">
        <v>56</v>
      </c>
      <c r="C6" s="127" t="s">
        <v>57</v>
      </c>
      <c r="D6" s="127" t="s">
        <v>58</v>
      </c>
      <c r="E6" s="127" t="s">
        <v>59</v>
      </c>
      <c r="F6" s="127" t="s">
        <v>60</v>
      </c>
      <c r="G6" s="127" t="s">
        <v>61</v>
      </c>
      <c r="H6" s="128" t="s">
        <v>62</v>
      </c>
      <c r="I6" s="96"/>
      <c r="J6" s="97"/>
      <c r="K6" s="128" t="s">
        <v>63</v>
      </c>
      <c r="L6" s="96"/>
      <c r="M6" s="96"/>
      <c r="N6" s="97"/>
      <c r="O6" s="127" t="s">
        <v>64</v>
      </c>
      <c r="P6" s="127" t="s">
        <v>65</v>
      </c>
      <c r="Q6" s="129"/>
      <c r="R6" s="129"/>
      <c r="S6" s="129"/>
      <c r="T6" s="129"/>
      <c r="U6" s="129"/>
      <c r="V6" s="129"/>
      <c r="W6" s="129"/>
      <c r="X6" s="129"/>
      <c r="Y6" s="129"/>
      <c r="Z6" s="121"/>
    </row>
    <row r="7">
      <c r="A7" s="68"/>
      <c r="B7" s="68"/>
      <c r="C7" s="68"/>
      <c r="D7" s="68"/>
      <c r="E7" s="68"/>
      <c r="F7" s="68"/>
      <c r="G7" s="68"/>
      <c r="H7" s="130" t="s">
        <v>66</v>
      </c>
      <c r="I7" s="131" t="s">
        <v>67</v>
      </c>
      <c r="J7" s="131" t="s">
        <v>68</v>
      </c>
      <c r="K7" s="131" t="s">
        <v>30</v>
      </c>
      <c r="L7" s="131" t="s">
        <v>69</v>
      </c>
      <c r="M7" s="131" t="s">
        <v>70</v>
      </c>
      <c r="N7" s="131" t="s">
        <v>71</v>
      </c>
      <c r="O7" s="68"/>
      <c r="P7" s="68"/>
      <c r="Q7" s="129"/>
      <c r="R7" s="129"/>
      <c r="S7" s="129"/>
      <c r="T7" s="129"/>
      <c r="U7" s="129"/>
      <c r="V7" s="129"/>
      <c r="W7" s="129"/>
      <c r="X7" s="129"/>
      <c r="Y7" s="129"/>
      <c r="Z7" s="121"/>
    </row>
    <row r="8" hidden="1">
      <c r="A8" s="132" t="s">
        <v>51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idden="1">
      <c r="A9" s="134" t="s">
        <v>72</v>
      </c>
      <c r="E9" s="135">
        <v>46122.0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ht="34.5" hidden="1" customHeight="1">
      <c r="A10" s="136" t="s">
        <v>53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hidden="1">
      <c r="A11" s="137" t="s">
        <v>54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hidden="1">
      <c r="A12" s="127" t="s">
        <v>55</v>
      </c>
      <c r="B12" s="127" t="s">
        <v>56</v>
      </c>
      <c r="C12" s="127" t="s">
        <v>57</v>
      </c>
      <c r="D12" s="127" t="s">
        <v>58</v>
      </c>
      <c r="E12" s="127" t="s">
        <v>59</v>
      </c>
      <c r="F12" s="127" t="s">
        <v>60</v>
      </c>
      <c r="G12" s="127" t="s">
        <v>61</v>
      </c>
      <c r="H12" s="128" t="s">
        <v>62</v>
      </c>
      <c r="I12" s="96"/>
      <c r="J12" s="97"/>
      <c r="K12" s="128" t="s">
        <v>63</v>
      </c>
      <c r="L12" s="96"/>
      <c r="M12" s="96"/>
      <c r="N12" s="97"/>
      <c r="O12" s="127" t="s">
        <v>64</v>
      </c>
      <c r="P12" s="127" t="s">
        <v>65</v>
      </c>
      <c r="Q12" s="129"/>
      <c r="R12" s="129"/>
      <c r="S12" s="129"/>
      <c r="T12" s="129"/>
      <c r="U12" s="129"/>
      <c r="V12" s="129"/>
      <c r="W12" s="129"/>
      <c r="X12" s="129"/>
      <c r="Y12" s="129"/>
      <c r="Z12" s="129"/>
    </row>
    <row r="13" ht="20.25" hidden="1" customHeight="1">
      <c r="A13" s="68"/>
      <c r="B13" s="68"/>
      <c r="C13" s="68"/>
      <c r="D13" s="68"/>
      <c r="E13" s="68"/>
      <c r="F13" s="68"/>
      <c r="G13" s="68"/>
      <c r="H13" s="130" t="s">
        <v>66</v>
      </c>
      <c r="I13" s="131" t="s">
        <v>67</v>
      </c>
      <c r="J13" s="131" t="s">
        <v>68</v>
      </c>
      <c r="K13" s="131" t="s">
        <v>30</v>
      </c>
      <c r="L13" s="131" t="s">
        <v>69</v>
      </c>
      <c r="M13" s="131" t="s">
        <v>70</v>
      </c>
      <c r="N13" s="131" t="s">
        <v>71</v>
      </c>
      <c r="O13" s="68"/>
      <c r="P13" s="68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hidden="1">
      <c r="A14" s="139">
        <v>1.0</v>
      </c>
      <c r="B14" s="140" t="s">
        <v>16</v>
      </c>
      <c r="C14" s="141" t="s">
        <v>73</v>
      </c>
      <c r="D14" s="141" t="s">
        <v>74</v>
      </c>
      <c r="E14" s="141" t="s">
        <v>34</v>
      </c>
      <c r="F14" s="142" t="s">
        <v>75</v>
      </c>
      <c r="G14" s="141">
        <v>50.0</v>
      </c>
      <c r="H14" s="141" t="s">
        <v>76</v>
      </c>
      <c r="I14" s="143">
        <v>45943.0</v>
      </c>
      <c r="J14" s="143">
        <v>45757.0</v>
      </c>
      <c r="K14" s="144">
        <v>180.0</v>
      </c>
      <c r="L14" s="142">
        <v>0.0</v>
      </c>
      <c r="M14" s="139">
        <v>160.0</v>
      </c>
      <c r="N14" s="139">
        <v>20.0</v>
      </c>
      <c r="O14" s="141" t="s">
        <v>77</v>
      </c>
      <c r="P14" s="142" t="s">
        <v>78</v>
      </c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idden="1">
      <c r="A15" s="139">
        <v>2.0</v>
      </c>
      <c r="B15" s="140" t="s">
        <v>16</v>
      </c>
      <c r="C15" s="141" t="s">
        <v>73</v>
      </c>
      <c r="D15" s="141" t="s">
        <v>79</v>
      </c>
      <c r="E15" s="141" t="s">
        <v>34</v>
      </c>
      <c r="F15" s="142" t="s">
        <v>80</v>
      </c>
      <c r="G15" s="141">
        <v>20.0</v>
      </c>
      <c r="H15" s="141" t="s">
        <v>76</v>
      </c>
      <c r="I15" s="143">
        <v>45758.0</v>
      </c>
      <c r="J15" s="143">
        <v>45772.0</v>
      </c>
      <c r="K15" s="144">
        <v>40.0</v>
      </c>
      <c r="L15" s="142">
        <v>0.0</v>
      </c>
      <c r="M15" s="142">
        <v>0.0</v>
      </c>
      <c r="N15" s="140">
        <f t="shared" ref="N15:N20" si="1">K15-M15-L15</f>
        <v>40</v>
      </c>
      <c r="O15" s="141" t="s">
        <v>77</v>
      </c>
      <c r="P15" s="142" t="s">
        <v>78</v>
      </c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idden="1">
      <c r="A16" s="139">
        <v>3.0</v>
      </c>
      <c r="B16" s="140" t="s">
        <v>16</v>
      </c>
      <c r="C16" s="141" t="s">
        <v>81</v>
      </c>
      <c r="D16" s="141" t="s">
        <v>82</v>
      </c>
      <c r="E16" s="141" t="s">
        <v>34</v>
      </c>
      <c r="F16" s="142" t="s">
        <v>75</v>
      </c>
      <c r="G16" s="141">
        <v>50.0</v>
      </c>
      <c r="H16" s="141" t="s">
        <v>76</v>
      </c>
      <c r="I16" s="143">
        <v>45950.0</v>
      </c>
      <c r="J16" s="143">
        <v>46129.0</v>
      </c>
      <c r="K16" s="144">
        <v>180.0</v>
      </c>
      <c r="L16" s="142">
        <v>0.0</v>
      </c>
      <c r="M16" s="142">
        <v>180.0</v>
      </c>
      <c r="N16" s="140">
        <f t="shared" si="1"/>
        <v>0</v>
      </c>
      <c r="O16" s="141" t="s">
        <v>83</v>
      </c>
      <c r="P16" s="142" t="s">
        <v>84</v>
      </c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33.75" hidden="1" customHeight="1">
      <c r="A17" s="139">
        <v>4.0</v>
      </c>
      <c r="B17" s="141" t="s">
        <v>16</v>
      </c>
      <c r="C17" s="141" t="s">
        <v>85</v>
      </c>
      <c r="D17" s="141" t="s">
        <v>86</v>
      </c>
      <c r="E17" s="141" t="s">
        <v>34</v>
      </c>
      <c r="F17" s="141" t="s">
        <v>22</v>
      </c>
      <c r="G17" s="141">
        <v>50.0</v>
      </c>
      <c r="H17" s="141" t="s">
        <v>76</v>
      </c>
      <c r="I17" s="146">
        <v>45965.0</v>
      </c>
      <c r="J17" s="146">
        <v>45779.0</v>
      </c>
      <c r="K17" s="147">
        <v>180.0</v>
      </c>
      <c r="L17" s="141">
        <v>0.0</v>
      </c>
      <c r="M17" s="139">
        <v>160.0</v>
      </c>
      <c r="N17" s="140">
        <f t="shared" si="1"/>
        <v>20</v>
      </c>
      <c r="O17" s="141" t="s">
        <v>87</v>
      </c>
      <c r="P17" s="142" t="s">
        <v>78</v>
      </c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33.75" hidden="1" customHeight="1">
      <c r="A18" s="139">
        <v>5.0</v>
      </c>
      <c r="B18" s="141" t="s">
        <v>16</v>
      </c>
      <c r="C18" s="142" t="s">
        <v>81</v>
      </c>
      <c r="D18" s="142" t="s">
        <v>88</v>
      </c>
      <c r="E18" s="142" t="s">
        <v>34</v>
      </c>
      <c r="F18" s="142" t="s">
        <v>22</v>
      </c>
      <c r="G18" s="142">
        <v>30.0</v>
      </c>
      <c r="H18" s="142" t="s">
        <v>76</v>
      </c>
      <c r="I18" s="149">
        <v>45815.0</v>
      </c>
      <c r="J18" s="149">
        <v>45863.0</v>
      </c>
      <c r="K18" s="150">
        <v>65.0</v>
      </c>
      <c r="L18" s="141">
        <v>0.0</v>
      </c>
      <c r="M18" s="142">
        <v>65.0</v>
      </c>
      <c r="N18" s="140">
        <f t="shared" si="1"/>
        <v>0</v>
      </c>
      <c r="O18" s="142" t="s">
        <v>89</v>
      </c>
      <c r="P18" s="142" t="s">
        <v>84</v>
      </c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33.75" hidden="1" customHeight="1">
      <c r="A19" s="139">
        <v>6.0</v>
      </c>
      <c r="B19" s="142" t="s">
        <v>17</v>
      </c>
      <c r="C19" s="142" t="s">
        <v>90</v>
      </c>
      <c r="D19" s="142" t="s">
        <v>91</v>
      </c>
      <c r="E19" s="142" t="s">
        <v>35</v>
      </c>
      <c r="F19" s="142" t="s">
        <v>23</v>
      </c>
      <c r="G19" s="142">
        <v>19.0</v>
      </c>
      <c r="H19" s="142" t="s">
        <v>92</v>
      </c>
      <c r="I19" s="151"/>
      <c r="J19" s="151"/>
      <c r="K19" s="150">
        <v>39.0</v>
      </c>
      <c r="L19" s="142">
        <v>0.0</v>
      </c>
      <c r="M19" s="139">
        <v>39.0</v>
      </c>
      <c r="N19" s="140">
        <f t="shared" si="1"/>
        <v>0</v>
      </c>
      <c r="O19" s="142" t="s">
        <v>93</v>
      </c>
      <c r="P19" s="139" t="s">
        <v>70</v>
      </c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 ht="33.75" hidden="1" customHeight="1">
      <c r="A20" s="139">
        <v>7.0</v>
      </c>
      <c r="B20" s="142" t="s">
        <v>17</v>
      </c>
      <c r="C20" s="142" t="s">
        <v>94</v>
      </c>
      <c r="D20" s="142" t="s">
        <v>95</v>
      </c>
      <c r="E20" s="142" t="s">
        <v>35</v>
      </c>
      <c r="F20" s="142" t="s">
        <v>23</v>
      </c>
      <c r="G20" s="142">
        <v>19.0</v>
      </c>
      <c r="H20" s="142" t="s">
        <v>92</v>
      </c>
      <c r="I20" s="151"/>
      <c r="J20" s="151"/>
      <c r="K20" s="150">
        <v>39.0</v>
      </c>
      <c r="L20" s="142">
        <v>0.0</v>
      </c>
      <c r="M20" s="139">
        <v>39.0</v>
      </c>
      <c r="N20" s="140">
        <f t="shared" si="1"/>
        <v>0</v>
      </c>
      <c r="O20" s="142" t="s">
        <v>93</v>
      </c>
      <c r="P20" s="139" t="s">
        <v>70</v>
      </c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ht="33.75" customHeight="1">
      <c r="A21" s="142"/>
      <c r="B21" s="142" t="s">
        <v>15</v>
      </c>
      <c r="C21" s="144" t="s">
        <v>96</v>
      </c>
      <c r="D21" s="152" t="s">
        <v>97</v>
      </c>
      <c r="E21" s="152" t="s">
        <v>33</v>
      </c>
      <c r="F21" s="152" t="s">
        <v>98</v>
      </c>
      <c r="G21" s="152">
        <v>0.0</v>
      </c>
      <c r="H21" s="152" t="s">
        <v>76</v>
      </c>
      <c r="I21" s="153">
        <v>46045.0</v>
      </c>
      <c r="J21" s="153">
        <v>46226.0</v>
      </c>
      <c r="K21" s="154">
        <v>181.0</v>
      </c>
      <c r="L21" s="152"/>
      <c r="M21" s="154">
        <v>165.0</v>
      </c>
      <c r="N21" s="154">
        <v>16.0</v>
      </c>
      <c r="O21" s="152" t="s">
        <v>99</v>
      </c>
      <c r="P21" s="152" t="s">
        <v>100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ht="33.75" customHeight="1">
      <c r="A22" s="142">
        <v>7.0</v>
      </c>
      <c r="B22" s="142" t="s">
        <v>17</v>
      </c>
      <c r="C22" s="142" t="s">
        <v>101</v>
      </c>
      <c r="D22" s="142" t="s">
        <v>102</v>
      </c>
      <c r="E22" s="142" t="s">
        <v>34</v>
      </c>
      <c r="F22" s="142" t="s">
        <v>23</v>
      </c>
      <c r="G22" s="142">
        <v>30.0</v>
      </c>
      <c r="H22" s="142" t="s">
        <v>76</v>
      </c>
      <c r="I22" s="149">
        <v>46158.0</v>
      </c>
      <c r="J22" s="149">
        <v>46207.0</v>
      </c>
      <c r="K22" s="152">
        <v>65.0</v>
      </c>
      <c r="L22" s="141">
        <v>0.0</v>
      </c>
      <c r="M22" s="139">
        <v>65.0</v>
      </c>
      <c r="N22" s="139">
        <v>0.0</v>
      </c>
      <c r="O22" s="142" t="s">
        <v>103</v>
      </c>
      <c r="P22" s="139" t="s">
        <v>78</v>
      </c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>
      <c r="A23" s="156">
        <v>24.0</v>
      </c>
      <c r="B23" s="142" t="s">
        <v>18</v>
      </c>
      <c r="C23" s="144" t="s">
        <v>104</v>
      </c>
      <c r="D23" s="152" t="s">
        <v>105</v>
      </c>
      <c r="E23" s="152" t="s">
        <v>34</v>
      </c>
      <c r="F23" s="152" t="s">
        <v>22</v>
      </c>
      <c r="G23" s="152">
        <v>50.0</v>
      </c>
      <c r="H23" s="152" t="s">
        <v>76</v>
      </c>
      <c r="I23" s="153">
        <v>46107.0</v>
      </c>
      <c r="J23" s="153">
        <v>46286.0</v>
      </c>
      <c r="K23" s="152">
        <v>180.0</v>
      </c>
      <c r="L23" s="152">
        <v>0.0</v>
      </c>
      <c r="M23" s="154">
        <v>180.0</v>
      </c>
      <c r="N23" s="154">
        <v>0.0</v>
      </c>
      <c r="O23" s="152" t="s">
        <v>93</v>
      </c>
      <c r="P23" s="152" t="s">
        <v>78</v>
      </c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33.75" customHeight="1">
      <c r="A24" s="156"/>
      <c r="B24" s="142" t="s">
        <v>15</v>
      </c>
      <c r="C24" s="152" t="s">
        <v>106</v>
      </c>
      <c r="D24" s="152" t="s">
        <v>107</v>
      </c>
      <c r="E24" s="152" t="s">
        <v>35</v>
      </c>
      <c r="F24" s="152" t="s">
        <v>108</v>
      </c>
      <c r="G24" s="152">
        <v>10.0</v>
      </c>
      <c r="H24" s="152" t="s">
        <v>92</v>
      </c>
      <c r="I24" s="151"/>
      <c r="J24" s="151"/>
      <c r="K24" s="152">
        <v>10.0</v>
      </c>
      <c r="L24" s="152">
        <v>0.0</v>
      </c>
      <c r="M24" s="152">
        <v>0.0</v>
      </c>
      <c r="N24" s="152">
        <v>10.0</v>
      </c>
      <c r="O24" s="157"/>
      <c r="P24" s="152" t="s">
        <v>100</v>
      </c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 ht="33.75" customHeight="1">
      <c r="A25" s="142"/>
      <c r="B25" s="142" t="s">
        <v>16</v>
      </c>
      <c r="C25" s="142" t="s">
        <v>109</v>
      </c>
      <c r="D25" s="142" t="s">
        <v>110</v>
      </c>
      <c r="E25" s="142" t="s">
        <v>35</v>
      </c>
      <c r="F25" s="142" t="s">
        <v>111</v>
      </c>
      <c r="G25" s="142">
        <v>10.0</v>
      </c>
      <c r="H25" s="142" t="s">
        <v>92</v>
      </c>
      <c r="I25" s="151"/>
      <c r="J25" s="151"/>
      <c r="K25" s="152">
        <v>10.0</v>
      </c>
      <c r="L25" s="142">
        <v>0.0</v>
      </c>
      <c r="M25" s="142">
        <v>0.0</v>
      </c>
      <c r="N25" s="142">
        <v>10.0</v>
      </c>
      <c r="O25" s="157"/>
      <c r="P25" s="142" t="s">
        <v>100</v>
      </c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>
      <c r="A26" s="156"/>
      <c r="B26" s="156" t="s">
        <v>16</v>
      </c>
      <c r="C26" s="156" t="s">
        <v>112</v>
      </c>
      <c r="D26" s="142" t="s">
        <v>113</v>
      </c>
      <c r="E26" s="142" t="s">
        <v>35</v>
      </c>
      <c r="F26" s="142" t="s">
        <v>114</v>
      </c>
      <c r="G26" s="142">
        <v>10.0</v>
      </c>
      <c r="H26" s="142" t="s">
        <v>92</v>
      </c>
      <c r="I26" s="151"/>
      <c r="J26" s="151"/>
      <c r="K26" s="152">
        <v>10.0</v>
      </c>
      <c r="L26" s="156">
        <v>0.0</v>
      </c>
      <c r="M26" s="142">
        <v>0.0</v>
      </c>
      <c r="N26" s="142">
        <v>10.0</v>
      </c>
      <c r="O26" s="157"/>
      <c r="P26" s="142" t="s">
        <v>100</v>
      </c>
      <c r="Q26" s="159"/>
      <c r="R26" s="159"/>
      <c r="S26" s="159"/>
      <c r="T26" s="159"/>
      <c r="U26" s="159"/>
      <c r="V26" s="159"/>
      <c r="W26" s="159"/>
      <c r="X26" s="159"/>
      <c r="Y26" s="159"/>
      <c r="Z26" s="159"/>
    </row>
    <row r="27" ht="1.5" customHeight="1">
      <c r="A27" s="156"/>
      <c r="B27" s="142" t="s">
        <v>17</v>
      </c>
      <c r="C27" s="142" t="s">
        <v>115</v>
      </c>
      <c r="D27" s="142" t="s">
        <v>116</v>
      </c>
      <c r="E27" s="142" t="s">
        <v>34</v>
      </c>
      <c r="F27" s="142" t="s">
        <v>20</v>
      </c>
      <c r="G27" s="142">
        <v>12.0</v>
      </c>
      <c r="H27" s="142" t="s">
        <v>92</v>
      </c>
      <c r="I27" s="151"/>
      <c r="J27" s="151"/>
      <c r="K27" s="152">
        <v>16.0</v>
      </c>
      <c r="L27" s="142">
        <v>0.0</v>
      </c>
      <c r="M27" s="142">
        <v>0.0</v>
      </c>
      <c r="N27" s="156">
        <v>16.0</v>
      </c>
      <c r="O27" s="157"/>
      <c r="P27" s="142" t="s">
        <v>100</v>
      </c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ht="33.0" customHeight="1">
      <c r="A28" s="142"/>
      <c r="B28" s="142" t="s">
        <v>16</v>
      </c>
      <c r="C28" s="152" t="s">
        <v>117</v>
      </c>
      <c r="D28" s="152" t="s">
        <v>118</v>
      </c>
      <c r="E28" s="152" t="s">
        <v>34</v>
      </c>
      <c r="F28" s="152" t="s">
        <v>23</v>
      </c>
      <c r="G28" s="152">
        <v>20.0</v>
      </c>
      <c r="H28" s="152" t="s">
        <v>76</v>
      </c>
      <c r="I28" s="160">
        <v>46171.0</v>
      </c>
      <c r="J28" s="160">
        <v>46185.0</v>
      </c>
      <c r="K28" s="152">
        <v>40.0</v>
      </c>
      <c r="L28" s="152">
        <v>0.0</v>
      </c>
      <c r="M28" s="152">
        <v>0.0</v>
      </c>
      <c r="N28" s="152">
        <v>40.0</v>
      </c>
      <c r="O28" s="152" t="s">
        <v>119</v>
      </c>
      <c r="P28" s="152" t="s">
        <v>78</v>
      </c>
      <c r="Q28" s="159"/>
      <c r="R28" s="159"/>
      <c r="S28" s="159"/>
      <c r="T28" s="159"/>
      <c r="U28" s="159"/>
      <c r="V28" s="159"/>
      <c r="W28" s="159"/>
      <c r="X28" s="159"/>
      <c r="Y28" s="159"/>
      <c r="Z28" s="159"/>
    </row>
    <row r="29">
      <c r="A29" s="142"/>
      <c r="B29" s="156" t="s">
        <v>16</v>
      </c>
      <c r="C29" s="161" t="s">
        <v>120</v>
      </c>
      <c r="D29" s="161" t="s">
        <v>121</v>
      </c>
      <c r="E29" s="161" t="s">
        <v>34</v>
      </c>
      <c r="F29" s="161" t="s">
        <v>23</v>
      </c>
      <c r="G29" s="161">
        <v>20.0</v>
      </c>
      <c r="H29" s="161" t="s">
        <v>76</v>
      </c>
      <c r="I29" s="160">
        <v>46171.0</v>
      </c>
      <c r="J29" s="160">
        <v>46185.0</v>
      </c>
      <c r="K29" s="161">
        <v>40.0</v>
      </c>
      <c r="L29" s="161">
        <v>0.0</v>
      </c>
      <c r="M29" s="152">
        <v>0.0</v>
      </c>
      <c r="N29" s="161">
        <v>40.0</v>
      </c>
      <c r="O29" s="161" t="s">
        <v>122</v>
      </c>
      <c r="P29" s="152" t="s">
        <v>78</v>
      </c>
      <c r="Q29" s="159"/>
      <c r="R29" s="159"/>
      <c r="S29" s="159"/>
      <c r="T29" s="159"/>
      <c r="U29" s="159"/>
      <c r="V29" s="159"/>
      <c r="W29" s="159"/>
      <c r="X29" s="159"/>
      <c r="Y29" s="159"/>
      <c r="Z29" s="159"/>
    </row>
    <row r="30">
      <c r="A30" s="142"/>
      <c r="B30" s="156" t="s">
        <v>16</v>
      </c>
      <c r="C30" s="142" t="s">
        <v>123</v>
      </c>
      <c r="D30" s="152" t="s">
        <v>121</v>
      </c>
      <c r="E30" s="162" t="s">
        <v>34</v>
      </c>
      <c r="F30" s="162" t="s">
        <v>23</v>
      </c>
      <c r="G30" s="152">
        <v>20.0</v>
      </c>
      <c r="H30" s="142" t="s">
        <v>76</v>
      </c>
      <c r="I30" s="163">
        <v>46171.0</v>
      </c>
      <c r="J30" s="163">
        <v>46185.0</v>
      </c>
      <c r="K30" s="152">
        <v>40.0</v>
      </c>
      <c r="L30" s="152">
        <v>0.0</v>
      </c>
      <c r="M30" s="152">
        <v>0.0</v>
      </c>
      <c r="N30" s="161">
        <v>40.0</v>
      </c>
      <c r="O30" s="152" t="s">
        <v>122</v>
      </c>
      <c r="P30" s="142" t="s">
        <v>78</v>
      </c>
      <c r="Q30" s="159"/>
      <c r="R30" s="159"/>
      <c r="S30" s="159"/>
      <c r="T30" s="159"/>
      <c r="U30" s="159"/>
      <c r="V30" s="159"/>
      <c r="W30" s="159"/>
      <c r="X30" s="159"/>
      <c r="Y30" s="159"/>
      <c r="Z30" s="159"/>
    </row>
    <row r="31" ht="30.0" customHeight="1">
      <c r="A31" s="156"/>
      <c r="B31" s="142" t="s">
        <v>16</v>
      </c>
      <c r="C31" s="142" t="s">
        <v>94</v>
      </c>
      <c r="D31" s="152" t="s">
        <v>124</v>
      </c>
      <c r="E31" s="162" t="s">
        <v>34</v>
      </c>
      <c r="F31" s="162" t="s">
        <v>111</v>
      </c>
      <c r="G31" s="152">
        <v>50.0</v>
      </c>
      <c r="H31" s="142" t="s">
        <v>76</v>
      </c>
      <c r="I31" s="163">
        <v>46171.0</v>
      </c>
      <c r="J31" s="163">
        <v>46350.0</v>
      </c>
      <c r="K31" s="152">
        <v>180.0</v>
      </c>
      <c r="L31" s="152">
        <v>0.0</v>
      </c>
      <c r="M31" s="152">
        <v>0.0</v>
      </c>
      <c r="N31" s="161">
        <v>180.0</v>
      </c>
      <c r="O31" s="152" t="s">
        <v>122</v>
      </c>
      <c r="P31" s="142" t="s">
        <v>78</v>
      </c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 ht="33.75" customHeight="1">
      <c r="A32" s="156"/>
      <c r="B32" s="142" t="s">
        <v>16</v>
      </c>
      <c r="C32" s="142" t="s">
        <v>125</v>
      </c>
      <c r="D32" s="152" t="s">
        <v>126</v>
      </c>
      <c r="E32" s="162" t="s">
        <v>34</v>
      </c>
      <c r="F32" s="162" t="s">
        <v>111</v>
      </c>
      <c r="G32" s="152">
        <v>20.0</v>
      </c>
      <c r="H32" s="142" t="s">
        <v>76</v>
      </c>
      <c r="I32" s="163">
        <v>46171.0</v>
      </c>
      <c r="J32" s="163">
        <v>46185.0</v>
      </c>
      <c r="K32" s="152">
        <v>40.0</v>
      </c>
      <c r="L32" s="152">
        <v>0.0</v>
      </c>
      <c r="M32" s="152">
        <v>0.0</v>
      </c>
      <c r="N32" s="152">
        <v>40.0</v>
      </c>
      <c r="O32" s="152" t="s">
        <v>122</v>
      </c>
      <c r="P32" s="142" t="s">
        <v>78</v>
      </c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ht="33.75" customHeight="1">
      <c r="A33" s="142"/>
      <c r="B33" s="142" t="s">
        <v>16</v>
      </c>
      <c r="C33" s="142" t="s">
        <v>127</v>
      </c>
      <c r="D33" s="152" t="s">
        <v>128</v>
      </c>
      <c r="E33" s="162" t="s">
        <v>34</v>
      </c>
      <c r="F33" s="162" t="s">
        <v>129</v>
      </c>
      <c r="G33" s="152">
        <v>20.0</v>
      </c>
      <c r="H33" s="142" t="s">
        <v>76</v>
      </c>
      <c r="I33" s="163">
        <v>46171.0</v>
      </c>
      <c r="J33" s="163">
        <v>46185.0</v>
      </c>
      <c r="K33" s="152">
        <v>40.0</v>
      </c>
      <c r="L33" s="152">
        <v>0.0</v>
      </c>
      <c r="M33" s="152">
        <v>0.0</v>
      </c>
      <c r="N33" s="152">
        <v>40.0</v>
      </c>
      <c r="O33" s="152" t="s">
        <v>122</v>
      </c>
      <c r="P33" s="142" t="s">
        <v>78</v>
      </c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>
      <c r="A34" s="142"/>
      <c r="B34" s="156" t="s">
        <v>16</v>
      </c>
      <c r="C34" s="142" t="s">
        <v>127</v>
      </c>
      <c r="D34" s="152" t="s">
        <v>130</v>
      </c>
      <c r="E34" s="162" t="s">
        <v>34</v>
      </c>
      <c r="F34" s="162" t="s">
        <v>131</v>
      </c>
      <c r="G34" s="152">
        <v>25.0</v>
      </c>
      <c r="H34" s="142" t="s">
        <v>76</v>
      </c>
      <c r="I34" s="163">
        <v>46186.0</v>
      </c>
      <c r="J34" s="163">
        <v>46215.0</v>
      </c>
      <c r="K34" s="152">
        <v>50.0</v>
      </c>
      <c r="L34" s="161">
        <v>0.0</v>
      </c>
      <c r="M34" s="152">
        <v>0.0</v>
      </c>
      <c r="N34" s="152">
        <v>50.0</v>
      </c>
      <c r="O34" s="152" t="s">
        <v>122</v>
      </c>
      <c r="P34" s="142" t="s">
        <v>78</v>
      </c>
      <c r="Q34" s="159"/>
      <c r="R34" s="159"/>
      <c r="S34" s="159"/>
      <c r="T34" s="159"/>
      <c r="U34" s="159"/>
      <c r="V34" s="159"/>
      <c r="W34" s="159"/>
      <c r="X34" s="159"/>
      <c r="Y34" s="159"/>
      <c r="Z34" s="159"/>
    </row>
    <row r="35">
      <c r="B35" s="156" t="s">
        <v>17</v>
      </c>
      <c r="C35" s="156" t="s">
        <v>115</v>
      </c>
      <c r="D35" s="156" t="s">
        <v>116</v>
      </c>
      <c r="E35" s="156" t="s">
        <v>34</v>
      </c>
      <c r="F35" s="156" t="s">
        <v>20</v>
      </c>
      <c r="G35" s="156">
        <v>12.0</v>
      </c>
      <c r="H35" s="156" t="s">
        <v>92</v>
      </c>
      <c r="I35" s="151"/>
      <c r="J35" s="151"/>
      <c r="K35" s="161">
        <v>16.0</v>
      </c>
      <c r="L35" s="156">
        <v>0.0</v>
      </c>
      <c r="M35" s="156">
        <v>0.0</v>
      </c>
      <c r="N35" s="156">
        <v>16.0</v>
      </c>
      <c r="O35" s="164"/>
      <c r="P35" s="156" t="s">
        <v>100</v>
      </c>
    </row>
    <row r="36">
      <c r="A36" s="16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7"/>
    </row>
    <row r="37">
      <c r="A37" s="142"/>
      <c r="B37" s="142"/>
      <c r="C37" s="142"/>
      <c r="D37" s="142"/>
      <c r="E37" s="142"/>
      <c r="F37" s="142"/>
      <c r="G37" s="142"/>
      <c r="H37" s="142"/>
      <c r="I37" s="149"/>
      <c r="J37" s="149"/>
      <c r="K37" s="150"/>
      <c r="L37" s="141"/>
      <c r="M37" s="142"/>
      <c r="N37" s="141"/>
      <c r="O37" s="142"/>
      <c r="P37" s="142"/>
    </row>
    <row r="38" ht="32.25" customHeight="1">
      <c r="A38" s="156"/>
      <c r="B38" s="140"/>
      <c r="C38" s="140"/>
      <c r="D38" s="140"/>
      <c r="E38" s="140"/>
      <c r="F38" s="140"/>
      <c r="G38" s="140"/>
      <c r="H38" s="140"/>
      <c r="I38" s="146"/>
      <c r="J38" s="146"/>
      <c r="K38" s="166"/>
      <c r="L38" s="140"/>
      <c r="M38" s="142"/>
      <c r="N38" s="142"/>
      <c r="O38" s="140"/>
      <c r="P38" s="139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33.75" customHeight="1">
      <c r="A39" s="142"/>
      <c r="B39" s="142"/>
      <c r="C39" s="142"/>
      <c r="D39" s="152"/>
      <c r="E39" s="157"/>
      <c r="F39" s="157"/>
      <c r="G39" s="152"/>
      <c r="H39" s="142"/>
      <c r="I39" s="163"/>
      <c r="J39" s="163"/>
      <c r="K39" s="152"/>
      <c r="L39" s="152"/>
      <c r="M39" s="154"/>
      <c r="N39" s="154"/>
      <c r="O39" s="152"/>
      <c r="P39" s="139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ht="33.75" customHeight="1">
      <c r="A40" s="156"/>
      <c r="B40" s="142"/>
      <c r="C40" s="142"/>
      <c r="D40" s="152"/>
      <c r="E40" s="157"/>
      <c r="F40" s="157"/>
      <c r="G40" s="152"/>
      <c r="H40" s="142"/>
      <c r="I40" s="163"/>
      <c r="J40" s="163"/>
      <c r="K40" s="152"/>
      <c r="L40" s="152"/>
      <c r="M40" s="154"/>
      <c r="N40" s="154"/>
      <c r="O40" s="152"/>
      <c r="P40" s="139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ht="33.75" customHeight="1">
      <c r="A41" s="156"/>
      <c r="B41" s="142"/>
      <c r="C41" s="144"/>
      <c r="D41" s="152"/>
      <c r="E41" s="152"/>
      <c r="F41" s="152"/>
      <c r="G41" s="152"/>
      <c r="H41" s="152"/>
      <c r="I41" s="151"/>
      <c r="J41" s="151"/>
      <c r="K41" s="152"/>
      <c r="L41" s="152"/>
      <c r="M41" s="154"/>
      <c r="N41" s="154"/>
      <c r="O41" s="152"/>
      <c r="P41" s="154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>
      <c r="A42" s="142"/>
      <c r="B42" s="156"/>
      <c r="C42" s="166"/>
      <c r="D42" s="161"/>
      <c r="E42" s="161"/>
      <c r="F42" s="161"/>
      <c r="G42" s="161"/>
      <c r="H42" s="161"/>
      <c r="I42" s="151"/>
      <c r="J42" s="151"/>
      <c r="K42" s="161"/>
      <c r="L42" s="161"/>
      <c r="M42" s="154"/>
      <c r="N42" s="140"/>
      <c r="O42" s="161"/>
      <c r="P42" s="154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 ht="33.75" customHeight="1">
      <c r="A43" s="142"/>
      <c r="B43" s="142"/>
      <c r="C43" s="144"/>
      <c r="D43" s="152"/>
      <c r="E43" s="152"/>
      <c r="F43" s="152"/>
      <c r="G43" s="152"/>
      <c r="H43" s="152"/>
      <c r="I43" s="151"/>
      <c r="J43" s="151"/>
      <c r="K43" s="152"/>
      <c r="L43" s="152"/>
      <c r="M43" s="154"/>
      <c r="N43" s="154"/>
      <c r="O43" s="152"/>
      <c r="P43" s="154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>
      <c r="A44" s="142"/>
      <c r="B44" s="142"/>
      <c r="C44" s="142"/>
      <c r="D44" s="142"/>
      <c r="E44" s="142"/>
      <c r="F44" s="142"/>
      <c r="G44" s="142"/>
      <c r="H44" s="142"/>
      <c r="I44" s="151"/>
      <c r="J44" s="151"/>
      <c r="K44" s="150"/>
      <c r="L44" s="141"/>
      <c r="M44" s="142"/>
      <c r="N44" s="141"/>
      <c r="O44" s="142"/>
      <c r="P44" s="142"/>
    </row>
    <row r="45" ht="33.75" customHeight="1">
      <c r="A45" s="142"/>
      <c r="B45" s="142"/>
      <c r="C45" s="142"/>
      <c r="D45" s="152"/>
      <c r="E45" s="157"/>
      <c r="F45" s="157"/>
      <c r="G45" s="152"/>
      <c r="H45" s="142"/>
      <c r="I45" s="163"/>
      <c r="J45" s="163"/>
      <c r="K45" s="152"/>
      <c r="L45" s="152"/>
      <c r="M45" s="154"/>
      <c r="N45" s="154"/>
      <c r="O45" s="152"/>
      <c r="P45" s="139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>
      <c r="A46" s="142"/>
      <c r="B46" s="156"/>
      <c r="C46" s="144"/>
      <c r="D46" s="152"/>
      <c r="E46" s="152"/>
      <c r="F46" s="152"/>
      <c r="G46" s="152"/>
      <c r="H46" s="152"/>
      <c r="I46" s="151"/>
      <c r="J46" s="151"/>
      <c r="K46" s="152"/>
      <c r="L46" s="152"/>
      <c r="M46" s="154"/>
      <c r="N46" s="140"/>
      <c r="O46" s="152"/>
      <c r="P46" s="154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 ht="33.75" customHeight="1">
      <c r="A47" s="142"/>
      <c r="B47" s="141"/>
      <c r="C47" s="142"/>
      <c r="D47" s="142"/>
      <c r="E47" s="142"/>
      <c r="F47" s="142"/>
      <c r="G47" s="142"/>
      <c r="H47" s="142"/>
      <c r="I47" s="149"/>
      <c r="J47" s="149"/>
      <c r="K47" s="152"/>
      <c r="L47" s="141"/>
      <c r="M47" s="142"/>
      <c r="N47" s="140"/>
      <c r="O47" s="142"/>
      <c r="P47" s="139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>
      <c r="A48" s="142"/>
      <c r="B48" s="142"/>
      <c r="C48" s="142"/>
      <c r="D48" s="142"/>
      <c r="E48" s="142"/>
      <c r="F48" s="142"/>
      <c r="G48" s="142"/>
      <c r="H48" s="142"/>
      <c r="I48" s="151"/>
      <c r="J48" s="151"/>
      <c r="K48" s="150"/>
      <c r="L48" s="141"/>
      <c r="M48" s="142"/>
      <c r="N48" s="141"/>
      <c r="O48" s="142"/>
      <c r="P48" s="142"/>
    </row>
    <row r="49">
      <c r="A49" s="142"/>
      <c r="B49" s="142"/>
      <c r="C49" s="142"/>
      <c r="D49" s="152"/>
      <c r="E49" s="142"/>
      <c r="F49" s="142"/>
      <c r="G49" s="142"/>
      <c r="H49" s="142"/>
      <c r="I49" s="151"/>
      <c r="J49" s="151"/>
      <c r="K49" s="150"/>
      <c r="L49" s="142"/>
      <c r="M49" s="142"/>
      <c r="N49" s="141"/>
      <c r="O49" s="142"/>
      <c r="P49" s="142"/>
    </row>
    <row r="50" ht="33.75" customHeight="1">
      <c r="A50" s="142"/>
      <c r="B50" s="141"/>
      <c r="C50" s="141"/>
      <c r="D50" s="141"/>
      <c r="E50" s="141"/>
      <c r="F50" s="141"/>
      <c r="G50" s="141"/>
      <c r="H50" s="141"/>
      <c r="I50" s="143"/>
      <c r="J50" s="143"/>
      <c r="K50" s="144"/>
      <c r="L50" s="141"/>
      <c r="M50" s="142"/>
      <c r="N50" s="141"/>
      <c r="O50" s="141"/>
      <c r="P50" s="142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 ht="33.75" customHeight="1">
      <c r="A51" s="142"/>
      <c r="B51" s="141"/>
      <c r="C51" s="141"/>
      <c r="D51" s="141"/>
      <c r="E51" s="141"/>
      <c r="F51" s="141"/>
      <c r="G51" s="141"/>
      <c r="H51" s="141"/>
      <c r="I51" s="143"/>
      <c r="J51" s="143"/>
      <c r="K51" s="144"/>
      <c r="L51" s="141"/>
      <c r="M51" s="142"/>
      <c r="N51" s="141"/>
      <c r="O51" s="141"/>
      <c r="P51" s="142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 ht="33.75" customHeight="1">
      <c r="A52" s="142"/>
      <c r="B52" s="141"/>
      <c r="C52" s="141"/>
      <c r="D52" s="141"/>
      <c r="E52" s="141"/>
      <c r="F52" s="141"/>
      <c r="G52" s="141"/>
      <c r="H52" s="141"/>
      <c r="I52" s="143"/>
      <c r="J52" s="143"/>
      <c r="K52" s="144"/>
      <c r="L52" s="141"/>
      <c r="M52" s="142"/>
      <c r="N52" s="141"/>
      <c r="O52" s="141"/>
      <c r="P52" s="142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 ht="33.75" customHeight="1">
      <c r="A53" s="142"/>
      <c r="B53" s="141"/>
      <c r="C53" s="141"/>
      <c r="D53" s="141"/>
      <c r="E53" s="141"/>
      <c r="F53" s="141"/>
      <c r="G53" s="141"/>
      <c r="H53" s="141"/>
      <c r="I53" s="151"/>
      <c r="J53" s="151"/>
      <c r="K53" s="144"/>
      <c r="L53" s="141"/>
      <c r="M53" s="142"/>
      <c r="N53" s="141"/>
      <c r="O53" s="141"/>
      <c r="P53" s="142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 ht="33.75" customHeight="1">
      <c r="A54" s="142"/>
      <c r="B54" s="141"/>
      <c r="C54" s="142"/>
      <c r="D54" s="142"/>
      <c r="E54" s="142"/>
      <c r="F54" s="142"/>
      <c r="G54" s="142"/>
      <c r="H54" s="142"/>
      <c r="I54" s="151"/>
      <c r="J54" s="151"/>
      <c r="K54" s="150"/>
      <c r="L54" s="141"/>
      <c r="M54" s="142"/>
      <c r="N54" s="142"/>
      <c r="O54" s="142"/>
      <c r="P54" s="142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 ht="33.75" customHeight="1">
      <c r="A55" s="142"/>
      <c r="B55" s="142"/>
      <c r="C55" s="142"/>
      <c r="D55" s="142"/>
      <c r="E55" s="142"/>
      <c r="F55" s="142"/>
      <c r="G55" s="142"/>
      <c r="H55" s="142"/>
      <c r="I55" s="151"/>
      <c r="J55" s="151"/>
      <c r="K55" s="150"/>
      <c r="L55" s="141"/>
      <c r="M55" s="142"/>
      <c r="N55" s="142"/>
      <c r="O55" s="142"/>
      <c r="P55" s="142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 ht="33.75" customHeight="1">
      <c r="A56" s="142"/>
      <c r="B56" s="142"/>
      <c r="C56" s="142"/>
      <c r="D56" s="152"/>
      <c r="E56" s="142"/>
      <c r="F56" s="142"/>
      <c r="G56" s="142"/>
      <c r="H56" s="142"/>
      <c r="I56" s="151"/>
      <c r="J56" s="151"/>
      <c r="K56" s="150"/>
      <c r="L56" s="142"/>
      <c r="M56" s="142"/>
      <c r="N56" s="140"/>
      <c r="O56" s="142"/>
      <c r="P56" s="142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ht="33.75" customHeight="1">
      <c r="A57" s="142"/>
      <c r="B57" s="142"/>
      <c r="C57" s="142"/>
      <c r="D57" s="152"/>
      <c r="E57" s="142"/>
      <c r="F57" s="142"/>
      <c r="G57" s="142"/>
      <c r="H57" s="142"/>
      <c r="I57" s="151"/>
      <c r="J57" s="151"/>
      <c r="K57" s="150"/>
      <c r="L57" s="142"/>
      <c r="M57" s="142"/>
      <c r="N57" s="141"/>
      <c r="O57" s="142"/>
      <c r="P57" s="142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ht="33.75" customHeight="1">
      <c r="A58" s="142"/>
      <c r="B58" s="142"/>
      <c r="C58" s="142"/>
      <c r="D58" s="152"/>
      <c r="E58" s="142"/>
      <c r="F58" s="142"/>
      <c r="G58" s="142"/>
      <c r="H58" s="142"/>
      <c r="I58" s="151"/>
      <c r="J58" s="151"/>
      <c r="K58" s="150"/>
      <c r="L58" s="142"/>
      <c r="M58" s="142"/>
      <c r="N58" s="141"/>
      <c r="O58" s="142"/>
      <c r="P58" s="142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33.0" customHeight="1">
      <c r="A59" s="142"/>
      <c r="B59" s="141"/>
      <c r="C59" s="142"/>
      <c r="D59" s="142"/>
      <c r="E59" s="142"/>
      <c r="F59" s="142"/>
      <c r="G59" s="142"/>
      <c r="H59" s="142"/>
      <c r="I59" s="149"/>
      <c r="J59" s="149"/>
      <c r="K59" s="150"/>
      <c r="L59" s="141"/>
      <c r="M59" s="142"/>
      <c r="N59" s="141"/>
      <c r="O59" s="142"/>
      <c r="P59" s="142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 ht="33.75" customHeight="1">
      <c r="A60" s="142"/>
      <c r="B60" s="142"/>
      <c r="C60" s="142"/>
      <c r="D60" s="142"/>
      <c r="E60" s="142"/>
      <c r="F60" s="142"/>
      <c r="G60" s="142"/>
      <c r="H60" s="142"/>
      <c r="I60" s="160"/>
      <c r="J60" s="160"/>
      <c r="K60" s="150"/>
      <c r="L60" s="141"/>
      <c r="M60" s="142"/>
      <c r="N60" s="142"/>
      <c r="O60" s="142"/>
      <c r="P60" s="142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 ht="33.75" customHeight="1">
      <c r="A61" s="142"/>
      <c r="B61" s="142"/>
      <c r="C61" s="142"/>
      <c r="D61" s="142"/>
      <c r="E61" s="142"/>
      <c r="F61" s="142"/>
      <c r="G61" s="142"/>
      <c r="H61" s="142"/>
      <c r="I61" s="151"/>
      <c r="J61" s="151"/>
      <c r="K61" s="150"/>
      <c r="L61" s="141"/>
      <c r="M61" s="142"/>
      <c r="N61" s="141"/>
      <c r="O61" s="142"/>
      <c r="P61" s="142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 ht="33.75" customHeight="1">
      <c r="A62" s="142"/>
      <c r="B62" s="142"/>
      <c r="C62" s="142"/>
      <c r="D62" s="142"/>
      <c r="E62" s="142"/>
      <c r="F62" s="142"/>
      <c r="G62" s="142"/>
      <c r="H62" s="142"/>
      <c r="I62" s="153"/>
      <c r="J62" s="153"/>
      <c r="K62" s="150"/>
      <c r="L62" s="141"/>
      <c r="M62" s="142"/>
      <c r="N62" s="141"/>
      <c r="O62" s="142"/>
      <c r="P62" s="142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 ht="33.75" customHeight="1">
      <c r="A63" s="142"/>
      <c r="B63" s="141"/>
      <c r="C63" s="142"/>
      <c r="D63" s="142"/>
      <c r="E63" s="142"/>
      <c r="F63" s="142"/>
      <c r="G63" s="142"/>
      <c r="H63" s="142"/>
      <c r="I63" s="151"/>
      <c r="J63" s="151"/>
      <c r="K63" s="150"/>
      <c r="L63" s="141"/>
      <c r="M63" s="142"/>
      <c r="N63" s="141"/>
      <c r="O63" s="142"/>
      <c r="P63" s="142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ht="33.75" customHeight="1">
      <c r="A64" s="142"/>
      <c r="B64" s="142"/>
      <c r="C64" s="142"/>
      <c r="D64" s="142"/>
      <c r="E64" s="142"/>
      <c r="F64" s="142"/>
      <c r="G64" s="142"/>
      <c r="H64" s="142"/>
      <c r="I64" s="149"/>
      <c r="J64" s="149"/>
      <c r="K64" s="150"/>
      <c r="L64" s="141"/>
      <c r="M64" s="142"/>
      <c r="N64" s="141"/>
      <c r="O64" s="142"/>
      <c r="P64" s="142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ht="33.75" customHeight="1">
      <c r="A65" s="156"/>
      <c r="B65" s="140"/>
      <c r="C65" s="140"/>
      <c r="D65" s="140"/>
      <c r="E65" s="140"/>
      <c r="F65" s="140"/>
      <c r="G65" s="140"/>
      <c r="H65" s="156"/>
      <c r="I65" s="146"/>
      <c r="J65" s="146"/>
      <c r="K65" s="140"/>
      <c r="L65" s="140"/>
      <c r="M65" s="156"/>
      <c r="N65" s="156"/>
      <c r="O65" s="140"/>
      <c r="P65" s="156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ht="33.75" customHeight="1">
      <c r="A66" s="156"/>
      <c r="B66" s="140"/>
      <c r="C66" s="140"/>
      <c r="D66" s="140"/>
      <c r="E66" s="140"/>
      <c r="F66" s="140"/>
      <c r="G66" s="140"/>
      <c r="H66" s="140"/>
      <c r="I66" s="146"/>
      <c r="J66" s="146"/>
      <c r="K66" s="167"/>
      <c r="L66" s="140"/>
      <c r="M66" s="156"/>
      <c r="N66" s="156"/>
      <c r="O66" s="140"/>
      <c r="P66" s="156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 ht="32.25" customHeight="1">
      <c r="A67" s="142"/>
      <c r="B67" s="141"/>
      <c r="C67" s="141"/>
      <c r="D67" s="141"/>
      <c r="E67" s="141"/>
      <c r="F67" s="142"/>
      <c r="G67" s="141"/>
      <c r="H67" s="141"/>
      <c r="I67" s="143"/>
      <c r="J67" s="143"/>
      <c r="K67" s="152"/>
      <c r="L67" s="142"/>
      <c r="M67" s="142"/>
      <c r="N67" s="140"/>
      <c r="O67" s="141"/>
      <c r="P67" s="142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33.0" customHeight="1">
      <c r="A68" s="142"/>
      <c r="B68" s="142"/>
      <c r="C68" s="142"/>
      <c r="D68" s="142"/>
      <c r="E68" s="142"/>
      <c r="F68" s="142"/>
      <c r="G68" s="142"/>
      <c r="H68" s="142"/>
      <c r="I68" s="149"/>
      <c r="J68" s="149"/>
      <c r="K68" s="150"/>
      <c r="L68" s="141"/>
      <c r="M68" s="142"/>
      <c r="N68" s="140"/>
      <c r="O68" s="142"/>
      <c r="P68" s="142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33.0" customHeight="1">
      <c r="A69" s="142"/>
      <c r="B69" s="157"/>
      <c r="C69" s="144"/>
      <c r="D69" s="144"/>
      <c r="E69" s="144"/>
      <c r="F69" s="142"/>
      <c r="G69" s="144"/>
      <c r="H69" s="144"/>
      <c r="I69" s="151"/>
      <c r="J69" s="151"/>
      <c r="K69" s="144"/>
      <c r="L69" s="144"/>
      <c r="M69" s="152"/>
      <c r="N69" s="166"/>
      <c r="O69" s="157"/>
      <c r="P69" s="152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33.0" customHeight="1">
      <c r="A70" s="142"/>
      <c r="B70" s="144"/>
      <c r="C70" s="144"/>
      <c r="D70" s="144"/>
      <c r="E70" s="144"/>
      <c r="F70" s="142"/>
      <c r="G70" s="144"/>
      <c r="H70" s="144"/>
      <c r="I70" s="151"/>
      <c r="J70" s="151"/>
      <c r="K70" s="144"/>
      <c r="L70" s="144"/>
      <c r="M70" s="152"/>
      <c r="N70" s="166"/>
      <c r="O70" s="157"/>
      <c r="P70" s="152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>
      <c r="A71" s="142"/>
      <c r="B71" s="141"/>
      <c r="C71" s="141"/>
      <c r="D71" s="141"/>
      <c r="E71" s="140"/>
      <c r="F71" s="142"/>
      <c r="G71" s="141"/>
      <c r="H71" s="140"/>
      <c r="I71" s="151"/>
      <c r="J71" s="151"/>
      <c r="K71" s="141"/>
      <c r="L71" s="140"/>
      <c r="M71" s="156"/>
      <c r="N71" s="156"/>
      <c r="O71" s="164"/>
      <c r="P71" s="142"/>
    </row>
    <row r="72">
      <c r="A72" s="141"/>
      <c r="B72" s="141"/>
      <c r="C72" s="141"/>
      <c r="D72" s="141"/>
      <c r="E72" s="141"/>
      <c r="F72" s="142"/>
      <c r="G72" s="141"/>
      <c r="H72" s="141"/>
      <c r="I72" s="151"/>
      <c r="J72" s="151"/>
      <c r="K72" s="141"/>
      <c r="L72" s="141"/>
      <c r="M72" s="142"/>
      <c r="N72" s="156"/>
      <c r="O72" s="141"/>
      <c r="P72" s="142"/>
    </row>
    <row r="73" ht="32.25" customHeight="1">
      <c r="A73" s="141"/>
      <c r="B73" s="142"/>
      <c r="C73" s="142"/>
      <c r="D73" s="142"/>
      <c r="E73" s="142"/>
      <c r="F73" s="142"/>
      <c r="G73" s="142"/>
      <c r="H73" s="142"/>
      <c r="I73" s="151"/>
      <c r="J73" s="151"/>
      <c r="K73" s="150"/>
      <c r="L73" s="141"/>
      <c r="M73" s="142"/>
      <c r="N73" s="140"/>
      <c r="O73" s="142"/>
      <c r="P73" s="142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ht="33.75" customHeight="1">
      <c r="A74" s="141"/>
      <c r="B74" s="142"/>
      <c r="C74" s="142"/>
      <c r="D74" s="142"/>
      <c r="E74" s="142"/>
      <c r="F74" s="142"/>
      <c r="G74" s="142"/>
      <c r="H74" s="142"/>
      <c r="I74" s="151"/>
      <c r="J74" s="151"/>
      <c r="K74" s="150"/>
      <c r="L74" s="141"/>
      <c r="M74" s="142"/>
      <c r="N74" s="140"/>
      <c r="O74" s="142"/>
      <c r="P74" s="142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ht="33.75" customHeight="1">
      <c r="A75" s="142"/>
      <c r="B75" s="141"/>
      <c r="C75" s="141"/>
      <c r="D75" s="141"/>
      <c r="E75" s="141"/>
      <c r="F75" s="142"/>
      <c r="G75" s="141"/>
      <c r="H75" s="141"/>
      <c r="I75" s="143"/>
      <c r="J75" s="143"/>
      <c r="K75" s="152"/>
      <c r="L75" s="142"/>
      <c r="M75" s="142"/>
      <c r="N75" s="140"/>
      <c r="O75" s="141"/>
      <c r="P75" s="142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 ht="33.75" customHeight="1">
      <c r="A76" s="142"/>
      <c r="B76" s="141"/>
      <c r="C76" s="141"/>
      <c r="D76" s="142"/>
      <c r="E76" s="142"/>
      <c r="F76" s="142"/>
      <c r="G76" s="142"/>
      <c r="H76" s="142"/>
      <c r="I76" s="151"/>
      <c r="J76" s="151"/>
      <c r="K76" s="142"/>
      <c r="L76" s="156"/>
      <c r="M76" s="142"/>
      <c r="N76" s="156"/>
      <c r="O76" s="142"/>
      <c r="P76" s="142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 ht="33.75" customHeight="1">
      <c r="A77" s="142"/>
      <c r="B77" s="142"/>
      <c r="C77" s="142"/>
      <c r="D77" s="142"/>
      <c r="E77" s="142"/>
      <c r="F77" s="142"/>
      <c r="G77" s="142"/>
      <c r="H77" s="142"/>
      <c r="I77" s="151"/>
      <c r="J77" s="151"/>
      <c r="K77" s="150"/>
      <c r="L77" s="140"/>
      <c r="M77" s="142"/>
      <c r="N77" s="140"/>
      <c r="O77" s="142"/>
      <c r="P77" s="142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ht="33.75" customHeight="1">
      <c r="A78" s="142"/>
      <c r="B78" s="169"/>
      <c r="C78" s="169"/>
      <c r="D78" s="169"/>
      <c r="E78" s="169"/>
      <c r="F78" s="169"/>
      <c r="G78" s="169"/>
      <c r="H78" s="169"/>
      <c r="I78" s="170"/>
      <c r="J78" s="170"/>
      <c r="K78" s="150"/>
      <c r="L78" s="171"/>
      <c r="M78" s="169"/>
      <c r="N78" s="172"/>
      <c r="O78" s="169"/>
      <c r="P78" s="173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 ht="33.75" customHeight="1">
      <c r="A79" s="142"/>
      <c r="B79" s="169"/>
      <c r="C79" s="169"/>
      <c r="D79" s="169"/>
      <c r="E79" s="169"/>
      <c r="F79" s="169"/>
      <c r="G79" s="169"/>
      <c r="H79" s="169"/>
      <c r="I79" s="170"/>
      <c r="J79" s="170"/>
      <c r="K79" s="150"/>
      <c r="L79" s="171"/>
      <c r="M79" s="169"/>
      <c r="N79" s="172"/>
      <c r="O79" s="169"/>
      <c r="P79" s="173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 ht="33.75" customHeight="1">
      <c r="A80" s="142"/>
      <c r="B80" s="169"/>
      <c r="C80" s="169"/>
      <c r="D80" s="169"/>
      <c r="E80" s="169"/>
      <c r="F80" s="169"/>
      <c r="G80" s="169"/>
      <c r="H80" s="169"/>
      <c r="I80" s="170"/>
      <c r="J80" s="170"/>
      <c r="K80" s="150"/>
      <c r="L80" s="171"/>
      <c r="M80" s="169"/>
      <c r="N80" s="172"/>
      <c r="O80" s="169"/>
      <c r="P80" s="173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ht="33.75" customHeight="1">
      <c r="A81" s="142"/>
      <c r="B81" s="169"/>
      <c r="C81" s="169"/>
      <c r="D81" s="169"/>
      <c r="E81" s="169"/>
      <c r="F81" s="169"/>
      <c r="G81" s="169"/>
      <c r="H81" s="169"/>
      <c r="I81" s="170"/>
      <c r="J81" s="170"/>
      <c r="K81" s="150"/>
      <c r="L81" s="171"/>
      <c r="M81" s="169"/>
      <c r="N81" s="172"/>
      <c r="O81" s="169"/>
      <c r="P81" s="173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ht="33.75" customHeight="1">
      <c r="A82" s="142"/>
      <c r="B82" s="169"/>
      <c r="C82" s="169"/>
      <c r="D82" s="169"/>
      <c r="E82" s="169"/>
      <c r="F82" s="169"/>
      <c r="G82" s="169"/>
      <c r="H82" s="169"/>
      <c r="I82" s="170"/>
      <c r="J82" s="170"/>
      <c r="K82" s="150"/>
      <c r="L82" s="171"/>
      <c r="M82" s="169"/>
      <c r="N82" s="150"/>
      <c r="O82" s="169"/>
      <c r="P82" s="173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ht="33.75" customHeight="1">
      <c r="A83" s="142"/>
      <c r="B83" s="169"/>
      <c r="C83" s="174"/>
      <c r="D83" s="175"/>
      <c r="E83" s="175"/>
      <c r="F83" s="175"/>
      <c r="G83" s="175"/>
      <c r="H83" s="175"/>
      <c r="I83" s="170"/>
      <c r="J83" s="170"/>
      <c r="K83" s="150"/>
      <c r="L83" s="175"/>
      <c r="M83" s="175"/>
      <c r="N83" s="175"/>
      <c r="O83" s="175"/>
      <c r="P83" s="176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ht="33.75" customHeight="1">
      <c r="A84" s="142"/>
      <c r="B84" s="169"/>
      <c r="C84" s="174"/>
      <c r="D84" s="175"/>
      <c r="E84" s="175"/>
      <c r="F84" s="175"/>
      <c r="G84" s="175"/>
      <c r="H84" s="175"/>
      <c r="I84" s="170"/>
      <c r="J84" s="170"/>
      <c r="K84" s="150"/>
      <c r="L84" s="175"/>
      <c r="M84" s="175"/>
      <c r="N84" s="177"/>
      <c r="O84" s="175"/>
      <c r="P84" s="176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ht="32.25" customHeight="1">
      <c r="A85" s="142"/>
      <c r="B85" s="169"/>
      <c r="C85" s="169"/>
      <c r="D85" s="175"/>
      <c r="E85" s="169"/>
      <c r="F85" s="178"/>
      <c r="G85" s="174"/>
      <c r="H85" s="169"/>
      <c r="I85" s="170"/>
      <c r="J85" s="170"/>
      <c r="K85" s="150"/>
      <c r="L85" s="171"/>
      <c r="M85" s="169"/>
      <c r="N85" s="150"/>
      <c r="O85" s="169"/>
      <c r="P85" s="173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ht="32.25" customHeight="1">
      <c r="A86" s="142"/>
      <c r="B86" s="169"/>
      <c r="C86" s="169"/>
      <c r="D86" s="169"/>
      <c r="E86" s="169"/>
      <c r="F86" s="169"/>
      <c r="G86" s="169"/>
      <c r="H86" s="169"/>
      <c r="I86" s="170"/>
      <c r="J86" s="170"/>
      <c r="K86" s="150"/>
      <c r="L86" s="171"/>
      <c r="M86" s="169"/>
      <c r="N86" s="179"/>
      <c r="O86" s="169"/>
      <c r="P86" s="173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ht="32.25" customHeight="1">
      <c r="A87" s="142"/>
      <c r="B87" s="142"/>
      <c r="C87" s="142"/>
      <c r="D87" s="142"/>
      <c r="E87" s="142"/>
      <c r="F87" s="142"/>
      <c r="G87" s="142"/>
      <c r="H87" s="142"/>
      <c r="I87" s="151"/>
      <c r="J87" s="151"/>
      <c r="K87" s="150"/>
      <c r="L87" s="142"/>
      <c r="M87" s="142"/>
      <c r="N87" s="156"/>
      <c r="O87" s="142"/>
      <c r="P87" s="142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 ht="33.75" customHeight="1">
      <c r="A88" s="142"/>
      <c r="B88" s="142"/>
      <c r="C88" s="142"/>
      <c r="D88" s="142"/>
      <c r="E88" s="142"/>
      <c r="F88" s="142"/>
      <c r="G88" s="142"/>
      <c r="H88" s="142"/>
      <c r="I88" s="151"/>
      <c r="J88" s="151"/>
      <c r="K88" s="150"/>
      <c r="L88" s="142"/>
      <c r="M88" s="142"/>
      <c r="N88" s="142"/>
      <c r="O88" s="142"/>
      <c r="P88" s="142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ht="33.75" customHeight="1">
      <c r="A89" s="142"/>
      <c r="B89" s="142"/>
      <c r="C89" s="142"/>
      <c r="D89" s="142"/>
      <c r="E89" s="142"/>
      <c r="F89" s="142"/>
      <c r="G89" s="142"/>
      <c r="H89" s="142"/>
      <c r="I89" s="151"/>
      <c r="J89" s="151"/>
      <c r="K89" s="150"/>
      <c r="L89" s="141"/>
      <c r="M89" s="142"/>
      <c r="N89" s="140"/>
      <c r="O89" s="142"/>
      <c r="P89" s="142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ht="32.25" customHeight="1">
      <c r="A90" s="142"/>
      <c r="B90" s="169"/>
      <c r="C90" s="174"/>
      <c r="D90" s="175"/>
      <c r="E90" s="175"/>
      <c r="F90" s="175"/>
      <c r="G90" s="175"/>
      <c r="H90" s="175"/>
      <c r="I90" s="170"/>
      <c r="J90" s="170"/>
      <c r="K90" s="150"/>
      <c r="L90" s="175"/>
      <c r="M90" s="175"/>
      <c r="N90" s="175"/>
      <c r="O90" s="175"/>
      <c r="P90" s="176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ht="32.25" customHeight="1">
      <c r="A91" s="142"/>
      <c r="B91" s="169"/>
      <c r="C91" s="174"/>
      <c r="D91" s="175"/>
      <c r="E91" s="175"/>
      <c r="F91" s="175"/>
      <c r="G91" s="175"/>
      <c r="H91" s="175"/>
      <c r="I91" s="170"/>
      <c r="J91" s="170"/>
      <c r="K91" s="150"/>
      <c r="L91" s="175"/>
      <c r="M91" s="175"/>
      <c r="N91" s="179"/>
      <c r="O91" s="175"/>
      <c r="P91" s="176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ht="32.25" customHeight="1">
      <c r="A92" s="142"/>
      <c r="B92" s="169"/>
      <c r="C92" s="174"/>
      <c r="D92" s="175"/>
      <c r="E92" s="175"/>
      <c r="F92" s="175"/>
      <c r="G92" s="175"/>
      <c r="H92" s="175"/>
      <c r="I92" s="170"/>
      <c r="J92" s="170"/>
      <c r="K92" s="150"/>
      <c r="L92" s="175"/>
      <c r="M92" s="175"/>
      <c r="N92" s="175"/>
      <c r="O92" s="175"/>
      <c r="P92" s="176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ht="32.25" customHeight="1">
      <c r="A93" s="142"/>
      <c r="B93" s="169"/>
      <c r="C93" s="169"/>
      <c r="D93" s="169"/>
      <c r="E93" s="169"/>
      <c r="F93" s="169"/>
      <c r="G93" s="169"/>
      <c r="H93" s="169"/>
      <c r="I93" s="170"/>
      <c r="J93" s="170"/>
      <c r="K93" s="150"/>
      <c r="L93" s="171"/>
      <c r="M93" s="169"/>
      <c r="N93" s="172"/>
      <c r="O93" s="169"/>
      <c r="P93" s="173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ht="32.25" customHeight="1">
      <c r="A94" s="142"/>
      <c r="B94" s="141"/>
      <c r="C94" s="141"/>
      <c r="D94" s="141"/>
      <c r="E94" s="141"/>
      <c r="F94" s="142"/>
      <c r="G94" s="141"/>
      <c r="H94" s="141"/>
      <c r="I94" s="146"/>
      <c r="J94" s="146"/>
      <c r="K94" s="141"/>
      <c r="L94" s="141"/>
      <c r="M94" s="142"/>
      <c r="N94" s="156"/>
      <c r="O94" s="141"/>
      <c r="P94" s="142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ht="32.25" customHeight="1">
      <c r="A95" s="142"/>
      <c r="B95" s="141"/>
      <c r="C95" s="141"/>
      <c r="D95" s="141"/>
      <c r="E95" s="140"/>
      <c r="F95" s="142"/>
      <c r="G95" s="141"/>
      <c r="H95" s="140"/>
      <c r="I95" s="146"/>
      <c r="J95" s="146"/>
      <c r="K95" s="141"/>
      <c r="L95" s="140"/>
      <c r="M95" s="142"/>
      <c r="N95" s="142"/>
      <c r="O95" s="141"/>
      <c r="P95" s="142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ht="32.25" customHeight="1">
      <c r="A96" s="142"/>
      <c r="B96" s="141"/>
      <c r="C96" s="141"/>
      <c r="D96" s="141"/>
      <c r="E96" s="141"/>
      <c r="F96" s="142"/>
      <c r="G96" s="141"/>
      <c r="H96" s="141"/>
      <c r="I96" s="146"/>
      <c r="J96" s="146"/>
      <c r="K96" s="141"/>
      <c r="L96" s="141"/>
      <c r="M96" s="142"/>
      <c r="N96" s="142"/>
      <c r="O96" s="141"/>
      <c r="P96" s="142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ht="32.25" customHeight="1">
      <c r="A97" s="142"/>
      <c r="B97" s="141"/>
      <c r="C97" s="141"/>
      <c r="D97" s="142"/>
      <c r="E97" s="142"/>
      <c r="F97" s="142"/>
      <c r="G97" s="142"/>
      <c r="H97" s="142"/>
      <c r="I97" s="151"/>
      <c r="J97" s="151"/>
      <c r="K97" s="142"/>
      <c r="L97" s="142"/>
      <c r="M97" s="142"/>
      <c r="N97" s="142"/>
      <c r="O97" s="142"/>
      <c r="P97" s="142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 ht="32.25" customHeight="1">
      <c r="A98" s="142"/>
      <c r="B98" s="142"/>
      <c r="C98" s="142"/>
      <c r="D98" s="142"/>
      <c r="E98" s="142"/>
      <c r="F98" s="142"/>
      <c r="G98" s="142"/>
      <c r="H98" s="142"/>
      <c r="I98" s="151"/>
      <c r="J98" s="151"/>
      <c r="K98" s="150"/>
      <c r="L98" s="142"/>
      <c r="M98" s="142"/>
      <c r="N98" s="141"/>
      <c r="O98" s="142"/>
      <c r="P98" s="142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ht="32.25" customHeight="1">
      <c r="A99" s="142"/>
      <c r="B99" s="156"/>
      <c r="C99" s="156"/>
      <c r="D99" s="142"/>
      <c r="E99" s="156"/>
      <c r="F99" s="156"/>
      <c r="G99" s="142"/>
      <c r="H99" s="164"/>
      <c r="I99" s="151"/>
      <c r="J99" s="151"/>
      <c r="K99" s="150"/>
      <c r="L99" s="140"/>
      <c r="M99" s="142"/>
      <c r="N99" s="140"/>
      <c r="O99" s="142"/>
      <c r="P99" s="142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 ht="33.75" customHeight="1">
      <c r="A100" s="142"/>
      <c r="B100" s="169"/>
      <c r="C100" s="169"/>
      <c r="D100" s="169"/>
      <c r="E100" s="169"/>
      <c r="F100" s="169"/>
      <c r="G100" s="169"/>
      <c r="H100" s="169"/>
      <c r="I100" s="170"/>
      <c r="J100" s="170"/>
      <c r="K100" s="150"/>
      <c r="L100" s="180"/>
      <c r="M100" s="169"/>
      <c r="N100" s="140"/>
      <c r="O100" s="169"/>
      <c r="P100" s="173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ht="33.75" customHeight="1">
      <c r="A101" s="142"/>
      <c r="B101" s="169"/>
      <c r="C101" s="169"/>
      <c r="D101" s="169"/>
      <c r="E101" s="169"/>
      <c r="F101" s="169"/>
      <c r="G101" s="169"/>
      <c r="H101" s="169"/>
      <c r="I101" s="170"/>
      <c r="J101" s="170"/>
      <c r="K101" s="150"/>
      <c r="L101" s="171"/>
      <c r="M101" s="169"/>
      <c r="N101" s="140"/>
      <c r="O101" s="169"/>
      <c r="P101" s="173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ht="32.25" customHeight="1">
      <c r="A102" s="142"/>
      <c r="B102" s="142"/>
      <c r="C102" s="142"/>
      <c r="D102" s="142"/>
      <c r="E102" s="142"/>
      <c r="F102" s="142"/>
      <c r="G102" s="142"/>
      <c r="H102" s="142"/>
      <c r="I102" s="151"/>
      <c r="J102" s="151"/>
      <c r="K102" s="152"/>
      <c r="L102" s="141"/>
      <c r="M102" s="142"/>
      <c r="N102" s="140"/>
      <c r="O102" s="142"/>
      <c r="P102" s="139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ht="32.25" customHeight="1">
      <c r="A103" s="142"/>
      <c r="B103" s="142"/>
      <c r="C103" s="142"/>
      <c r="D103" s="142"/>
      <c r="E103" s="142"/>
      <c r="F103" s="142"/>
      <c r="G103" s="142"/>
      <c r="H103" s="142"/>
      <c r="I103" s="151"/>
      <c r="J103" s="151"/>
      <c r="K103" s="152"/>
      <c r="L103" s="141"/>
      <c r="M103" s="139"/>
      <c r="N103" s="181"/>
      <c r="O103" s="142"/>
      <c r="P103" s="142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ht="36.75" customHeight="1">
      <c r="A104" s="142"/>
      <c r="B104" s="142"/>
      <c r="C104" s="142"/>
      <c r="D104" s="142"/>
      <c r="E104" s="142"/>
      <c r="F104" s="142"/>
      <c r="G104" s="142"/>
      <c r="H104" s="142"/>
      <c r="I104" s="151"/>
      <c r="J104" s="151"/>
      <c r="K104" s="152"/>
      <c r="L104" s="141"/>
      <c r="M104" s="139"/>
      <c r="N104" s="154"/>
      <c r="O104" s="142"/>
      <c r="P104" s="142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ht="33.75" customHeight="1">
      <c r="A105" s="142"/>
      <c r="B105" s="142"/>
      <c r="C105" s="142"/>
      <c r="D105" s="142"/>
      <c r="E105" s="142"/>
      <c r="F105" s="142"/>
      <c r="G105" s="142"/>
      <c r="H105" s="142"/>
      <c r="I105" s="151"/>
      <c r="J105" s="151"/>
      <c r="K105" s="152"/>
      <c r="L105" s="141"/>
      <c r="M105" s="139"/>
      <c r="N105" s="154"/>
      <c r="O105" s="142"/>
      <c r="P105" s="142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ht="33.75" customHeight="1">
      <c r="A106" s="142"/>
      <c r="B106" s="141"/>
      <c r="C106" s="141"/>
      <c r="D106" s="141"/>
      <c r="E106" s="141"/>
      <c r="F106" s="142"/>
      <c r="G106" s="141"/>
      <c r="H106" s="141"/>
      <c r="I106" s="143"/>
      <c r="J106" s="143"/>
      <c r="K106" s="144"/>
      <c r="L106" s="142"/>
      <c r="M106" s="142"/>
      <c r="N106" s="142"/>
      <c r="O106" s="141"/>
      <c r="P106" s="139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ht="33.75" customHeight="1">
      <c r="A107" s="142"/>
      <c r="B107" s="141"/>
      <c r="C107" s="141"/>
      <c r="D107" s="141"/>
      <c r="E107" s="141"/>
      <c r="F107" s="142"/>
      <c r="G107" s="141"/>
      <c r="H107" s="141"/>
      <c r="I107" s="143"/>
      <c r="J107" s="143"/>
      <c r="K107" s="144"/>
      <c r="L107" s="142"/>
      <c r="M107" s="139"/>
      <c r="N107" s="181"/>
      <c r="O107" s="141"/>
      <c r="P107" s="139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ht="33.75" customHeight="1">
      <c r="A108" s="139"/>
      <c r="B108" s="142"/>
      <c r="C108" s="142"/>
      <c r="D108" s="142"/>
      <c r="E108" s="142"/>
      <c r="F108" s="142"/>
      <c r="G108" s="142"/>
      <c r="H108" s="142"/>
      <c r="I108" s="149"/>
      <c r="J108" s="149"/>
      <c r="K108" s="152"/>
      <c r="L108" s="141"/>
      <c r="M108" s="142"/>
      <c r="N108" s="140"/>
      <c r="O108" s="142"/>
      <c r="P108" s="142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 ht="33.75" customHeight="1">
      <c r="A109" s="139"/>
      <c r="B109" s="142"/>
      <c r="C109" s="142"/>
      <c r="D109" s="142"/>
      <c r="E109" s="142"/>
      <c r="F109" s="142"/>
      <c r="G109" s="142"/>
      <c r="H109" s="142"/>
      <c r="I109" s="149"/>
      <c r="J109" s="149"/>
      <c r="K109" s="152"/>
      <c r="L109" s="141"/>
      <c r="M109" s="139"/>
      <c r="N109" s="140"/>
      <c r="O109" s="142"/>
      <c r="P109" s="139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 ht="33.75" customHeight="1">
      <c r="A110" s="139"/>
      <c r="B110" s="142"/>
      <c r="C110" s="142"/>
      <c r="D110" s="142"/>
      <c r="E110" s="142"/>
      <c r="F110" s="142"/>
      <c r="G110" s="142"/>
      <c r="H110" s="142"/>
      <c r="I110" s="151"/>
      <c r="J110" s="151"/>
      <c r="K110" s="152"/>
      <c r="L110" s="141"/>
      <c r="M110" s="139"/>
      <c r="N110" s="140"/>
      <c r="O110" s="142"/>
      <c r="P110" s="142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 ht="33.75" customHeight="1">
      <c r="A111" s="139"/>
      <c r="B111" s="142"/>
      <c r="C111" s="142"/>
      <c r="D111" s="142"/>
      <c r="E111" s="142"/>
      <c r="F111" s="142"/>
      <c r="G111" s="142"/>
      <c r="H111" s="142"/>
      <c r="I111" s="149"/>
      <c r="J111" s="149"/>
      <c r="K111" s="152"/>
      <c r="L111" s="141"/>
      <c r="M111" s="139"/>
      <c r="N111" s="140"/>
      <c r="O111" s="142"/>
      <c r="P111" s="142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 ht="33.75" customHeight="1">
      <c r="A112" s="139"/>
      <c r="B112" s="142"/>
      <c r="C112" s="142"/>
      <c r="D112" s="142"/>
      <c r="E112" s="142"/>
      <c r="F112" s="142"/>
      <c r="G112" s="142"/>
      <c r="H112" s="142"/>
      <c r="I112" s="149"/>
      <c r="J112" s="149"/>
      <c r="K112" s="152"/>
      <c r="L112" s="141"/>
      <c r="M112" s="139"/>
      <c r="N112" s="140"/>
      <c r="O112" s="142"/>
      <c r="P112" s="142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 ht="33.75" customHeight="1">
      <c r="A113" s="139"/>
      <c r="B113" s="142"/>
      <c r="C113" s="142"/>
      <c r="D113" s="142"/>
      <c r="E113" s="142"/>
      <c r="F113" s="142"/>
      <c r="G113" s="142"/>
      <c r="H113" s="142"/>
      <c r="I113" s="151"/>
      <c r="J113" s="151"/>
      <c r="K113" s="152"/>
      <c r="L113" s="141"/>
      <c r="M113" s="142"/>
      <c r="N113" s="140"/>
      <c r="O113" s="142"/>
      <c r="P113" s="142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 ht="33.75" customHeight="1">
      <c r="A114" s="139"/>
      <c r="B114" s="142"/>
      <c r="C114" s="142"/>
      <c r="D114" s="142"/>
      <c r="E114" s="142"/>
      <c r="F114" s="142"/>
      <c r="G114" s="142"/>
      <c r="H114" s="142"/>
      <c r="I114" s="151"/>
      <c r="J114" s="151"/>
      <c r="K114" s="152"/>
      <c r="L114" s="141"/>
      <c r="M114" s="142"/>
      <c r="N114" s="140"/>
      <c r="O114" s="142"/>
      <c r="P114" s="142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 ht="33.75" customHeight="1">
      <c r="A115" s="139"/>
      <c r="B115" s="142"/>
      <c r="C115" s="142"/>
      <c r="D115" s="142"/>
      <c r="E115" s="142"/>
      <c r="F115" s="142"/>
      <c r="G115" s="142"/>
      <c r="H115" s="142"/>
      <c r="I115" s="151"/>
      <c r="J115" s="151"/>
      <c r="K115" s="152"/>
      <c r="L115" s="141"/>
      <c r="M115" s="139"/>
      <c r="N115" s="140"/>
      <c r="O115" s="142"/>
      <c r="P115" s="142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 ht="33.75" customHeight="1">
      <c r="A116" s="139"/>
      <c r="B116" s="142"/>
      <c r="C116" s="142"/>
      <c r="D116" s="142"/>
      <c r="E116" s="142"/>
      <c r="F116" s="142"/>
      <c r="G116" s="142"/>
      <c r="H116" s="142"/>
      <c r="I116" s="151"/>
      <c r="J116" s="151"/>
      <c r="K116" s="152"/>
      <c r="L116" s="141"/>
      <c r="M116" s="139"/>
      <c r="N116" s="140"/>
      <c r="O116" s="142"/>
      <c r="P116" s="142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 ht="33.75" customHeight="1">
      <c r="A117" s="139"/>
      <c r="B117" s="142"/>
      <c r="C117" s="142"/>
      <c r="D117" s="142"/>
      <c r="E117" s="142"/>
      <c r="F117" s="142"/>
      <c r="G117" s="142"/>
      <c r="H117" s="142"/>
      <c r="I117" s="151"/>
      <c r="J117" s="151"/>
      <c r="K117" s="152"/>
      <c r="L117" s="141"/>
      <c r="M117" s="142"/>
      <c r="N117" s="140"/>
      <c r="O117" s="142"/>
      <c r="P117" s="142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 ht="33.75" customHeight="1">
      <c r="A118" s="139"/>
      <c r="B118" s="142"/>
      <c r="C118" s="142"/>
      <c r="D118" s="152"/>
      <c r="E118" s="157"/>
      <c r="F118" s="157"/>
      <c r="G118" s="152"/>
      <c r="H118" s="142"/>
      <c r="I118" s="163"/>
      <c r="J118" s="163"/>
      <c r="K118" s="152"/>
      <c r="L118" s="152"/>
      <c r="M118" s="154"/>
      <c r="N118" s="140"/>
      <c r="O118" s="152"/>
      <c r="P118" s="142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ht="33.75" customHeight="1">
      <c r="A119" s="139"/>
      <c r="B119" s="142"/>
      <c r="C119" s="142"/>
      <c r="D119" s="152"/>
      <c r="E119" s="157"/>
      <c r="F119" s="157"/>
      <c r="G119" s="152"/>
      <c r="H119" s="142"/>
      <c r="I119" s="163"/>
      <c r="J119" s="163"/>
      <c r="K119" s="152"/>
      <c r="L119" s="152"/>
      <c r="M119" s="154"/>
      <c r="N119" s="140"/>
      <c r="O119" s="152"/>
      <c r="P119" s="142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ht="33.75" customHeight="1">
      <c r="A120" s="139"/>
      <c r="B120" s="142"/>
      <c r="C120" s="142"/>
      <c r="D120" s="152"/>
      <c r="E120" s="157"/>
      <c r="F120" s="157"/>
      <c r="G120" s="152"/>
      <c r="H120" s="142"/>
      <c r="I120" s="163"/>
      <c r="J120" s="163"/>
      <c r="K120" s="152"/>
      <c r="L120" s="152"/>
      <c r="M120" s="154"/>
      <c r="N120" s="140"/>
      <c r="O120" s="152"/>
      <c r="P120" s="142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ht="33.75" customHeight="1">
      <c r="A121" s="139"/>
      <c r="B121" s="142"/>
      <c r="C121" s="142"/>
      <c r="D121" s="152"/>
      <c r="E121" s="157"/>
      <c r="F121" s="157"/>
      <c r="G121" s="152"/>
      <c r="H121" s="142"/>
      <c r="I121" s="163"/>
      <c r="J121" s="163"/>
      <c r="K121" s="152"/>
      <c r="L121" s="152"/>
      <c r="M121" s="152"/>
      <c r="N121" s="140"/>
      <c r="O121" s="152"/>
      <c r="P121" s="142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ht="33.75" customHeight="1">
      <c r="A122" s="139"/>
      <c r="B122" s="142"/>
      <c r="C122" s="142"/>
      <c r="D122" s="152"/>
      <c r="E122" s="157"/>
      <c r="F122" s="157"/>
      <c r="G122" s="152"/>
      <c r="H122" s="142"/>
      <c r="I122" s="163"/>
      <c r="J122" s="163"/>
      <c r="K122" s="152"/>
      <c r="L122" s="152"/>
      <c r="M122" s="154"/>
      <c r="N122" s="140"/>
      <c r="O122" s="152"/>
      <c r="P122" s="142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ht="33.75" customHeight="1">
      <c r="A123" s="139"/>
      <c r="B123" s="142"/>
      <c r="C123" s="142"/>
      <c r="D123" s="152"/>
      <c r="E123" s="157"/>
      <c r="F123" s="157"/>
      <c r="G123" s="152"/>
      <c r="H123" s="142"/>
      <c r="I123" s="163"/>
      <c r="J123" s="163"/>
      <c r="K123" s="152"/>
      <c r="L123" s="152"/>
      <c r="M123" s="154"/>
      <c r="N123" s="140"/>
      <c r="O123" s="152"/>
      <c r="P123" s="142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ht="33.75" customHeight="1">
      <c r="A124" s="139"/>
      <c r="B124" s="142"/>
      <c r="C124" s="144"/>
      <c r="D124" s="152"/>
      <c r="E124" s="152"/>
      <c r="F124" s="152"/>
      <c r="G124" s="152"/>
      <c r="H124" s="152"/>
      <c r="I124" s="151"/>
      <c r="J124" s="151"/>
      <c r="K124" s="152"/>
      <c r="L124" s="152"/>
      <c r="M124" s="152"/>
      <c r="N124" s="140"/>
      <c r="O124" s="152"/>
      <c r="P124" s="152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ht="33.75" customHeight="1">
      <c r="A125" s="139"/>
      <c r="B125" s="142"/>
      <c r="C125" s="144"/>
      <c r="D125" s="152"/>
      <c r="E125" s="152"/>
      <c r="F125" s="152"/>
      <c r="G125" s="152"/>
      <c r="H125" s="152"/>
      <c r="I125" s="151"/>
      <c r="J125" s="151"/>
      <c r="K125" s="152"/>
      <c r="L125" s="152"/>
      <c r="M125" s="154"/>
      <c r="N125" s="140"/>
      <c r="O125" s="152"/>
      <c r="P125" s="152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ht="33.75" customHeight="1">
      <c r="A126" s="139"/>
      <c r="B126" s="142"/>
      <c r="C126" s="144"/>
      <c r="D126" s="152"/>
      <c r="E126" s="152"/>
      <c r="F126" s="152"/>
      <c r="G126" s="152"/>
      <c r="H126" s="152"/>
      <c r="I126" s="151"/>
      <c r="J126" s="151"/>
      <c r="K126" s="152"/>
      <c r="L126" s="152"/>
      <c r="M126" s="154"/>
      <c r="N126" s="140"/>
      <c r="O126" s="152"/>
      <c r="P126" s="152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ht="33.75" customHeight="1">
      <c r="A127" s="139"/>
      <c r="B127" s="142"/>
      <c r="C127" s="144"/>
      <c r="D127" s="152"/>
      <c r="E127" s="152"/>
      <c r="F127" s="152"/>
      <c r="G127" s="152"/>
      <c r="H127" s="152"/>
      <c r="I127" s="151"/>
      <c r="J127" s="151"/>
      <c r="K127" s="152"/>
      <c r="L127" s="152"/>
      <c r="M127" s="152"/>
      <c r="N127" s="140"/>
      <c r="O127" s="152"/>
      <c r="P127" s="152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>
      <c r="A128" s="139"/>
      <c r="B128" s="142"/>
      <c r="C128" s="182"/>
      <c r="D128" s="154"/>
      <c r="E128" s="152"/>
      <c r="F128" s="154"/>
      <c r="G128" s="154"/>
      <c r="H128" s="152"/>
      <c r="I128" s="151"/>
      <c r="J128" s="151"/>
      <c r="K128" s="154"/>
      <c r="L128" s="152"/>
      <c r="M128" s="152"/>
      <c r="N128" s="140"/>
      <c r="O128" s="154"/>
      <c r="P128" s="152"/>
    </row>
    <row r="129">
      <c r="A129" s="139"/>
      <c r="B129" s="142"/>
      <c r="C129" s="182"/>
      <c r="D129" s="154"/>
      <c r="E129" s="152"/>
      <c r="F129" s="154"/>
      <c r="G129" s="154"/>
      <c r="H129" s="152"/>
      <c r="I129" s="151"/>
      <c r="J129" s="151"/>
      <c r="K129" s="154"/>
      <c r="L129" s="152"/>
      <c r="M129" s="152"/>
      <c r="N129" s="140"/>
      <c r="O129" s="154"/>
      <c r="P129" s="152"/>
    </row>
    <row r="130">
      <c r="A130" s="139"/>
      <c r="B130" s="142"/>
      <c r="C130" s="182"/>
      <c r="D130" s="154"/>
      <c r="E130" s="152"/>
      <c r="F130" s="154"/>
      <c r="G130" s="154"/>
      <c r="H130" s="152"/>
      <c r="I130" s="151"/>
      <c r="J130" s="151"/>
      <c r="K130" s="154"/>
      <c r="L130" s="152"/>
      <c r="M130" s="154"/>
      <c r="N130" s="140"/>
      <c r="O130" s="154"/>
      <c r="P130" s="152"/>
    </row>
    <row r="131">
      <c r="A131" s="139"/>
      <c r="B131" s="142"/>
      <c r="C131" s="182"/>
      <c r="D131" s="154"/>
      <c r="E131" s="154"/>
      <c r="F131" s="154"/>
      <c r="G131" s="154"/>
      <c r="H131" s="154"/>
      <c r="I131" s="183"/>
      <c r="J131" s="183"/>
      <c r="K131" s="154"/>
      <c r="L131" s="152"/>
      <c r="M131" s="152"/>
      <c r="N131" s="140"/>
      <c r="O131" s="152"/>
      <c r="P131" s="154"/>
    </row>
    <row r="132">
      <c r="A132" s="139"/>
      <c r="B132" s="142"/>
      <c r="C132" s="182"/>
      <c r="D132" s="152"/>
      <c r="E132" s="154"/>
      <c r="F132" s="154"/>
      <c r="G132" s="154"/>
      <c r="H132" s="154"/>
      <c r="I132" s="183"/>
      <c r="J132" s="183"/>
      <c r="K132" s="154"/>
      <c r="L132" s="152"/>
      <c r="M132" s="152"/>
      <c r="N132" s="140"/>
      <c r="O132" s="152"/>
      <c r="P132" s="154"/>
    </row>
    <row r="133">
      <c r="A133" s="139"/>
      <c r="B133" s="142"/>
      <c r="C133" s="184"/>
      <c r="D133" s="154"/>
      <c r="E133" s="152"/>
      <c r="F133" s="154"/>
      <c r="G133" s="154"/>
      <c r="H133" s="152"/>
      <c r="I133" s="151"/>
      <c r="J133" s="151"/>
      <c r="K133" s="154"/>
      <c r="L133" s="152"/>
      <c r="M133" s="152"/>
      <c r="N133" s="140"/>
      <c r="O133" s="154"/>
      <c r="P133" s="152"/>
    </row>
    <row r="134">
      <c r="A134" s="139"/>
      <c r="B134" s="142"/>
      <c r="C134" s="184"/>
      <c r="D134" s="154"/>
      <c r="E134" s="152"/>
      <c r="F134" s="154"/>
      <c r="G134" s="154"/>
      <c r="H134" s="152"/>
      <c r="I134" s="151"/>
      <c r="J134" s="151"/>
      <c r="K134" s="154"/>
      <c r="L134" s="152"/>
      <c r="M134" s="152"/>
      <c r="N134" s="140"/>
      <c r="O134" s="154"/>
      <c r="P134" s="152"/>
    </row>
    <row r="135">
      <c r="A135" s="139"/>
      <c r="B135" s="142"/>
      <c r="C135" s="184"/>
      <c r="D135" s="154"/>
      <c r="E135" s="152"/>
      <c r="F135" s="154"/>
      <c r="G135" s="154"/>
      <c r="H135" s="152"/>
      <c r="I135" s="151"/>
      <c r="J135" s="151"/>
      <c r="K135" s="154"/>
      <c r="L135" s="152"/>
      <c r="M135" s="152"/>
      <c r="N135" s="140"/>
      <c r="O135" s="154"/>
      <c r="P135" s="152"/>
    </row>
    <row r="136">
      <c r="A136" s="185"/>
      <c r="B136" s="142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40"/>
      <c r="O136" s="185"/>
      <c r="P136" s="185"/>
    </row>
    <row r="137">
      <c r="A137" s="185"/>
      <c r="B137" s="142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40"/>
      <c r="O137" s="185"/>
      <c r="P137" s="185"/>
    </row>
    <row r="138">
      <c r="A138" s="185"/>
      <c r="B138" s="142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40"/>
      <c r="O138" s="185"/>
      <c r="P138" s="185"/>
    </row>
    <row r="139">
      <c r="A139" s="156"/>
      <c r="B139" s="140"/>
      <c r="C139" s="140"/>
      <c r="D139" s="140"/>
      <c r="E139" s="140"/>
      <c r="F139" s="156"/>
      <c r="G139" s="140"/>
      <c r="H139" s="140"/>
      <c r="I139" s="143"/>
      <c r="J139" s="143"/>
      <c r="K139" s="166"/>
      <c r="L139" s="156"/>
      <c r="M139" s="156"/>
      <c r="N139" s="156"/>
      <c r="O139" s="140"/>
      <c r="P139" s="139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33.75" customHeight="1">
      <c r="A140" s="142"/>
      <c r="B140" s="142"/>
      <c r="C140" s="142"/>
      <c r="D140" s="142"/>
      <c r="E140" s="142"/>
      <c r="F140" s="142"/>
      <c r="G140" s="142"/>
      <c r="H140" s="142"/>
      <c r="I140" s="149"/>
      <c r="J140" s="149"/>
      <c r="K140" s="152"/>
      <c r="L140" s="141"/>
      <c r="M140" s="139"/>
      <c r="N140" s="141"/>
      <c r="O140" s="142"/>
      <c r="P140" s="139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ht="32.25" customHeight="1">
      <c r="A141" s="157"/>
      <c r="B141" s="142"/>
      <c r="C141" s="142"/>
      <c r="D141" s="142"/>
      <c r="E141" s="142"/>
      <c r="F141" s="142"/>
      <c r="G141" s="142"/>
      <c r="H141" s="142"/>
      <c r="I141" s="149"/>
      <c r="J141" s="149"/>
      <c r="K141" s="152"/>
      <c r="L141" s="141"/>
      <c r="M141" s="139"/>
      <c r="N141" s="141"/>
      <c r="O141" s="142"/>
      <c r="P141" s="139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 ht="33.75" customHeight="1">
      <c r="A142" s="142"/>
      <c r="B142" s="142"/>
      <c r="C142" s="142"/>
      <c r="D142" s="142"/>
      <c r="E142" s="142"/>
      <c r="F142" s="142"/>
      <c r="G142" s="142"/>
      <c r="H142" s="142"/>
      <c r="I142" s="151"/>
      <c r="J142" s="151"/>
      <c r="K142" s="152"/>
      <c r="L142" s="141"/>
      <c r="M142" s="139"/>
      <c r="N142" s="154"/>
      <c r="O142" s="142"/>
      <c r="P142" s="139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2"/>
      <c r="B143" s="142"/>
      <c r="C143" s="142"/>
      <c r="D143" s="142"/>
      <c r="E143" s="142"/>
      <c r="F143" s="142"/>
      <c r="G143" s="142"/>
      <c r="H143" s="142"/>
      <c r="I143" s="151"/>
      <c r="J143" s="151"/>
      <c r="K143" s="152"/>
      <c r="L143" s="141"/>
      <c r="M143" s="139"/>
      <c r="N143" s="154"/>
      <c r="O143" s="142"/>
      <c r="P143" s="139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>
      <c r="A144" s="142"/>
      <c r="B144" s="156"/>
      <c r="C144" s="166"/>
      <c r="D144" s="161"/>
      <c r="E144" s="161"/>
      <c r="F144" s="161"/>
      <c r="G144" s="161"/>
      <c r="H144" s="161"/>
      <c r="I144" s="151"/>
      <c r="J144" s="151"/>
      <c r="K144" s="161"/>
      <c r="L144" s="161"/>
      <c r="M144" s="152"/>
      <c r="N144" s="152"/>
      <c r="O144" s="161"/>
      <c r="P144" s="152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</row>
    <row r="145">
      <c r="A145" s="142"/>
      <c r="B145" s="156"/>
      <c r="C145" s="166"/>
      <c r="D145" s="161"/>
      <c r="E145" s="161"/>
      <c r="F145" s="161"/>
      <c r="G145" s="161"/>
      <c r="H145" s="161"/>
      <c r="I145" s="151"/>
      <c r="J145" s="151"/>
      <c r="K145" s="161"/>
      <c r="L145" s="161"/>
      <c r="M145" s="154"/>
      <c r="N145" s="154"/>
      <c r="O145" s="161"/>
      <c r="P145" s="154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</row>
    <row r="146" ht="29.25" customHeight="1">
      <c r="A146" s="142"/>
      <c r="B146" s="142"/>
      <c r="C146" s="144"/>
      <c r="D146" s="152"/>
      <c r="E146" s="152"/>
      <c r="F146" s="152"/>
      <c r="G146" s="152"/>
      <c r="H146" s="152"/>
      <c r="I146" s="151"/>
      <c r="J146" s="151"/>
      <c r="K146" s="152"/>
      <c r="L146" s="152"/>
      <c r="M146" s="152"/>
      <c r="N146" s="152"/>
      <c r="O146" s="152"/>
      <c r="P146" s="152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</row>
    <row r="147" ht="33.75" customHeight="1">
      <c r="A147" s="142"/>
      <c r="B147" s="142"/>
      <c r="C147" s="142"/>
      <c r="D147" s="142"/>
      <c r="E147" s="142"/>
      <c r="F147" s="142"/>
      <c r="G147" s="142"/>
      <c r="H147" s="142"/>
      <c r="I147" s="151"/>
      <c r="J147" s="151"/>
      <c r="K147" s="152"/>
      <c r="L147" s="141"/>
      <c r="M147" s="139"/>
      <c r="N147" s="154"/>
      <c r="O147" s="142"/>
      <c r="P147" s="139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ht="33.75" customHeight="1"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 ht="33.75" customHeight="1"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 ht="32.25" customHeight="1">
      <c r="A150" s="142"/>
      <c r="B150" s="142"/>
      <c r="C150" s="142"/>
      <c r="D150" s="142"/>
      <c r="E150" s="156"/>
      <c r="F150" s="142"/>
      <c r="G150" s="142"/>
      <c r="H150" s="156"/>
      <c r="I150" s="151"/>
      <c r="J150" s="151"/>
      <c r="K150" s="152"/>
      <c r="L150" s="140"/>
      <c r="M150" s="142"/>
      <c r="N150" s="156"/>
      <c r="O150" s="156"/>
      <c r="P150" s="139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ht="32.25" customHeight="1">
      <c r="A151" s="142"/>
      <c r="B151" s="156"/>
      <c r="C151" s="142"/>
      <c r="D151" s="152"/>
      <c r="E151" s="164"/>
      <c r="F151" s="164"/>
      <c r="G151" s="161"/>
      <c r="H151" s="156"/>
      <c r="I151" s="163"/>
      <c r="J151" s="163"/>
      <c r="K151" s="161"/>
      <c r="L151" s="161"/>
      <c r="M151" s="152"/>
      <c r="N151" s="161"/>
      <c r="O151" s="161"/>
      <c r="P151" s="139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ht="32.25" customHeight="1">
      <c r="A152" s="142"/>
      <c r="B152" s="142"/>
      <c r="C152" s="142"/>
      <c r="D152" s="152"/>
      <c r="E152" s="157"/>
      <c r="F152" s="157"/>
      <c r="G152" s="152"/>
      <c r="H152" s="142"/>
      <c r="I152" s="163"/>
      <c r="J152" s="163"/>
      <c r="K152" s="152"/>
      <c r="L152" s="152"/>
      <c r="M152" s="152"/>
      <c r="N152" s="161"/>
      <c r="O152" s="152"/>
      <c r="P152" s="139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ht="39.75" customHeight="1">
      <c r="A153" s="142"/>
      <c r="B153" s="142"/>
      <c r="C153" s="144"/>
      <c r="D153" s="152"/>
      <c r="E153" s="152"/>
      <c r="F153" s="152"/>
      <c r="G153" s="152"/>
      <c r="H153" s="152"/>
      <c r="I153" s="153"/>
      <c r="J153" s="153"/>
      <c r="K153" s="152"/>
      <c r="L153" s="161"/>
      <c r="M153" s="152"/>
      <c r="N153" s="161"/>
      <c r="O153" s="152"/>
      <c r="P153" s="154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ht="39.75" customHeight="1">
      <c r="A154" s="142"/>
      <c r="B154" s="142"/>
      <c r="C154" s="142"/>
      <c r="D154" s="152"/>
      <c r="E154" s="157"/>
      <c r="F154" s="157"/>
      <c r="G154" s="152"/>
      <c r="H154" s="142"/>
      <c r="I154" s="163"/>
      <c r="J154" s="163"/>
      <c r="K154" s="152"/>
      <c r="L154" s="152"/>
      <c r="M154" s="152"/>
      <c r="N154" s="152"/>
      <c r="O154" s="152"/>
      <c r="P154" s="139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ht="39.75" customHeight="1">
      <c r="A155" s="142"/>
      <c r="B155" s="142"/>
      <c r="C155" s="144"/>
      <c r="D155" s="152"/>
      <c r="E155" s="152"/>
      <c r="F155" s="152"/>
      <c r="G155" s="152"/>
      <c r="H155" s="152"/>
      <c r="I155" s="151"/>
      <c r="J155" s="151"/>
      <c r="K155" s="152"/>
      <c r="L155" s="152"/>
      <c r="M155" s="152"/>
      <c r="N155" s="141"/>
      <c r="O155" s="152"/>
      <c r="P155" s="154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ht="39.75" customHeight="1">
      <c r="A156" s="142"/>
      <c r="B156" s="142"/>
      <c r="C156" s="144"/>
      <c r="D156" s="152"/>
      <c r="E156" s="161"/>
      <c r="F156" s="152"/>
      <c r="G156" s="152"/>
      <c r="H156" s="161"/>
      <c r="I156" s="151"/>
      <c r="J156" s="151"/>
      <c r="K156" s="152"/>
      <c r="L156" s="161"/>
      <c r="M156" s="161"/>
      <c r="N156" s="161"/>
      <c r="O156" s="161"/>
      <c r="P156" s="154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ht="39.75" customHeight="1">
      <c r="A157" s="142"/>
      <c r="B157" s="142"/>
      <c r="C157" s="144"/>
      <c r="D157" s="152"/>
      <c r="E157" s="161"/>
      <c r="F157" s="152"/>
      <c r="G157" s="152"/>
      <c r="H157" s="161"/>
      <c r="I157" s="151"/>
      <c r="J157" s="151"/>
      <c r="K157" s="152"/>
      <c r="L157" s="161"/>
      <c r="M157" s="161"/>
      <c r="N157" s="161"/>
      <c r="O157" s="161"/>
      <c r="P157" s="154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ht="33.75" customHeight="1">
      <c r="A158" s="142"/>
      <c r="B158" s="142"/>
      <c r="C158" s="144"/>
      <c r="D158" s="152"/>
      <c r="E158" s="152"/>
      <c r="F158" s="152"/>
      <c r="G158" s="152"/>
      <c r="H158" s="152"/>
      <c r="I158" s="151"/>
      <c r="J158" s="151"/>
      <c r="K158" s="152"/>
      <c r="L158" s="152"/>
      <c r="M158" s="152"/>
      <c r="N158" s="152"/>
      <c r="O158" s="152"/>
      <c r="P158" s="154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ht="33.75" customHeight="1">
      <c r="A159" s="142"/>
      <c r="B159" s="142"/>
      <c r="C159" s="144"/>
      <c r="D159" s="152"/>
      <c r="E159" s="152"/>
      <c r="F159" s="152"/>
      <c r="G159" s="152"/>
      <c r="H159" s="152"/>
      <c r="I159" s="153"/>
      <c r="J159" s="153"/>
      <c r="K159" s="152"/>
      <c r="L159" s="152"/>
      <c r="M159" s="152"/>
      <c r="N159" s="152"/>
      <c r="O159" s="152"/>
      <c r="P159" s="154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ht="33.75" customHeight="1">
      <c r="A160" s="142"/>
      <c r="B160" s="142"/>
      <c r="C160" s="144"/>
      <c r="D160" s="152"/>
      <c r="E160" s="152"/>
      <c r="F160" s="152"/>
      <c r="G160" s="152"/>
      <c r="H160" s="152"/>
      <c r="I160" s="153"/>
      <c r="J160" s="153"/>
      <c r="K160" s="152"/>
      <c r="L160" s="152"/>
      <c r="M160" s="152"/>
      <c r="N160" s="161"/>
      <c r="O160" s="152"/>
      <c r="P160" s="154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ht="33.75" customHeight="1">
      <c r="A161" s="142"/>
      <c r="B161" s="142"/>
      <c r="C161" s="144"/>
      <c r="D161" s="152"/>
      <c r="E161" s="161"/>
      <c r="F161" s="152"/>
      <c r="G161" s="152"/>
      <c r="H161" s="161"/>
      <c r="I161" s="153"/>
      <c r="J161" s="153"/>
      <c r="K161" s="152"/>
      <c r="L161" s="161"/>
      <c r="M161" s="152"/>
      <c r="N161" s="152"/>
      <c r="O161" s="152"/>
      <c r="P161" s="154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ht="33.0" customHeight="1">
      <c r="A162" s="142"/>
      <c r="B162" s="142"/>
      <c r="C162" s="142"/>
      <c r="D162" s="142"/>
      <c r="E162" s="142"/>
      <c r="F162" s="142"/>
      <c r="G162" s="142"/>
      <c r="H162" s="142"/>
      <c r="I162" s="149"/>
      <c r="J162" s="149"/>
      <c r="K162" s="152"/>
      <c r="L162" s="141"/>
      <c r="M162" s="142"/>
      <c r="N162" s="140"/>
      <c r="O162" s="142"/>
      <c r="P162" s="139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ht="33.75" customHeight="1">
      <c r="A163" s="186"/>
      <c r="B163" s="187"/>
      <c r="C163" s="186"/>
      <c r="D163" s="186"/>
      <c r="E163" s="186"/>
      <c r="F163" s="186"/>
      <c r="G163" s="186"/>
      <c r="H163" s="186"/>
      <c r="I163" s="188"/>
      <c r="J163" s="188"/>
      <c r="K163" s="186"/>
      <c r="L163" s="186"/>
      <c r="M163" s="186"/>
      <c r="N163" s="189"/>
      <c r="O163" s="186"/>
      <c r="P163" s="186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ht="33.75" customHeight="1">
      <c r="A164" s="186"/>
      <c r="B164" s="187"/>
      <c r="C164" s="186"/>
      <c r="D164" s="186"/>
      <c r="E164" s="186"/>
      <c r="F164" s="186"/>
      <c r="G164" s="186"/>
      <c r="H164" s="186"/>
      <c r="I164" s="188"/>
      <c r="J164" s="188"/>
      <c r="K164" s="186"/>
      <c r="L164" s="190"/>
      <c r="M164" s="186"/>
      <c r="N164" s="189"/>
      <c r="O164" s="186"/>
      <c r="P164" s="186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ht="33.75" customHeight="1">
      <c r="A165" s="186"/>
      <c r="B165" s="187"/>
      <c r="C165" s="186"/>
      <c r="D165" s="186"/>
      <c r="E165" s="186"/>
      <c r="F165" s="186"/>
      <c r="G165" s="186"/>
      <c r="H165" s="186"/>
      <c r="I165" s="188"/>
      <c r="J165" s="188"/>
      <c r="K165" s="186"/>
      <c r="L165" s="190"/>
      <c r="M165" s="186"/>
      <c r="N165" s="189"/>
      <c r="O165" s="186"/>
      <c r="P165" s="186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ht="33.75" customHeight="1">
      <c r="A166" s="186"/>
      <c r="B166" s="187"/>
      <c r="C166" s="186"/>
      <c r="D166" s="186"/>
      <c r="E166" s="186"/>
      <c r="F166" s="186"/>
      <c r="G166" s="186"/>
      <c r="H166" s="186"/>
      <c r="I166" s="188"/>
      <c r="J166" s="188"/>
      <c r="K166" s="186"/>
      <c r="L166" s="186"/>
      <c r="M166" s="186"/>
      <c r="N166" s="189"/>
      <c r="O166" s="186"/>
      <c r="P166" s="186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ht="33.0" customHeight="1">
      <c r="A167" s="186"/>
      <c r="B167" s="189"/>
      <c r="C167" s="186"/>
      <c r="D167" s="186"/>
      <c r="E167" s="189"/>
      <c r="F167" s="189"/>
      <c r="G167" s="186"/>
      <c r="H167" s="189"/>
      <c r="I167" s="191"/>
      <c r="J167" s="191"/>
      <c r="K167" s="186"/>
      <c r="L167" s="189"/>
      <c r="M167" s="186"/>
      <c r="N167" s="189"/>
      <c r="O167" s="186"/>
      <c r="P167" s="186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ht="33.0" customHeight="1">
      <c r="A168" s="186"/>
      <c r="B168" s="187"/>
      <c r="C168" s="186"/>
      <c r="D168" s="186"/>
      <c r="E168" s="186"/>
      <c r="F168" s="186"/>
      <c r="G168" s="186"/>
      <c r="H168" s="186"/>
      <c r="I168" s="188"/>
      <c r="J168" s="188"/>
      <c r="K168" s="186"/>
      <c r="L168" s="190"/>
      <c r="M168" s="186"/>
      <c r="N168" s="189"/>
      <c r="O168" s="186"/>
      <c r="P168" s="186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ht="33.0" customHeight="1">
      <c r="A169" s="186"/>
      <c r="B169" s="187"/>
      <c r="C169" s="186"/>
      <c r="D169" s="186"/>
      <c r="E169" s="186"/>
      <c r="F169" s="186"/>
      <c r="G169" s="186"/>
      <c r="H169" s="186"/>
      <c r="I169" s="188"/>
      <c r="J169" s="188"/>
      <c r="K169" s="186"/>
      <c r="L169" s="190"/>
      <c r="M169" s="186"/>
      <c r="N169" s="189"/>
      <c r="O169" s="186"/>
      <c r="P169" s="186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ht="33.0" customHeight="1">
      <c r="A170" s="186"/>
      <c r="B170" s="187"/>
      <c r="C170" s="186"/>
      <c r="D170" s="186"/>
      <c r="E170" s="186"/>
      <c r="F170" s="186"/>
      <c r="G170" s="186"/>
      <c r="H170" s="186"/>
      <c r="I170" s="188"/>
      <c r="J170" s="188"/>
      <c r="K170" s="186"/>
      <c r="L170" s="190"/>
      <c r="M170" s="186"/>
      <c r="N170" s="189"/>
      <c r="O170" s="186"/>
      <c r="P170" s="186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</row>
  </sheetData>
  <autoFilter ref="$A$1:$P$21"/>
  <mergeCells count="35">
    <mergeCell ref="A1:P1"/>
    <mergeCell ref="A2:P2"/>
    <mergeCell ref="A3:D3"/>
    <mergeCell ref="E3:G3"/>
    <mergeCell ref="H3:P3"/>
    <mergeCell ref="A4:P4"/>
    <mergeCell ref="A5:P5"/>
    <mergeCell ref="A6:A7"/>
    <mergeCell ref="A12:A13"/>
    <mergeCell ref="B12:B13"/>
    <mergeCell ref="C12:C13"/>
    <mergeCell ref="D12:D13"/>
    <mergeCell ref="E12:E13"/>
    <mergeCell ref="F12:F13"/>
    <mergeCell ref="G12:G13"/>
    <mergeCell ref="B6:B7"/>
    <mergeCell ref="C6:C7"/>
    <mergeCell ref="D6:D7"/>
    <mergeCell ref="E6:E7"/>
    <mergeCell ref="F6:F7"/>
    <mergeCell ref="G6:G7"/>
    <mergeCell ref="A9:D9"/>
    <mergeCell ref="A11:P11"/>
    <mergeCell ref="H12:J12"/>
    <mergeCell ref="K12:N12"/>
    <mergeCell ref="O12:O13"/>
    <mergeCell ref="P12:P13"/>
    <mergeCell ref="A36:P36"/>
    <mergeCell ref="H6:J6"/>
    <mergeCell ref="K6:N6"/>
    <mergeCell ref="O6:O7"/>
    <mergeCell ref="P6:P7"/>
    <mergeCell ref="A8:P8"/>
    <mergeCell ref="E9:P9"/>
    <mergeCell ref="A10:P10"/>
  </mergeCells>
  <dataValidations>
    <dataValidation type="list" allowBlank="1" showErrorMessage="1" sqref="E14:E35 E37:E135 E139:E147 E150:E170">
      <formula1>"I,II,III"</formula1>
    </dataValidation>
    <dataValidation type="list" allowBlank="1" showErrorMessage="1" sqref="Q21:Z23 Q26:Z26 Q29:Z29 Q32:Z32 Q34:Z34 Q38:Z38 Q41:Z41 Q45:Z45 Q47:Z47 Q106:Z107 Q139:Z139">
      <formula1>"SERVED,ONGOING,CONFINED,ONGOING/CONFINED"</formula1>
    </dataValidation>
    <dataValidation type="list" allowBlank="1" sqref="F17:F35 F37:F49 F54:F66 F68 F73:F74 F77:F93 F98:F105 F108:F110 F112:F135 F141:F147 F150:F170">
      <formula1>SUMMARY!$E$10:$E$19</formula1>
    </dataValidation>
    <dataValidation type="list" allowBlank="1" showErrorMessage="1" sqref="F14 F16 F67 F69:F70 F72 F75:F76 F94:F97 F106 F139">
      <formula1>"SEXUAL MISCONDUCT/HARASSMENT,POSSESSING UNAUTHORIZED ITEM,DOING UNAUTHORIZED THINGS,NEGLIGENCE OF DUTY,LATE/ABSENT/UNACCOUNTED"</formula1>
    </dataValidation>
    <dataValidation type="custom" allowBlank="1" showDropDown="1" sqref="E3 H3 E9 Q9:Z9 I14:J35 I37:J135 I139:J147 I150:J170">
      <formula1>OR(NOT(ISERROR(DATEVALUE(E3))), AND(ISNUMBER(E3), LEFT(CELL("format", E3))="D"))</formula1>
    </dataValidation>
    <dataValidation type="list" allowBlank="1" showErrorMessage="1" sqref="P14:Z20 P21:P35 P37:P49 P50:Z66 P67:P70 P72:P74 P75:Z76 P77 P78:Z79 P80:P86 P87:Z87 P88:P96 P97:Z97 P98 P99:Z99 P100:P107 P108:Z127 P128:P135 P139:P140 P141:Z143 P144:P147 Q148:Z149 P150:P162">
      <formula1>"SERVED,ONGOING,CONFINED,ONGOING/CONFINED,TURNBACK"</formula1>
    </dataValidation>
    <dataValidation type="list" allowBlank="1" showErrorMessage="1" sqref="F15 F50:F53 F107">
      <formula1>"SEXUAL MISCONDUCT/HARASSMENT,POSSESSING UNAUTHORIZED ITEM,DOING UNAUTHORIZED THINGS,NEGLIGENCE OF DUTY,LATE/ABSENT/UNACCOUNTED,UNAUTHORIZED PRESENCE/OFF LIMITS,USURPATION OF AUTHORITY"</formula1>
    </dataValidation>
    <dataValidation type="list" allowBlank="1" showErrorMessage="1" sqref="B14:B35 B37:B147 B150:B170">
      <formula1>"1CL,2CL,3CL,4CL"</formula1>
    </dataValidation>
    <dataValidation type="list" allowBlank="1" showErrorMessage="1" sqref="F71 F111 F140">
      <formula1>"DOING UNAUTHORIZED THINGS,LATE/UNNACCOUNTED/ABSENT,POSSESSING/USING UNAUTHORIZED ITEM,LOST RIFLE PART,SEXUAL MISCONDUCT,RANKS INSPECTION,NEGLIGENCE OF DUTY"</formula1>
    </dataValidation>
    <dataValidation type="list" allowBlank="1" showDropDown="1" showErrorMessage="1" sqref="H12:H13 H17:H35 H37:H49 H54:H66 H68:H70 H72:H74 H77:H93 H98:H105 H108:H135 H140:H147 H150:H859">
      <formula1>"Yes,No,CONFINED?,CONFINEMENT"</formula1>
    </dataValidation>
    <dataValidation type="list" allowBlank="1" showDropDown="1" showErrorMessage="1" sqref="H14:H16 H50:H53 H67 H71 H75:H76 H94:H97 H106:H107 H139">
      <formula1>"Yes,No"</formula1>
    </dataValidation>
    <dataValidation type="list" allowBlank="1" showErrorMessage="1" sqref="Q24:Z24 Q27:Z28 Q30:Z31 Q33:Z33 Q39:Z40 Q42:Z43 Q46:Z46 P71 Q73:Z74 Q77:Z77 Q80:Z86 Q88:Z96 Q98:Z98 Q100:Z105 Q140:Z140 Q150:Z162 P163:Z170">
      <formula1>"SERVED,ONGOING,CLEARED OUT,FSA"</formula1>
    </dataValidation>
    <dataValidation type="list" allowBlank="1" showErrorMessage="1" sqref="Q25:Z25 Q144:Z147">
      <formula1>"SERVED,ONGOING,ADVANCED TOURING,PARDONED"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5"/>
    <col customWidth="1" min="2" max="2" width="9.13"/>
    <col customWidth="1" min="3" max="3" width="16.25"/>
    <col customWidth="1" min="4" max="4" width="101.5"/>
    <col customWidth="1" min="5" max="5" width="10.25"/>
    <col customWidth="1" min="6" max="6" width="33.0"/>
    <col customWidth="1" min="15" max="15" width="16.5"/>
    <col customWidth="1" min="16" max="25" width="16.25"/>
  </cols>
  <sheetData>
    <row r="1">
      <c r="A1" s="193" t="s">
        <v>132</v>
      </c>
      <c r="Q1" s="193"/>
      <c r="R1" s="193"/>
      <c r="S1" s="193"/>
      <c r="T1" s="193"/>
      <c r="U1" s="193"/>
      <c r="V1" s="193"/>
      <c r="W1" s="193"/>
      <c r="X1" s="193"/>
      <c r="Y1" s="193"/>
    </row>
    <row r="2">
      <c r="A2" s="194" t="s">
        <v>133</v>
      </c>
      <c r="Q2" s="195"/>
      <c r="R2" s="195"/>
      <c r="S2" s="195"/>
      <c r="T2" s="195"/>
      <c r="U2" s="195"/>
      <c r="V2" s="195"/>
      <c r="W2" s="195"/>
      <c r="X2" s="195"/>
      <c r="Y2" s="195"/>
    </row>
    <row r="3">
      <c r="A3" s="196" t="s">
        <v>52</v>
      </c>
      <c r="E3" s="197">
        <v>46166.0</v>
      </c>
      <c r="H3" s="197"/>
      <c r="Q3" s="197"/>
      <c r="R3" s="197"/>
      <c r="S3" s="197"/>
      <c r="T3" s="197"/>
      <c r="U3" s="197"/>
      <c r="V3" s="197"/>
      <c r="W3" s="197"/>
      <c r="X3" s="197"/>
      <c r="Y3" s="197"/>
    </row>
    <row r="4" ht="34.5" customHeight="1">
      <c r="A4" s="198" t="s">
        <v>134</v>
      </c>
      <c r="Q4" s="198"/>
      <c r="R4" s="198"/>
      <c r="S4" s="198"/>
      <c r="T4" s="198"/>
      <c r="U4" s="198"/>
      <c r="V4" s="198"/>
      <c r="W4" s="198"/>
      <c r="X4" s="198"/>
      <c r="Y4" s="198"/>
    </row>
    <row r="5">
      <c r="A5" s="199" t="s">
        <v>54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200"/>
      <c r="R5" s="200"/>
      <c r="S5" s="200"/>
      <c r="T5" s="200"/>
      <c r="U5" s="200"/>
      <c r="V5" s="200"/>
      <c r="W5" s="200"/>
      <c r="X5" s="200"/>
      <c r="Y5" s="200"/>
    </row>
    <row r="6">
      <c r="A6" s="127" t="s">
        <v>55</v>
      </c>
      <c r="B6" s="127" t="s">
        <v>56</v>
      </c>
      <c r="C6" s="127" t="s">
        <v>57</v>
      </c>
      <c r="D6" s="127" t="s">
        <v>58</v>
      </c>
      <c r="E6" s="127" t="s">
        <v>59</v>
      </c>
      <c r="F6" s="127" t="s">
        <v>60</v>
      </c>
      <c r="G6" s="127" t="s">
        <v>61</v>
      </c>
      <c r="H6" s="128" t="s">
        <v>62</v>
      </c>
      <c r="I6" s="96"/>
      <c r="J6" s="97"/>
      <c r="K6" s="128" t="s">
        <v>63</v>
      </c>
      <c r="L6" s="96"/>
      <c r="M6" s="96"/>
      <c r="N6" s="97"/>
      <c r="O6" s="127" t="s">
        <v>64</v>
      </c>
      <c r="P6" s="127" t="s">
        <v>65</v>
      </c>
      <c r="Q6" s="129"/>
      <c r="R6" s="129"/>
      <c r="S6" s="129"/>
      <c r="T6" s="129"/>
      <c r="U6" s="129"/>
      <c r="V6" s="129"/>
      <c r="W6" s="129"/>
      <c r="X6" s="129"/>
      <c r="Y6" s="129"/>
    </row>
    <row r="7">
      <c r="A7" s="68"/>
      <c r="B7" s="68"/>
      <c r="C7" s="68"/>
      <c r="D7" s="68"/>
      <c r="E7" s="68"/>
      <c r="F7" s="68"/>
      <c r="G7" s="68"/>
      <c r="H7" s="130" t="s">
        <v>66</v>
      </c>
      <c r="I7" s="131" t="s">
        <v>67</v>
      </c>
      <c r="J7" s="131" t="s">
        <v>68</v>
      </c>
      <c r="K7" s="131" t="s">
        <v>30</v>
      </c>
      <c r="L7" s="131" t="s">
        <v>69</v>
      </c>
      <c r="M7" s="131" t="s">
        <v>70</v>
      </c>
      <c r="N7" s="131" t="s">
        <v>71</v>
      </c>
      <c r="O7" s="68"/>
      <c r="P7" s="68"/>
      <c r="Q7" s="129"/>
      <c r="R7" s="129"/>
      <c r="S7" s="129"/>
      <c r="T7" s="129"/>
      <c r="U7" s="129"/>
      <c r="V7" s="129"/>
      <c r="W7" s="129"/>
      <c r="X7" s="129"/>
      <c r="Y7" s="129"/>
    </row>
    <row r="8" ht="31.5" customHeight="1">
      <c r="A8" s="201">
        <v>1.0</v>
      </c>
      <c r="B8" s="201" t="s">
        <v>135</v>
      </c>
      <c r="C8" s="186" t="s">
        <v>136</v>
      </c>
      <c r="D8" s="168" t="s">
        <v>137</v>
      </c>
      <c r="E8" s="186" t="s">
        <v>34</v>
      </c>
      <c r="F8" s="186" t="s">
        <v>23</v>
      </c>
      <c r="G8" s="186">
        <v>50.0</v>
      </c>
      <c r="H8" s="186" t="s">
        <v>76</v>
      </c>
      <c r="I8" s="202">
        <v>46073.0</v>
      </c>
      <c r="J8" s="202">
        <v>46252.0</v>
      </c>
      <c r="K8" s="201">
        <v>180.0</v>
      </c>
      <c r="L8" s="201">
        <v>0.0</v>
      </c>
      <c r="M8" s="201">
        <v>180.0</v>
      </c>
      <c r="N8" s="186">
        <f>K8-L8-M8</f>
        <v>0</v>
      </c>
      <c r="O8" s="186" t="s">
        <v>138</v>
      </c>
      <c r="P8" s="201" t="s">
        <v>84</v>
      </c>
      <c r="Q8" s="148"/>
      <c r="R8" s="148"/>
      <c r="S8" s="148"/>
      <c r="T8" s="148"/>
      <c r="U8" s="148"/>
      <c r="V8" s="148"/>
      <c r="W8" s="148"/>
      <c r="X8" s="148"/>
      <c r="Y8" s="148"/>
    </row>
    <row r="9" ht="31.5" customHeight="1">
      <c r="A9" s="201">
        <v>18.0</v>
      </c>
      <c r="B9" s="201" t="s">
        <v>16</v>
      </c>
      <c r="C9" s="186" t="s">
        <v>139</v>
      </c>
      <c r="D9" s="168" t="s">
        <v>140</v>
      </c>
      <c r="E9" s="186" t="s">
        <v>34</v>
      </c>
      <c r="F9" s="186" t="s">
        <v>21</v>
      </c>
      <c r="G9" s="186">
        <v>30.0</v>
      </c>
      <c r="H9" s="186" t="s">
        <v>76</v>
      </c>
      <c r="I9" s="202">
        <v>46128.0</v>
      </c>
      <c r="J9" s="202">
        <v>46177.0</v>
      </c>
      <c r="K9" s="201">
        <v>65.0</v>
      </c>
      <c r="L9" s="201">
        <v>0.0</v>
      </c>
      <c r="M9" s="201">
        <v>65.0</v>
      </c>
      <c r="N9" s="186">
        <f>(K9-M9)</f>
        <v>0</v>
      </c>
      <c r="O9" s="186" t="s">
        <v>141</v>
      </c>
      <c r="P9" s="201" t="s">
        <v>84</v>
      </c>
      <c r="Q9" s="148"/>
      <c r="R9" s="148"/>
      <c r="S9" s="148"/>
      <c r="T9" s="148"/>
      <c r="U9" s="148"/>
      <c r="V9" s="148"/>
      <c r="W9" s="148"/>
      <c r="X9" s="148"/>
      <c r="Y9" s="148"/>
    </row>
    <row r="10" ht="31.5" customHeight="1">
      <c r="A10" s="201">
        <v>15.0</v>
      </c>
      <c r="B10" s="201" t="s">
        <v>16</v>
      </c>
      <c r="C10" s="186" t="s">
        <v>142</v>
      </c>
      <c r="D10" s="168" t="s">
        <v>143</v>
      </c>
      <c r="E10" s="186" t="s">
        <v>34</v>
      </c>
      <c r="F10" s="186" t="s">
        <v>19</v>
      </c>
      <c r="G10" s="186">
        <v>30.0</v>
      </c>
      <c r="H10" s="186" t="s">
        <v>76</v>
      </c>
      <c r="I10" s="202">
        <v>46128.0</v>
      </c>
      <c r="J10" s="202">
        <v>46177.0</v>
      </c>
      <c r="K10" s="201">
        <v>65.0</v>
      </c>
      <c r="L10" s="201">
        <v>0.0</v>
      </c>
      <c r="M10" s="201">
        <v>65.0</v>
      </c>
      <c r="N10" s="201">
        <v>0.0</v>
      </c>
      <c r="O10" s="186" t="s">
        <v>141</v>
      </c>
      <c r="P10" s="201" t="s">
        <v>84</v>
      </c>
      <c r="Q10" s="148"/>
      <c r="R10" s="148"/>
      <c r="S10" s="148"/>
      <c r="T10" s="148"/>
      <c r="U10" s="148"/>
      <c r="V10" s="148"/>
      <c r="W10" s="148"/>
      <c r="X10" s="148"/>
      <c r="Y10" s="148"/>
    </row>
    <row r="11" ht="31.5" customHeight="1">
      <c r="A11" s="201"/>
      <c r="B11" s="186"/>
      <c r="C11" s="186"/>
      <c r="D11" s="186"/>
      <c r="E11" s="186"/>
      <c r="F11" s="186"/>
      <c r="G11" s="186"/>
      <c r="H11" s="201"/>
      <c r="I11" s="202"/>
      <c r="J11" s="202"/>
      <c r="K11" s="201"/>
      <c r="L11" s="201"/>
      <c r="M11" s="201"/>
      <c r="N11" s="186"/>
      <c r="O11" s="186"/>
      <c r="P11" s="201"/>
      <c r="Q11" s="148"/>
      <c r="R11" s="148"/>
      <c r="S11" s="148"/>
      <c r="T11" s="148"/>
      <c r="U11" s="148"/>
      <c r="V11" s="148"/>
      <c r="W11" s="148"/>
      <c r="X11" s="148"/>
      <c r="Y11" s="148"/>
    </row>
    <row r="12" ht="31.5" customHeight="1">
      <c r="A12" s="201"/>
      <c r="B12" s="186"/>
      <c r="C12" s="186"/>
      <c r="D12" s="186"/>
      <c r="E12" s="186"/>
      <c r="F12" s="186"/>
      <c r="G12" s="186"/>
      <c r="H12" s="201"/>
      <c r="I12" s="202"/>
      <c r="J12" s="202"/>
      <c r="K12" s="201"/>
      <c r="L12" s="201"/>
      <c r="M12" s="201"/>
      <c r="N12" s="186"/>
      <c r="O12" s="186"/>
      <c r="P12" s="201"/>
      <c r="Q12" s="148"/>
      <c r="R12" s="148"/>
      <c r="S12" s="148"/>
      <c r="T12" s="148"/>
      <c r="U12" s="148"/>
      <c r="V12" s="148"/>
      <c r="W12" s="148"/>
      <c r="X12" s="148"/>
      <c r="Y12" s="148"/>
    </row>
    <row r="13" ht="31.5" customHeight="1">
      <c r="A13" s="201"/>
      <c r="B13" s="186"/>
      <c r="C13" s="186"/>
      <c r="D13" s="186"/>
      <c r="E13" s="186"/>
      <c r="F13" s="186"/>
      <c r="G13" s="186"/>
      <c r="H13" s="201"/>
      <c r="I13" s="202"/>
      <c r="J13" s="202"/>
      <c r="K13" s="201"/>
      <c r="L13" s="201"/>
      <c r="M13" s="201"/>
      <c r="N13" s="186"/>
      <c r="O13" s="186"/>
      <c r="P13" s="201"/>
      <c r="Q13" s="148"/>
      <c r="R13" s="148"/>
      <c r="S13" s="148"/>
      <c r="T13" s="148"/>
      <c r="U13" s="148"/>
      <c r="V13" s="148"/>
      <c r="W13" s="148"/>
      <c r="X13" s="148"/>
      <c r="Y13" s="148"/>
    </row>
    <row r="14" ht="31.5" customHeight="1">
      <c r="A14" s="201"/>
      <c r="B14" s="186"/>
      <c r="C14" s="186"/>
      <c r="D14" s="186"/>
      <c r="E14" s="186"/>
      <c r="F14" s="186"/>
      <c r="G14" s="186"/>
      <c r="H14" s="201"/>
      <c r="I14" s="202"/>
      <c r="J14" s="202"/>
      <c r="K14" s="201"/>
      <c r="L14" s="201"/>
      <c r="M14" s="201"/>
      <c r="N14" s="186"/>
      <c r="O14" s="186"/>
      <c r="P14" s="201"/>
      <c r="Q14" s="148"/>
      <c r="R14" s="148"/>
      <c r="S14" s="148"/>
      <c r="T14" s="148"/>
      <c r="U14" s="148"/>
      <c r="V14" s="148"/>
      <c r="W14" s="148"/>
      <c r="X14" s="148"/>
      <c r="Y14" s="148"/>
    </row>
    <row r="15" ht="31.5" customHeight="1">
      <c r="A15" s="201"/>
      <c r="B15" s="186"/>
      <c r="C15" s="186"/>
      <c r="D15" s="186"/>
      <c r="E15" s="186"/>
      <c r="F15" s="186"/>
      <c r="G15" s="186"/>
      <c r="H15" s="201"/>
      <c r="I15" s="202"/>
      <c r="J15" s="202"/>
      <c r="K15" s="201"/>
      <c r="L15" s="201"/>
      <c r="M15" s="201"/>
      <c r="N15" s="186"/>
      <c r="O15" s="186"/>
      <c r="P15" s="201"/>
      <c r="Q15" s="148"/>
      <c r="R15" s="148"/>
      <c r="S15" s="148"/>
      <c r="T15" s="148"/>
      <c r="U15" s="148"/>
      <c r="V15" s="148"/>
      <c r="W15" s="148"/>
      <c r="X15" s="148"/>
      <c r="Y15" s="148"/>
    </row>
    <row r="16" ht="31.5" customHeight="1">
      <c r="A16" s="201"/>
      <c r="B16" s="186"/>
      <c r="C16" s="186"/>
      <c r="D16" s="186"/>
      <c r="E16" s="186"/>
      <c r="F16" s="186"/>
      <c r="G16" s="186"/>
      <c r="H16" s="201"/>
      <c r="I16" s="202"/>
      <c r="J16" s="202"/>
      <c r="K16" s="201"/>
      <c r="L16" s="201"/>
      <c r="M16" s="201"/>
      <c r="N16" s="186"/>
      <c r="O16" s="186"/>
      <c r="P16" s="201"/>
      <c r="Q16" s="148"/>
      <c r="R16" s="148"/>
      <c r="S16" s="148"/>
      <c r="T16" s="148"/>
      <c r="U16" s="148"/>
      <c r="V16" s="148"/>
      <c r="W16" s="148"/>
      <c r="X16" s="148"/>
      <c r="Y16" s="148"/>
    </row>
    <row r="17" ht="31.5" customHeight="1">
      <c r="A17" s="201"/>
      <c r="B17" s="186"/>
      <c r="C17" s="186"/>
      <c r="D17" s="186"/>
      <c r="E17" s="186"/>
      <c r="F17" s="186"/>
      <c r="G17" s="186"/>
      <c r="H17" s="201"/>
      <c r="I17" s="202"/>
      <c r="J17" s="202"/>
      <c r="K17" s="201"/>
      <c r="L17" s="201"/>
      <c r="M17" s="201"/>
      <c r="N17" s="186"/>
      <c r="O17" s="186"/>
      <c r="P17" s="201"/>
      <c r="Q17" s="148"/>
      <c r="R17" s="148"/>
      <c r="S17" s="148"/>
      <c r="T17" s="148"/>
      <c r="U17" s="148"/>
      <c r="V17" s="148"/>
      <c r="W17" s="148"/>
      <c r="X17" s="148"/>
      <c r="Y17" s="148"/>
    </row>
    <row r="18" ht="32.25" customHeight="1">
      <c r="A18" s="203" t="s">
        <v>144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7"/>
      <c r="P18" s="204"/>
      <c r="Q18" s="204"/>
      <c r="R18" s="204"/>
      <c r="S18" s="204"/>
      <c r="T18" s="204"/>
      <c r="U18" s="204"/>
      <c r="V18" s="204"/>
      <c r="W18" s="204"/>
      <c r="X18" s="204"/>
      <c r="Y18" s="204"/>
    </row>
    <row r="19" ht="31.5" customHeight="1">
      <c r="A19" s="201">
        <v>2.0</v>
      </c>
      <c r="B19" s="201" t="s">
        <v>135</v>
      </c>
      <c r="C19" s="186" t="s">
        <v>136</v>
      </c>
      <c r="D19" s="168" t="s">
        <v>145</v>
      </c>
      <c r="E19" s="186" t="s">
        <v>35</v>
      </c>
      <c r="F19" s="186" t="s">
        <v>28</v>
      </c>
      <c r="G19" s="186">
        <v>8.0</v>
      </c>
      <c r="H19" s="186" t="s">
        <v>92</v>
      </c>
      <c r="I19" s="202"/>
      <c r="J19" s="202"/>
      <c r="K19" s="201">
        <v>8.0</v>
      </c>
      <c r="L19" s="201">
        <v>0.0</v>
      </c>
      <c r="M19" s="201">
        <v>8.0</v>
      </c>
      <c r="N19" s="186">
        <f t="shared" ref="N19:N28" si="1">K19-L19-M19</f>
        <v>0</v>
      </c>
      <c r="O19" s="186" t="s">
        <v>146</v>
      </c>
      <c r="P19" s="201" t="s">
        <v>70</v>
      </c>
      <c r="Q19" s="148"/>
      <c r="R19" s="148"/>
      <c r="S19" s="148"/>
      <c r="T19" s="148"/>
      <c r="U19" s="148"/>
      <c r="V19" s="148"/>
      <c r="W19" s="148"/>
      <c r="X19" s="148"/>
      <c r="Y19" s="148"/>
    </row>
    <row r="20" ht="31.5" customHeight="1">
      <c r="A20" s="201">
        <v>4.0</v>
      </c>
      <c r="B20" s="201" t="s">
        <v>15</v>
      </c>
      <c r="C20" s="186" t="s">
        <v>147</v>
      </c>
      <c r="D20" s="168" t="s">
        <v>148</v>
      </c>
      <c r="E20" s="186" t="s">
        <v>34</v>
      </c>
      <c r="F20" s="186" t="s">
        <v>23</v>
      </c>
      <c r="G20" s="186">
        <v>20.0</v>
      </c>
      <c r="H20" s="186" t="s">
        <v>92</v>
      </c>
      <c r="I20" s="202">
        <v>46073.0</v>
      </c>
      <c r="J20" s="202">
        <v>46087.0</v>
      </c>
      <c r="K20" s="201">
        <v>40.0</v>
      </c>
      <c r="L20" s="201">
        <v>0.0</v>
      </c>
      <c r="M20" s="201">
        <v>40.0</v>
      </c>
      <c r="N20" s="186">
        <f t="shared" si="1"/>
        <v>0</v>
      </c>
      <c r="O20" s="186" t="s">
        <v>138</v>
      </c>
      <c r="P20" s="201" t="s">
        <v>70</v>
      </c>
      <c r="Q20" s="148"/>
      <c r="R20" s="148"/>
      <c r="S20" s="148"/>
      <c r="T20" s="148"/>
      <c r="U20" s="148"/>
      <c r="V20" s="148"/>
      <c r="W20" s="148"/>
      <c r="X20" s="148"/>
      <c r="Y20" s="148"/>
    </row>
    <row r="21" ht="31.5" customHeight="1">
      <c r="A21" s="201">
        <v>5.0</v>
      </c>
      <c r="B21" s="201" t="s">
        <v>15</v>
      </c>
      <c r="C21" s="186" t="s">
        <v>149</v>
      </c>
      <c r="D21" s="168" t="s">
        <v>150</v>
      </c>
      <c r="E21" s="186" t="s">
        <v>34</v>
      </c>
      <c r="F21" s="186" t="s">
        <v>22</v>
      </c>
      <c r="G21" s="186">
        <v>30.0</v>
      </c>
      <c r="H21" s="186" t="s">
        <v>76</v>
      </c>
      <c r="I21" s="202">
        <v>46111.0</v>
      </c>
      <c r="J21" s="202">
        <v>46160.0</v>
      </c>
      <c r="K21" s="201">
        <v>65.0</v>
      </c>
      <c r="L21" s="201">
        <v>0.0</v>
      </c>
      <c r="M21" s="201">
        <v>65.0</v>
      </c>
      <c r="N21" s="186">
        <f t="shared" si="1"/>
        <v>0</v>
      </c>
      <c r="O21" s="186" t="s">
        <v>151</v>
      </c>
      <c r="P21" s="201" t="s">
        <v>70</v>
      </c>
      <c r="Q21" s="148"/>
      <c r="R21" s="148"/>
      <c r="S21" s="148"/>
      <c r="T21" s="148"/>
      <c r="U21" s="148"/>
      <c r="V21" s="148"/>
      <c r="W21" s="148"/>
      <c r="X21" s="148"/>
      <c r="Y21" s="148"/>
    </row>
    <row r="22" ht="31.5" customHeight="1">
      <c r="A22" s="201">
        <v>6.0</v>
      </c>
      <c r="B22" s="201" t="s">
        <v>15</v>
      </c>
      <c r="C22" s="186" t="s">
        <v>152</v>
      </c>
      <c r="D22" s="168" t="s">
        <v>153</v>
      </c>
      <c r="E22" s="186" t="s">
        <v>33</v>
      </c>
      <c r="F22" s="186" t="s">
        <v>25</v>
      </c>
      <c r="G22" s="186">
        <v>51.0</v>
      </c>
      <c r="H22" s="186" t="s">
        <v>76</v>
      </c>
      <c r="I22" s="202">
        <v>45985.0</v>
      </c>
      <c r="J22" s="202">
        <v>45800.0</v>
      </c>
      <c r="K22" s="201">
        <v>181.0</v>
      </c>
      <c r="L22" s="201">
        <v>0.0</v>
      </c>
      <c r="M22" s="201">
        <v>181.0</v>
      </c>
      <c r="N22" s="186">
        <f t="shared" si="1"/>
        <v>0</v>
      </c>
      <c r="O22" s="186" t="s">
        <v>154</v>
      </c>
      <c r="P22" s="201" t="s">
        <v>70</v>
      </c>
      <c r="Q22" s="148"/>
      <c r="R22" s="148"/>
      <c r="S22" s="148"/>
      <c r="T22" s="148"/>
      <c r="U22" s="148"/>
      <c r="V22" s="148"/>
      <c r="W22" s="148"/>
      <c r="X22" s="148"/>
      <c r="Y22" s="148"/>
    </row>
    <row r="23" ht="31.5" customHeight="1">
      <c r="A23" s="201">
        <v>7.0</v>
      </c>
      <c r="B23" s="201" t="s">
        <v>15</v>
      </c>
      <c r="C23" s="186" t="s">
        <v>155</v>
      </c>
      <c r="D23" s="168" t="s">
        <v>156</v>
      </c>
      <c r="E23" s="186" t="s">
        <v>34</v>
      </c>
      <c r="F23" s="186" t="s">
        <v>157</v>
      </c>
      <c r="G23" s="186">
        <v>51.0</v>
      </c>
      <c r="H23" s="186" t="s">
        <v>92</v>
      </c>
      <c r="I23" s="202">
        <v>45926.0</v>
      </c>
      <c r="J23" s="202">
        <v>45742.0</v>
      </c>
      <c r="K23" s="201">
        <v>181.0</v>
      </c>
      <c r="L23" s="201">
        <v>0.0</v>
      </c>
      <c r="M23" s="201">
        <v>181.0</v>
      </c>
      <c r="N23" s="186">
        <f t="shared" si="1"/>
        <v>0</v>
      </c>
      <c r="O23" s="186" t="s">
        <v>158</v>
      </c>
      <c r="P23" s="201" t="s">
        <v>70</v>
      </c>
      <c r="Q23" s="148"/>
      <c r="R23" s="148"/>
      <c r="S23" s="148"/>
      <c r="T23" s="148"/>
      <c r="U23" s="148"/>
      <c r="V23" s="148"/>
      <c r="W23" s="148"/>
      <c r="X23" s="148"/>
      <c r="Y23" s="148"/>
    </row>
    <row r="24" ht="31.5" customHeight="1">
      <c r="A24" s="201">
        <v>8.0</v>
      </c>
      <c r="B24" s="201" t="s">
        <v>15</v>
      </c>
      <c r="C24" s="186" t="s">
        <v>159</v>
      </c>
      <c r="D24" s="186" t="s">
        <v>160</v>
      </c>
      <c r="E24" s="186" t="s">
        <v>34</v>
      </c>
      <c r="F24" s="186" t="s">
        <v>19</v>
      </c>
      <c r="G24" s="186">
        <v>30.0</v>
      </c>
      <c r="H24" s="186" t="s">
        <v>76</v>
      </c>
      <c r="I24" s="202">
        <v>46048.0</v>
      </c>
      <c r="J24" s="202">
        <v>46097.0</v>
      </c>
      <c r="K24" s="201">
        <v>65.0</v>
      </c>
      <c r="L24" s="201">
        <v>0.0</v>
      </c>
      <c r="M24" s="201">
        <v>65.0</v>
      </c>
      <c r="N24" s="186">
        <f t="shared" si="1"/>
        <v>0</v>
      </c>
      <c r="O24" s="186" t="s">
        <v>161</v>
      </c>
      <c r="P24" s="201" t="s">
        <v>70</v>
      </c>
      <c r="Q24" s="148"/>
      <c r="R24" s="148"/>
      <c r="S24" s="148"/>
      <c r="T24" s="148"/>
      <c r="U24" s="148"/>
      <c r="V24" s="148"/>
      <c r="W24" s="148"/>
      <c r="X24" s="148"/>
      <c r="Y24" s="148"/>
    </row>
    <row r="25" ht="31.5" customHeight="1">
      <c r="A25" s="201">
        <v>9.0</v>
      </c>
      <c r="B25" s="201" t="s">
        <v>15</v>
      </c>
      <c r="C25" s="186" t="s">
        <v>162</v>
      </c>
      <c r="D25" s="186" t="s">
        <v>163</v>
      </c>
      <c r="E25" s="186" t="s">
        <v>34</v>
      </c>
      <c r="F25" s="186" t="s">
        <v>20</v>
      </c>
      <c r="G25" s="186">
        <v>50.0</v>
      </c>
      <c r="H25" s="186" t="s">
        <v>92</v>
      </c>
      <c r="I25" s="202">
        <v>45953.0</v>
      </c>
      <c r="J25" s="202">
        <v>45767.0</v>
      </c>
      <c r="K25" s="201">
        <v>180.0</v>
      </c>
      <c r="L25" s="201">
        <v>3.0</v>
      </c>
      <c r="M25" s="201">
        <v>177.0</v>
      </c>
      <c r="N25" s="186">
        <f t="shared" si="1"/>
        <v>0</v>
      </c>
      <c r="O25" s="186" t="s">
        <v>164</v>
      </c>
      <c r="P25" s="201" t="s">
        <v>70</v>
      </c>
      <c r="Q25" s="148"/>
      <c r="R25" s="148"/>
      <c r="S25" s="148"/>
      <c r="T25" s="148"/>
      <c r="U25" s="148"/>
      <c r="V25" s="148"/>
      <c r="W25" s="148"/>
      <c r="X25" s="148"/>
      <c r="Y25" s="148"/>
    </row>
    <row r="26" ht="31.5" customHeight="1">
      <c r="A26" s="201">
        <v>10.0</v>
      </c>
      <c r="B26" s="201" t="s">
        <v>15</v>
      </c>
      <c r="C26" s="186" t="s">
        <v>165</v>
      </c>
      <c r="D26" s="168" t="s">
        <v>153</v>
      </c>
      <c r="E26" s="186" t="s">
        <v>33</v>
      </c>
      <c r="F26" s="186" t="s">
        <v>25</v>
      </c>
      <c r="G26" s="186">
        <v>51.0</v>
      </c>
      <c r="H26" s="186" t="s">
        <v>76</v>
      </c>
      <c r="I26" s="202">
        <v>45985.0</v>
      </c>
      <c r="J26" s="202">
        <v>45800.0</v>
      </c>
      <c r="K26" s="201">
        <v>181.0</v>
      </c>
      <c r="L26" s="201">
        <v>10.0</v>
      </c>
      <c r="M26" s="201">
        <v>171.0</v>
      </c>
      <c r="N26" s="186">
        <f t="shared" si="1"/>
        <v>0</v>
      </c>
      <c r="O26" s="186" t="s">
        <v>154</v>
      </c>
      <c r="P26" s="201" t="s">
        <v>70</v>
      </c>
      <c r="Q26" s="148"/>
      <c r="R26" s="148"/>
      <c r="S26" s="148"/>
      <c r="T26" s="148"/>
      <c r="U26" s="148"/>
      <c r="V26" s="148"/>
      <c r="W26" s="148"/>
      <c r="X26" s="148"/>
      <c r="Y26" s="148"/>
    </row>
    <row r="27" ht="31.5" customHeight="1">
      <c r="A27" s="201">
        <v>11.0</v>
      </c>
      <c r="B27" s="201" t="s">
        <v>15</v>
      </c>
      <c r="C27" s="186" t="s">
        <v>166</v>
      </c>
      <c r="D27" s="168" t="s">
        <v>153</v>
      </c>
      <c r="E27" s="186" t="s">
        <v>33</v>
      </c>
      <c r="F27" s="186" t="s">
        <v>25</v>
      </c>
      <c r="G27" s="186">
        <v>51.0</v>
      </c>
      <c r="H27" s="186" t="s">
        <v>76</v>
      </c>
      <c r="I27" s="202">
        <v>45985.0</v>
      </c>
      <c r="J27" s="202">
        <v>45800.0</v>
      </c>
      <c r="K27" s="201">
        <v>181.0</v>
      </c>
      <c r="L27" s="201">
        <v>0.0</v>
      </c>
      <c r="M27" s="201">
        <v>181.0</v>
      </c>
      <c r="N27" s="186">
        <f t="shared" si="1"/>
        <v>0</v>
      </c>
      <c r="O27" s="186" t="s">
        <v>154</v>
      </c>
      <c r="P27" s="201" t="s">
        <v>70</v>
      </c>
      <c r="Q27" s="148"/>
      <c r="R27" s="148"/>
      <c r="S27" s="148"/>
      <c r="T27" s="148"/>
      <c r="U27" s="148"/>
      <c r="V27" s="148"/>
      <c r="W27" s="148"/>
      <c r="X27" s="148"/>
      <c r="Y27" s="148"/>
    </row>
    <row r="28" ht="31.5" customHeight="1">
      <c r="A28" s="201">
        <v>12.0</v>
      </c>
      <c r="B28" s="201" t="s">
        <v>15</v>
      </c>
      <c r="C28" s="186" t="s">
        <v>167</v>
      </c>
      <c r="D28" s="168" t="s">
        <v>168</v>
      </c>
      <c r="E28" s="186" t="s">
        <v>34</v>
      </c>
      <c r="F28" s="186" t="s">
        <v>21</v>
      </c>
      <c r="G28" s="186">
        <v>30.0</v>
      </c>
      <c r="H28" s="201" t="s">
        <v>92</v>
      </c>
      <c r="I28" s="202">
        <v>46111.0</v>
      </c>
      <c r="J28" s="202">
        <v>46160.0</v>
      </c>
      <c r="K28" s="201">
        <v>65.0</v>
      </c>
      <c r="L28" s="201">
        <v>0.0</v>
      </c>
      <c r="M28" s="201">
        <v>65.0</v>
      </c>
      <c r="N28" s="186">
        <f t="shared" si="1"/>
        <v>0</v>
      </c>
      <c r="O28" s="186" t="s">
        <v>151</v>
      </c>
      <c r="P28" s="201" t="s">
        <v>70</v>
      </c>
      <c r="Q28" s="148"/>
      <c r="R28" s="148"/>
      <c r="S28" s="148"/>
      <c r="T28" s="148"/>
      <c r="U28" s="148"/>
      <c r="V28" s="148"/>
      <c r="W28" s="148"/>
      <c r="X28" s="148"/>
      <c r="Y28" s="148"/>
    </row>
    <row r="29" ht="31.5" customHeight="1">
      <c r="A29" s="201">
        <v>13.0</v>
      </c>
      <c r="B29" s="201" t="s">
        <v>16</v>
      </c>
      <c r="C29" s="186" t="s">
        <v>169</v>
      </c>
      <c r="D29" s="168" t="s">
        <v>170</v>
      </c>
      <c r="E29" s="186" t="s">
        <v>34</v>
      </c>
      <c r="F29" s="186" t="s">
        <v>23</v>
      </c>
      <c r="G29" s="186">
        <v>20.0</v>
      </c>
      <c r="H29" s="186" t="s">
        <v>76</v>
      </c>
      <c r="I29" s="202">
        <v>46128.0</v>
      </c>
      <c r="J29" s="202">
        <v>46142.0</v>
      </c>
      <c r="K29" s="201">
        <v>40.0</v>
      </c>
      <c r="L29" s="201">
        <v>0.0</v>
      </c>
      <c r="M29" s="201">
        <v>40.0</v>
      </c>
      <c r="N29" s="201">
        <v>0.0</v>
      </c>
      <c r="O29" s="186" t="s">
        <v>171</v>
      </c>
      <c r="P29" s="201" t="s">
        <v>70</v>
      </c>
      <c r="Q29" s="148"/>
      <c r="R29" s="148"/>
      <c r="S29" s="148"/>
      <c r="T29" s="148"/>
      <c r="U29" s="148"/>
      <c r="V29" s="148"/>
      <c r="W29" s="148"/>
      <c r="X29" s="148"/>
      <c r="Y29" s="148"/>
    </row>
    <row r="30" ht="31.5" customHeight="1">
      <c r="A30" s="201">
        <v>14.0</v>
      </c>
      <c r="B30" s="201" t="s">
        <v>16</v>
      </c>
      <c r="C30" s="186" t="s">
        <v>169</v>
      </c>
      <c r="D30" s="168" t="s">
        <v>172</v>
      </c>
      <c r="E30" s="186" t="s">
        <v>34</v>
      </c>
      <c r="F30" s="186" t="s">
        <v>23</v>
      </c>
      <c r="G30" s="186">
        <v>20.0</v>
      </c>
      <c r="H30" s="186" t="s">
        <v>76</v>
      </c>
      <c r="I30" s="202">
        <v>46143.0</v>
      </c>
      <c r="J30" s="202">
        <v>46157.0</v>
      </c>
      <c r="K30" s="201">
        <v>40.0</v>
      </c>
      <c r="L30" s="201">
        <v>0.0</v>
      </c>
      <c r="M30" s="201">
        <v>40.0</v>
      </c>
      <c r="N30" s="186">
        <v>0.0</v>
      </c>
      <c r="O30" s="186" t="s">
        <v>171</v>
      </c>
      <c r="P30" s="201" t="s">
        <v>70</v>
      </c>
      <c r="Q30" s="148"/>
      <c r="R30" s="148"/>
      <c r="S30" s="148"/>
      <c r="T30" s="148"/>
      <c r="U30" s="148"/>
      <c r="V30" s="148"/>
      <c r="W30" s="148"/>
      <c r="X30" s="148"/>
      <c r="Y30" s="148"/>
    </row>
    <row r="31" ht="31.5" customHeight="1">
      <c r="A31" s="201">
        <v>16.0</v>
      </c>
      <c r="B31" s="201" t="s">
        <v>16</v>
      </c>
      <c r="C31" s="186" t="s">
        <v>173</v>
      </c>
      <c r="D31" s="168" t="s">
        <v>174</v>
      </c>
      <c r="E31" s="186" t="s">
        <v>35</v>
      </c>
      <c r="F31" s="186" t="s">
        <v>28</v>
      </c>
      <c r="G31" s="186">
        <v>9.0</v>
      </c>
      <c r="H31" s="201" t="s">
        <v>92</v>
      </c>
      <c r="I31" s="202"/>
      <c r="J31" s="202"/>
      <c r="K31" s="201">
        <v>9.0</v>
      </c>
      <c r="L31" s="201">
        <v>0.0</v>
      </c>
      <c r="M31" s="186">
        <v>9.0</v>
      </c>
      <c r="N31" s="186">
        <v>0.0</v>
      </c>
      <c r="O31" s="186" t="s">
        <v>171</v>
      </c>
      <c r="P31" s="201" t="s">
        <v>70</v>
      </c>
      <c r="Q31" s="148"/>
      <c r="R31" s="148"/>
      <c r="S31" s="148"/>
      <c r="T31" s="148"/>
      <c r="U31" s="148"/>
      <c r="V31" s="148"/>
      <c r="W31" s="148"/>
      <c r="X31" s="148"/>
      <c r="Y31" s="148"/>
    </row>
    <row r="32" ht="31.5" customHeight="1">
      <c r="A32" s="201">
        <v>17.0</v>
      </c>
      <c r="B32" s="201" t="s">
        <v>16</v>
      </c>
      <c r="C32" s="186" t="s">
        <v>175</v>
      </c>
      <c r="D32" s="168" t="s">
        <v>176</v>
      </c>
      <c r="E32" s="186" t="s">
        <v>35</v>
      </c>
      <c r="F32" s="186" t="s">
        <v>20</v>
      </c>
      <c r="G32" s="186">
        <v>13.0</v>
      </c>
      <c r="H32" s="201" t="s">
        <v>92</v>
      </c>
      <c r="I32" s="202"/>
      <c r="J32" s="202"/>
      <c r="K32" s="201">
        <v>19.0</v>
      </c>
      <c r="L32" s="201">
        <v>0.0</v>
      </c>
      <c r="M32" s="186">
        <v>19.0</v>
      </c>
      <c r="N32" s="186">
        <v>0.0</v>
      </c>
      <c r="O32" s="186" t="s">
        <v>171</v>
      </c>
      <c r="P32" s="201" t="s">
        <v>70</v>
      </c>
      <c r="Q32" s="148"/>
      <c r="R32" s="148"/>
      <c r="S32" s="148"/>
      <c r="T32" s="148"/>
      <c r="U32" s="148"/>
      <c r="V32" s="148"/>
      <c r="W32" s="148"/>
      <c r="X32" s="148"/>
      <c r="Y32" s="148"/>
    </row>
    <row r="33" ht="31.5" customHeight="1">
      <c r="A33" s="201">
        <v>19.0</v>
      </c>
      <c r="B33" s="201" t="s">
        <v>16</v>
      </c>
      <c r="C33" s="186" t="s">
        <v>177</v>
      </c>
      <c r="D33" s="168" t="s">
        <v>178</v>
      </c>
      <c r="E33" s="186" t="s">
        <v>35</v>
      </c>
      <c r="F33" s="186" t="s">
        <v>23</v>
      </c>
      <c r="G33" s="186">
        <v>19.0</v>
      </c>
      <c r="H33" s="201" t="s">
        <v>92</v>
      </c>
      <c r="I33" s="202"/>
      <c r="J33" s="202"/>
      <c r="K33" s="201">
        <v>39.0</v>
      </c>
      <c r="L33" s="201">
        <v>0.0</v>
      </c>
      <c r="M33" s="201">
        <v>39.0</v>
      </c>
      <c r="N33" s="186">
        <f t="shared" ref="N33:N36" si="2">K33-L33-M33</f>
        <v>0</v>
      </c>
      <c r="O33" s="186" t="s">
        <v>179</v>
      </c>
      <c r="P33" s="201" t="s">
        <v>70</v>
      </c>
      <c r="Q33" s="148"/>
      <c r="R33" s="148"/>
      <c r="S33" s="148"/>
      <c r="T33" s="148"/>
      <c r="U33" s="148"/>
      <c r="V33" s="148"/>
      <c r="W33" s="148"/>
      <c r="X33" s="148"/>
      <c r="Y33" s="148"/>
    </row>
    <row r="34" ht="31.5" customHeight="1">
      <c r="A34" s="201">
        <v>20.0</v>
      </c>
      <c r="B34" s="201" t="s">
        <v>16</v>
      </c>
      <c r="C34" s="186" t="s">
        <v>177</v>
      </c>
      <c r="D34" s="186" t="s">
        <v>180</v>
      </c>
      <c r="E34" s="186" t="s">
        <v>34</v>
      </c>
      <c r="F34" s="186" t="s">
        <v>19</v>
      </c>
      <c r="G34" s="186">
        <v>30.0</v>
      </c>
      <c r="H34" s="186" t="s">
        <v>92</v>
      </c>
      <c r="I34" s="202">
        <v>46044.0</v>
      </c>
      <c r="J34" s="202">
        <v>46093.0</v>
      </c>
      <c r="K34" s="201">
        <v>65.0</v>
      </c>
      <c r="L34" s="201">
        <v>0.0</v>
      </c>
      <c r="M34" s="201">
        <v>65.0</v>
      </c>
      <c r="N34" s="186">
        <f t="shared" si="2"/>
        <v>0</v>
      </c>
      <c r="O34" s="186" t="s">
        <v>181</v>
      </c>
      <c r="P34" s="201" t="s">
        <v>70</v>
      </c>
      <c r="Q34" s="148"/>
      <c r="R34" s="148"/>
      <c r="S34" s="148"/>
      <c r="T34" s="148"/>
      <c r="U34" s="148"/>
      <c r="V34" s="148"/>
      <c r="W34" s="148"/>
      <c r="X34" s="148"/>
      <c r="Y34" s="148"/>
    </row>
    <row r="35" ht="31.5" customHeight="1">
      <c r="A35" s="201">
        <v>21.0</v>
      </c>
      <c r="B35" s="201" t="s">
        <v>16</v>
      </c>
      <c r="C35" s="186" t="s">
        <v>142</v>
      </c>
      <c r="D35" s="186" t="s">
        <v>182</v>
      </c>
      <c r="E35" s="186" t="s">
        <v>34</v>
      </c>
      <c r="F35" s="186" t="s">
        <v>23</v>
      </c>
      <c r="G35" s="186">
        <v>20.0</v>
      </c>
      <c r="H35" s="186" t="s">
        <v>92</v>
      </c>
      <c r="I35" s="202">
        <v>46048.0</v>
      </c>
      <c r="J35" s="202">
        <v>46062.0</v>
      </c>
      <c r="K35" s="201">
        <v>40.0</v>
      </c>
      <c r="L35" s="201">
        <v>0.0</v>
      </c>
      <c r="M35" s="201">
        <v>40.0</v>
      </c>
      <c r="N35" s="186">
        <f t="shared" si="2"/>
        <v>0</v>
      </c>
      <c r="O35" s="186" t="s">
        <v>161</v>
      </c>
      <c r="P35" s="201" t="s">
        <v>70</v>
      </c>
      <c r="Q35" s="148"/>
      <c r="R35" s="148"/>
      <c r="S35" s="148"/>
      <c r="T35" s="148"/>
      <c r="U35" s="148"/>
      <c r="V35" s="148"/>
      <c r="W35" s="148"/>
      <c r="X35" s="148"/>
      <c r="Y35" s="148"/>
    </row>
    <row r="36" ht="31.5" customHeight="1">
      <c r="A36" s="201">
        <v>22.0</v>
      </c>
      <c r="B36" s="201" t="s">
        <v>16</v>
      </c>
      <c r="C36" s="186" t="s">
        <v>183</v>
      </c>
      <c r="D36" s="186" t="s">
        <v>184</v>
      </c>
      <c r="E36" s="186" t="s">
        <v>34</v>
      </c>
      <c r="F36" s="186" t="s">
        <v>23</v>
      </c>
      <c r="G36" s="186">
        <v>25.0</v>
      </c>
      <c r="H36" s="201" t="s">
        <v>76</v>
      </c>
      <c r="I36" s="202">
        <v>46111.0</v>
      </c>
      <c r="J36" s="202">
        <v>46140.0</v>
      </c>
      <c r="K36" s="201">
        <v>50.0</v>
      </c>
      <c r="L36" s="201">
        <v>0.0</v>
      </c>
      <c r="M36" s="201">
        <v>50.0</v>
      </c>
      <c r="N36" s="186">
        <f t="shared" si="2"/>
        <v>0</v>
      </c>
      <c r="O36" s="186" t="s">
        <v>151</v>
      </c>
      <c r="P36" s="201" t="s">
        <v>70</v>
      </c>
      <c r="Q36" s="148"/>
      <c r="R36" s="148"/>
      <c r="S36" s="148"/>
      <c r="T36" s="148"/>
      <c r="U36" s="148"/>
      <c r="V36" s="148"/>
      <c r="W36" s="148"/>
      <c r="X36" s="148"/>
      <c r="Y36" s="148"/>
    </row>
    <row r="37" ht="31.5" customHeight="1">
      <c r="A37" s="201">
        <v>23.0</v>
      </c>
      <c r="B37" s="201" t="s">
        <v>17</v>
      </c>
      <c r="C37" s="186" t="s">
        <v>185</v>
      </c>
      <c r="D37" s="186" t="s">
        <v>186</v>
      </c>
      <c r="E37" s="186" t="s">
        <v>35</v>
      </c>
      <c r="F37" s="201" t="s">
        <v>21</v>
      </c>
      <c r="G37" s="186">
        <v>8.0</v>
      </c>
      <c r="H37" s="201" t="s">
        <v>92</v>
      </c>
      <c r="I37" s="202"/>
      <c r="J37" s="202"/>
      <c r="K37" s="201">
        <v>8.0</v>
      </c>
      <c r="L37" s="201">
        <v>0.0</v>
      </c>
      <c r="M37" s="201">
        <v>8.0</v>
      </c>
      <c r="N37" s="186">
        <v>0.0</v>
      </c>
      <c r="O37" s="186" t="s">
        <v>171</v>
      </c>
      <c r="P37" s="201" t="s">
        <v>70</v>
      </c>
      <c r="Q37" s="148"/>
      <c r="R37" s="148"/>
      <c r="S37" s="148"/>
      <c r="T37" s="148"/>
      <c r="U37" s="148"/>
      <c r="V37" s="148"/>
      <c r="W37" s="148"/>
      <c r="X37" s="148"/>
      <c r="Y37" s="148"/>
    </row>
    <row r="38" ht="31.5" customHeight="1">
      <c r="A38" s="201">
        <v>24.0</v>
      </c>
      <c r="B38" s="201" t="s">
        <v>17</v>
      </c>
      <c r="C38" s="186" t="s">
        <v>187</v>
      </c>
      <c r="D38" s="186" t="s">
        <v>188</v>
      </c>
      <c r="E38" s="186" t="s">
        <v>35</v>
      </c>
      <c r="F38" s="201" t="s">
        <v>21</v>
      </c>
      <c r="G38" s="186">
        <v>8.0</v>
      </c>
      <c r="H38" s="201" t="s">
        <v>92</v>
      </c>
      <c r="I38" s="202"/>
      <c r="J38" s="202"/>
      <c r="K38" s="201">
        <v>8.0</v>
      </c>
      <c r="L38" s="201">
        <v>0.0</v>
      </c>
      <c r="M38" s="201">
        <v>8.0</v>
      </c>
      <c r="N38" s="186">
        <v>0.0</v>
      </c>
      <c r="O38" s="186" t="s">
        <v>171</v>
      </c>
      <c r="P38" s="201" t="s">
        <v>70</v>
      </c>
      <c r="Q38" s="148"/>
      <c r="R38" s="148"/>
      <c r="S38" s="148"/>
      <c r="T38" s="148"/>
      <c r="U38" s="148"/>
      <c r="V38" s="148"/>
      <c r="W38" s="148"/>
      <c r="X38" s="148"/>
      <c r="Y38" s="148"/>
    </row>
    <row r="39" ht="31.5" customHeight="1">
      <c r="A39" s="201">
        <v>25.0</v>
      </c>
      <c r="B39" s="201" t="s">
        <v>17</v>
      </c>
      <c r="C39" s="186" t="s">
        <v>189</v>
      </c>
      <c r="D39" s="186" t="s">
        <v>188</v>
      </c>
      <c r="E39" s="186" t="s">
        <v>35</v>
      </c>
      <c r="F39" s="201" t="s">
        <v>21</v>
      </c>
      <c r="G39" s="186">
        <v>8.0</v>
      </c>
      <c r="H39" s="201" t="s">
        <v>92</v>
      </c>
      <c r="I39" s="202"/>
      <c r="J39" s="202"/>
      <c r="K39" s="201">
        <v>65.0</v>
      </c>
      <c r="L39" s="201">
        <v>0.0</v>
      </c>
      <c r="M39" s="201">
        <v>65.0</v>
      </c>
      <c r="N39" s="186">
        <v>0.0</v>
      </c>
      <c r="O39" s="186" t="s">
        <v>190</v>
      </c>
      <c r="P39" s="201" t="s">
        <v>70</v>
      </c>
      <c r="Q39" s="148"/>
      <c r="R39" s="148"/>
      <c r="S39" s="148"/>
      <c r="T39" s="148"/>
      <c r="U39" s="148"/>
      <c r="V39" s="148"/>
      <c r="W39" s="148"/>
      <c r="X39" s="148"/>
      <c r="Y39" s="148"/>
    </row>
    <row r="40" ht="31.5" customHeight="1">
      <c r="A40" s="201">
        <v>26.0</v>
      </c>
      <c r="B40" s="201" t="s">
        <v>17</v>
      </c>
      <c r="C40" s="186" t="s">
        <v>191</v>
      </c>
      <c r="D40" s="186" t="s">
        <v>188</v>
      </c>
      <c r="E40" s="186" t="s">
        <v>35</v>
      </c>
      <c r="F40" s="201" t="s">
        <v>21</v>
      </c>
      <c r="G40" s="186">
        <v>8.0</v>
      </c>
      <c r="H40" s="201" t="s">
        <v>92</v>
      </c>
      <c r="I40" s="202"/>
      <c r="J40" s="202"/>
      <c r="K40" s="201">
        <v>8.0</v>
      </c>
      <c r="L40" s="201">
        <v>0.0</v>
      </c>
      <c r="M40" s="201">
        <v>8.0</v>
      </c>
      <c r="N40" s="186">
        <v>0.0</v>
      </c>
      <c r="O40" s="186" t="s">
        <v>192</v>
      </c>
      <c r="P40" s="201" t="s">
        <v>70</v>
      </c>
      <c r="Q40" s="148"/>
      <c r="R40" s="148"/>
      <c r="S40" s="148"/>
      <c r="T40" s="148"/>
      <c r="U40" s="148"/>
      <c r="V40" s="148"/>
      <c r="W40" s="148"/>
      <c r="X40" s="148"/>
      <c r="Y40" s="148"/>
    </row>
    <row r="41" ht="31.5" customHeight="1">
      <c r="A41" s="201">
        <v>27.0</v>
      </c>
      <c r="B41" s="201" t="s">
        <v>17</v>
      </c>
      <c r="C41" s="186" t="s">
        <v>191</v>
      </c>
      <c r="D41" s="186" t="s">
        <v>193</v>
      </c>
      <c r="E41" s="186" t="s">
        <v>35</v>
      </c>
      <c r="F41" s="201" t="s">
        <v>21</v>
      </c>
      <c r="G41" s="186">
        <v>8.0</v>
      </c>
      <c r="H41" s="201" t="s">
        <v>92</v>
      </c>
      <c r="I41" s="202"/>
      <c r="J41" s="202"/>
      <c r="K41" s="201">
        <v>8.0</v>
      </c>
      <c r="L41" s="201">
        <v>0.0</v>
      </c>
      <c r="M41" s="201">
        <v>8.0</v>
      </c>
      <c r="N41" s="186">
        <v>0.0</v>
      </c>
      <c r="O41" s="186" t="s">
        <v>194</v>
      </c>
      <c r="P41" s="201" t="s">
        <v>70</v>
      </c>
      <c r="Q41" s="148"/>
      <c r="R41" s="148"/>
      <c r="S41" s="148"/>
      <c r="T41" s="148"/>
      <c r="U41" s="148"/>
      <c r="V41" s="148"/>
      <c r="W41" s="148"/>
      <c r="X41" s="148"/>
      <c r="Y41" s="148"/>
    </row>
    <row r="42" ht="31.5" customHeight="1">
      <c r="A42" s="201">
        <v>28.0</v>
      </c>
      <c r="B42" s="201" t="s">
        <v>17</v>
      </c>
      <c r="C42" s="186" t="s">
        <v>191</v>
      </c>
      <c r="D42" s="186" t="s">
        <v>195</v>
      </c>
      <c r="E42" s="186" t="s">
        <v>35</v>
      </c>
      <c r="F42" s="201" t="s">
        <v>23</v>
      </c>
      <c r="G42" s="186">
        <v>10.0</v>
      </c>
      <c r="H42" s="201" t="s">
        <v>92</v>
      </c>
      <c r="I42" s="202"/>
      <c r="J42" s="202"/>
      <c r="K42" s="201">
        <v>10.0</v>
      </c>
      <c r="L42" s="201">
        <v>0.0</v>
      </c>
      <c r="M42" s="201">
        <v>10.0</v>
      </c>
      <c r="N42" s="186">
        <v>0.0</v>
      </c>
      <c r="O42" s="186" t="s">
        <v>196</v>
      </c>
      <c r="P42" s="201" t="s">
        <v>70</v>
      </c>
      <c r="Q42" s="148"/>
      <c r="R42" s="148"/>
      <c r="S42" s="148"/>
      <c r="T42" s="148"/>
      <c r="U42" s="148"/>
      <c r="V42" s="148"/>
      <c r="W42" s="148"/>
      <c r="X42" s="148"/>
      <c r="Y42" s="148"/>
    </row>
    <row r="43" ht="31.5" customHeight="1">
      <c r="A43" s="201">
        <v>29.0</v>
      </c>
      <c r="B43" s="201" t="s">
        <v>17</v>
      </c>
      <c r="C43" s="186" t="s">
        <v>197</v>
      </c>
      <c r="D43" s="186" t="s">
        <v>198</v>
      </c>
      <c r="E43" s="186" t="s">
        <v>35</v>
      </c>
      <c r="F43" s="201" t="s">
        <v>28</v>
      </c>
      <c r="G43" s="186">
        <v>8.0</v>
      </c>
      <c r="H43" s="201" t="s">
        <v>92</v>
      </c>
      <c r="I43" s="202"/>
      <c r="J43" s="202"/>
      <c r="K43" s="201">
        <v>8.0</v>
      </c>
      <c r="L43" s="201">
        <v>0.0</v>
      </c>
      <c r="M43" s="201">
        <v>8.0</v>
      </c>
      <c r="N43" s="186">
        <v>0.0</v>
      </c>
      <c r="O43" s="186" t="s">
        <v>199</v>
      </c>
      <c r="P43" s="201" t="s">
        <v>70</v>
      </c>
      <c r="Q43" s="148"/>
      <c r="R43" s="148"/>
      <c r="S43" s="148"/>
      <c r="T43" s="148"/>
      <c r="U43" s="148"/>
      <c r="V43" s="148"/>
      <c r="W43" s="148"/>
      <c r="X43" s="148"/>
      <c r="Y43" s="148"/>
    </row>
    <row r="44" ht="31.5" customHeight="1">
      <c r="A44" s="201">
        <v>30.0</v>
      </c>
      <c r="B44" s="201" t="s">
        <v>17</v>
      </c>
      <c r="C44" s="186" t="s">
        <v>200</v>
      </c>
      <c r="D44" s="186" t="s">
        <v>198</v>
      </c>
      <c r="E44" s="186" t="s">
        <v>35</v>
      </c>
      <c r="F44" s="201" t="s">
        <v>28</v>
      </c>
      <c r="G44" s="186">
        <v>8.0</v>
      </c>
      <c r="H44" s="201" t="s">
        <v>92</v>
      </c>
      <c r="I44" s="202"/>
      <c r="J44" s="202"/>
      <c r="K44" s="201">
        <v>8.0</v>
      </c>
      <c r="L44" s="201">
        <v>0.0</v>
      </c>
      <c r="M44" s="201">
        <v>8.0</v>
      </c>
      <c r="N44" s="186">
        <v>0.0</v>
      </c>
      <c r="O44" s="186" t="s">
        <v>201</v>
      </c>
      <c r="P44" s="201" t="s">
        <v>70</v>
      </c>
      <c r="Q44" s="148"/>
      <c r="R44" s="148"/>
      <c r="S44" s="148"/>
      <c r="T44" s="148"/>
      <c r="U44" s="148"/>
      <c r="V44" s="148"/>
      <c r="W44" s="148"/>
      <c r="X44" s="148"/>
      <c r="Y44" s="148"/>
    </row>
    <row r="45" ht="31.5" customHeight="1">
      <c r="A45" s="201">
        <v>31.0</v>
      </c>
      <c r="B45" s="201" t="s">
        <v>17</v>
      </c>
      <c r="C45" s="186" t="s">
        <v>202</v>
      </c>
      <c r="D45" s="186" t="s">
        <v>195</v>
      </c>
      <c r="E45" s="186" t="s">
        <v>35</v>
      </c>
      <c r="F45" s="201" t="s">
        <v>23</v>
      </c>
      <c r="G45" s="186">
        <v>10.0</v>
      </c>
      <c r="H45" s="201" t="s">
        <v>92</v>
      </c>
      <c r="I45" s="202"/>
      <c r="J45" s="202"/>
      <c r="K45" s="201">
        <v>10.0</v>
      </c>
      <c r="L45" s="201">
        <v>0.0</v>
      </c>
      <c r="M45" s="201">
        <v>10.0</v>
      </c>
      <c r="N45" s="186">
        <v>0.0</v>
      </c>
      <c r="O45" s="186" t="s">
        <v>203</v>
      </c>
      <c r="P45" s="201" t="s">
        <v>70</v>
      </c>
      <c r="Q45" s="148"/>
      <c r="R45" s="148"/>
      <c r="S45" s="148"/>
      <c r="T45" s="148"/>
      <c r="U45" s="148"/>
      <c r="V45" s="148"/>
      <c r="W45" s="148"/>
      <c r="X45" s="148"/>
      <c r="Y45" s="148"/>
    </row>
    <row r="46" ht="31.5" customHeight="1">
      <c r="A46" s="201">
        <v>32.0</v>
      </c>
      <c r="B46" s="201" t="s">
        <v>17</v>
      </c>
      <c r="C46" s="186" t="s">
        <v>204</v>
      </c>
      <c r="D46" s="186" t="s">
        <v>205</v>
      </c>
      <c r="E46" s="186" t="s">
        <v>34</v>
      </c>
      <c r="F46" s="201" t="s">
        <v>23</v>
      </c>
      <c r="G46" s="186">
        <v>30.0</v>
      </c>
      <c r="H46" s="201" t="s">
        <v>76</v>
      </c>
      <c r="I46" s="202">
        <v>46111.0</v>
      </c>
      <c r="J46" s="202">
        <v>46160.0</v>
      </c>
      <c r="K46" s="201">
        <v>65.0</v>
      </c>
      <c r="L46" s="201">
        <v>0.0</v>
      </c>
      <c r="M46" s="201">
        <v>65.0</v>
      </c>
      <c r="N46" s="186">
        <f t="shared" ref="N46:N48" si="3">K46-L46-M46</f>
        <v>0</v>
      </c>
      <c r="O46" s="186" t="s">
        <v>151</v>
      </c>
      <c r="P46" s="201" t="s">
        <v>70</v>
      </c>
      <c r="Q46" s="148"/>
      <c r="R46" s="148"/>
      <c r="S46" s="148"/>
      <c r="T46" s="148"/>
      <c r="U46" s="148"/>
      <c r="V46" s="148"/>
      <c r="W46" s="148"/>
      <c r="X46" s="148"/>
      <c r="Y46" s="148"/>
    </row>
    <row r="47" ht="31.5" customHeight="1">
      <c r="A47" s="201">
        <v>33.0</v>
      </c>
      <c r="B47" s="201" t="s">
        <v>17</v>
      </c>
      <c r="C47" s="186" t="s">
        <v>185</v>
      </c>
      <c r="D47" s="186" t="s">
        <v>206</v>
      </c>
      <c r="E47" s="186" t="s">
        <v>34</v>
      </c>
      <c r="F47" s="186" t="s">
        <v>22</v>
      </c>
      <c r="G47" s="186">
        <v>20.0</v>
      </c>
      <c r="H47" s="186" t="s">
        <v>92</v>
      </c>
      <c r="I47" s="202">
        <v>46091.0</v>
      </c>
      <c r="J47" s="202">
        <v>46106.0</v>
      </c>
      <c r="K47" s="201">
        <v>40.0</v>
      </c>
      <c r="L47" s="201">
        <v>0.0</v>
      </c>
      <c r="M47" s="201">
        <v>40.0</v>
      </c>
      <c r="N47" s="186">
        <f t="shared" si="3"/>
        <v>0</v>
      </c>
      <c r="O47" s="186" t="s">
        <v>207</v>
      </c>
      <c r="P47" s="201" t="s">
        <v>70</v>
      </c>
      <c r="Q47" s="148"/>
      <c r="R47" s="148"/>
      <c r="S47" s="148"/>
      <c r="T47" s="148"/>
      <c r="U47" s="148"/>
      <c r="V47" s="148"/>
      <c r="W47" s="148"/>
      <c r="X47" s="148"/>
      <c r="Y47" s="148"/>
    </row>
    <row r="48" ht="31.5" customHeight="1">
      <c r="A48" s="201">
        <v>34.0</v>
      </c>
      <c r="B48" s="201" t="s">
        <v>17</v>
      </c>
      <c r="C48" s="186" t="s">
        <v>208</v>
      </c>
      <c r="D48" s="186" t="s">
        <v>209</v>
      </c>
      <c r="E48" s="186" t="s">
        <v>35</v>
      </c>
      <c r="F48" s="186" t="s">
        <v>19</v>
      </c>
      <c r="G48" s="186">
        <v>30.0</v>
      </c>
      <c r="H48" s="201" t="s">
        <v>92</v>
      </c>
      <c r="I48" s="202"/>
      <c r="J48" s="202"/>
      <c r="K48" s="201">
        <v>65.0</v>
      </c>
      <c r="L48" s="201">
        <v>0.0</v>
      </c>
      <c r="M48" s="201">
        <v>65.0</v>
      </c>
      <c r="N48" s="186">
        <f t="shared" si="3"/>
        <v>0</v>
      </c>
      <c r="O48" s="186" t="s">
        <v>161</v>
      </c>
      <c r="P48" s="201" t="s">
        <v>70</v>
      </c>
      <c r="Q48" s="148"/>
      <c r="R48" s="148"/>
      <c r="S48" s="148"/>
      <c r="T48" s="148"/>
      <c r="U48" s="148"/>
      <c r="V48" s="148"/>
      <c r="W48" s="148"/>
      <c r="X48" s="148"/>
      <c r="Y48" s="148"/>
    </row>
    <row r="49" ht="31.5" customHeight="1">
      <c r="A49" s="201">
        <v>35.0</v>
      </c>
      <c r="B49" s="201" t="s">
        <v>17</v>
      </c>
      <c r="C49" s="186" t="s">
        <v>208</v>
      </c>
      <c r="D49" s="186" t="s">
        <v>210</v>
      </c>
      <c r="E49" s="186" t="s">
        <v>34</v>
      </c>
      <c r="F49" s="186" t="s">
        <v>23</v>
      </c>
      <c r="G49" s="186">
        <v>20.0</v>
      </c>
      <c r="H49" s="201" t="s">
        <v>76</v>
      </c>
      <c r="I49" s="202">
        <v>46128.0</v>
      </c>
      <c r="J49" s="202">
        <v>46142.0</v>
      </c>
      <c r="K49" s="201">
        <v>40.0</v>
      </c>
      <c r="L49" s="201">
        <v>0.0</v>
      </c>
      <c r="M49" s="201">
        <v>40.0</v>
      </c>
      <c r="N49" s="186">
        <v>0.0</v>
      </c>
      <c r="O49" s="186" t="s">
        <v>141</v>
      </c>
      <c r="P49" s="201" t="s">
        <v>70</v>
      </c>
      <c r="Q49" s="148"/>
      <c r="R49" s="148"/>
      <c r="S49" s="148"/>
      <c r="T49" s="148"/>
      <c r="U49" s="148"/>
      <c r="V49" s="148"/>
      <c r="W49" s="148"/>
      <c r="X49" s="148"/>
      <c r="Y49" s="148"/>
    </row>
    <row r="50" ht="31.5" customHeight="1">
      <c r="A50" s="201">
        <v>36.0</v>
      </c>
      <c r="B50" s="201" t="s">
        <v>17</v>
      </c>
      <c r="C50" s="186" t="s">
        <v>187</v>
      </c>
      <c r="D50" s="186" t="s">
        <v>211</v>
      </c>
      <c r="E50" s="186" t="s">
        <v>34</v>
      </c>
      <c r="F50" s="186" t="s">
        <v>22</v>
      </c>
      <c r="G50" s="186">
        <v>30.0</v>
      </c>
      <c r="H50" s="201" t="s">
        <v>76</v>
      </c>
      <c r="I50" s="202">
        <v>46103.0</v>
      </c>
      <c r="J50" s="202">
        <v>46152.0</v>
      </c>
      <c r="K50" s="201">
        <v>65.0</v>
      </c>
      <c r="L50" s="201">
        <v>0.0</v>
      </c>
      <c r="M50" s="201">
        <v>65.0</v>
      </c>
      <c r="N50" s="186">
        <v>0.0</v>
      </c>
      <c r="O50" s="186" t="s">
        <v>212</v>
      </c>
      <c r="P50" s="201" t="s">
        <v>70</v>
      </c>
      <c r="Q50" s="148"/>
      <c r="R50" s="148"/>
      <c r="S50" s="148"/>
      <c r="T50" s="148"/>
      <c r="U50" s="148"/>
      <c r="V50" s="148"/>
      <c r="W50" s="148"/>
      <c r="X50" s="148"/>
      <c r="Y50" s="148"/>
    </row>
    <row r="51" ht="31.5" customHeight="1">
      <c r="A51" s="201">
        <v>37.0</v>
      </c>
      <c r="B51" s="201" t="s">
        <v>17</v>
      </c>
      <c r="C51" s="186" t="s">
        <v>191</v>
      </c>
      <c r="D51" s="186" t="s">
        <v>213</v>
      </c>
      <c r="E51" s="186" t="s">
        <v>34</v>
      </c>
      <c r="F51" s="186" t="s">
        <v>22</v>
      </c>
      <c r="G51" s="186">
        <v>20.0</v>
      </c>
      <c r="H51" s="201" t="s">
        <v>92</v>
      </c>
      <c r="I51" s="202">
        <v>46092.0</v>
      </c>
      <c r="J51" s="202">
        <v>46107.0</v>
      </c>
      <c r="K51" s="201">
        <v>40.0</v>
      </c>
      <c r="L51" s="201">
        <v>0.0</v>
      </c>
      <c r="M51" s="201">
        <v>40.0</v>
      </c>
      <c r="N51" s="186">
        <f>K51-L51-M51</f>
        <v>0</v>
      </c>
      <c r="O51" s="186" t="s">
        <v>214</v>
      </c>
      <c r="P51" s="201" t="s">
        <v>70</v>
      </c>
      <c r="Q51" s="148"/>
      <c r="R51" s="148"/>
      <c r="S51" s="148"/>
      <c r="T51" s="148"/>
      <c r="U51" s="148"/>
      <c r="V51" s="148"/>
      <c r="W51" s="148"/>
      <c r="X51" s="148"/>
      <c r="Y51" s="148"/>
    </row>
    <row r="52" ht="31.5" customHeight="1">
      <c r="A52" s="201">
        <v>38.0</v>
      </c>
      <c r="B52" s="201" t="s">
        <v>17</v>
      </c>
      <c r="C52" s="186" t="s">
        <v>191</v>
      </c>
      <c r="D52" s="186" t="s">
        <v>215</v>
      </c>
      <c r="E52" s="186" t="s">
        <v>34</v>
      </c>
      <c r="F52" s="186" t="s">
        <v>23</v>
      </c>
      <c r="G52" s="186">
        <v>30.0</v>
      </c>
      <c r="H52" s="201" t="s">
        <v>76</v>
      </c>
      <c r="I52" s="202">
        <v>46111.0</v>
      </c>
      <c r="J52" s="202">
        <v>46160.0</v>
      </c>
      <c r="K52" s="201">
        <v>65.0</v>
      </c>
      <c r="L52" s="201">
        <v>0.0</v>
      </c>
      <c r="M52" s="201">
        <v>65.0</v>
      </c>
      <c r="N52" s="201">
        <v>0.0</v>
      </c>
      <c r="O52" s="186" t="s">
        <v>151</v>
      </c>
      <c r="P52" s="201" t="s">
        <v>70</v>
      </c>
      <c r="Q52" s="148"/>
      <c r="R52" s="148"/>
      <c r="S52" s="148"/>
      <c r="T52" s="148"/>
      <c r="U52" s="148"/>
      <c r="V52" s="148"/>
      <c r="W52" s="148"/>
      <c r="X52" s="148"/>
      <c r="Y52" s="148"/>
    </row>
    <row r="53" ht="31.5" customHeight="1">
      <c r="A53" s="201">
        <v>39.0</v>
      </c>
      <c r="B53" s="201" t="s">
        <v>17</v>
      </c>
      <c r="C53" s="186" t="s">
        <v>216</v>
      </c>
      <c r="D53" s="186" t="s">
        <v>217</v>
      </c>
      <c r="E53" s="186" t="s">
        <v>34</v>
      </c>
      <c r="F53" s="186" t="s">
        <v>23</v>
      </c>
      <c r="G53" s="186">
        <v>25.0</v>
      </c>
      <c r="H53" s="201" t="s">
        <v>92</v>
      </c>
      <c r="I53" s="202">
        <v>46079.0</v>
      </c>
      <c r="J53" s="202">
        <v>46108.0</v>
      </c>
      <c r="K53" s="201">
        <v>50.0</v>
      </c>
      <c r="L53" s="201">
        <v>0.0</v>
      </c>
      <c r="M53" s="201">
        <v>50.0</v>
      </c>
      <c r="N53" s="186">
        <f>K53-L53-M53</f>
        <v>0</v>
      </c>
      <c r="O53" s="186" t="s">
        <v>218</v>
      </c>
      <c r="P53" s="201" t="s">
        <v>70</v>
      </c>
      <c r="Q53" s="148"/>
      <c r="R53" s="148"/>
      <c r="S53" s="148"/>
      <c r="T53" s="148"/>
      <c r="U53" s="148"/>
      <c r="V53" s="148"/>
      <c r="W53" s="148"/>
      <c r="X53" s="148"/>
      <c r="Y53" s="148"/>
    </row>
    <row r="54" ht="31.5" customHeight="1">
      <c r="A54" s="201">
        <v>40.0</v>
      </c>
      <c r="B54" s="201" t="s">
        <v>17</v>
      </c>
      <c r="C54" s="186" t="s">
        <v>219</v>
      </c>
      <c r="D54" s="186" t="s">
        <v>220</v>
      </c>
      <c r="E54" s="186" t="s">
        <v>34</v>
      </c>
      <c r="F54" s="186" t="s">
        <v>23</v>
      </c>
      <c r="G54" s="186">
        <v>25.0</v>
      </c>
      <c r="H54" s="201" t="s">
        <v>92</v>
      </c>
      <c r="I54" s="202">
        <v>46078.0</v>
      </c>
      <c r="J54" s="202">
        <v>46107.0</v>
      </c>
      <c r="K54" s="201">
        <v>50.0</v>
      </c>
      <c r="L54" s="201">
        <v>0.0</v>
      </c>
      <c r="M54" s="201">
        <v>50.0</v>
      </c>
      <c r="N54" s="186">
        <v>0.0</v>
      </c>
      <c r="O54" s="186" t="s">
        <v>179</v>
      </c>
      <c r="P54" s="201" t="s">
        <v>70</v>
      </c>
      <c r="Q54" s="148"/>
      <c r="R54" s="148"/>
      <c r="S54" s="148"/>
      <c r="T54" s="148"/>
      <c r="U54" s="148"/>
      <c r="V54" s="148"/>
      <c r="W54" s="148"/>
      <c r="X54" s="148"/>
      <c r="Y54" s="148"/>
    </row>
    <row r="55" ht="31.5" customHeight="1">
      <c r="A55" s="201">
        <v>41.0</v>
      </c>
      <c r="B55" s="201" t="s">
        <v>17</v>
      </c>
      <c r="C55" s="186" t="s">
        <v>221</v>
      </c>
      <c r="D55" s="186" t="s">
        <v>222</v>
      </c>
      <c r="E55" s="186" t="s">
        <v>34</v>
      </c>
      <c r="F55" s="186" t="s">
        <v>23</v>
      </c>
      <c r="G55" s="186">
        <v>25.0</v>
      </c>
      <c r="H55" s="201" t="s">
        <v>76</v>
      </c>
      <c r="I55" s="202">
        <v>46111.0</v>
      </c>
      <c r="J55" s="202">
        <v>46140.0</v>
      </c>
      <c r="K55" s="201">
        <v>50.0</v>
      </c>
      <c r="L55" s="201">
        <v>0.0</v>
      </c>
      <c r="M55" s="201">
        <v>50.0</v>
      </c>
      <c r="N55" s="186">
        <f t="shared" ref="N55:N59" si="4">K55-L55-M55</f>
        <v>0</v>
      </c>
      <c r="O55" s="186" t="s">
        <v>151</v>
      </c>
      <c r="P55" s="201" t="s">
        <v>70</v>
      </c>
      <c r="Q55" s="148"/>
      <c r="R55" s="148"/>
      <c r="S55" s="148"/>
      <c r="T55" s="148"/>
      <c r="U55" s="148"/>
      <c r="V55" s="148"/>
      <c r="W55" s="148"/>
      <c r="X55" s="148"/>
      <c r="Y55" s="148"/>
    </row>
    <row r="56" ht="31.5" customHeight="1">
      <c r="A56" s="201">
        <v>42.0</v>
      </c>
      <c r="B56" s="205" t="s">
        <v>17</v>
      </c>
      <c r="C56" s="206" t="s">
        <v>223</v>
      </c>
      <c r="D56" s="207" t="s">
        <v>222</v>
      </c>
      <c r="E56" s="207" t="s">
        <v>34</v>
      </c>
      <c r="F56" s="207" t="s">
        <v>23</v>
      </c>
      <c r="G56" s="207">
        <v>25.0</v>
      </c>
      <c r="H56" s="208" t="s">
        <v>76</v>
      </c>
      <c r="I56" s="209">
        <v>46111.0</v>
      </c>
      <c r="J56" s="209">
        <v>46140.0</v>
      </c>
      <c r="K56" s="208">
        <v>50.0</v>
      </c>
      <c r="L56" s="208">
        <v>0.0</v>
      </c>
      <c r="M56" s="205">
        <v>50.0</v>
      </c>
      <c r="N56" s="186">
        <f t="shared" si="4"/>
        <v>0</v>
      </c>
      <c r="O56" s="207" t="s">
        <v>151</v>
      </c>
      <c r="P56" s="210" t="s">
        <v>70</v>
      </c>
      <c r="Q56" s="158"/>
      <c r="R56" s="158"/>
      <c r="S56" s="158"/>
      <c r="T56" s="158"/>
      <c r="U56" s="158"/>
      <c r="V56" s="158"/>
      <c r="W56" s="158"/>
      <c r="X56" s="158"/>
      <c r="Y56" s="158"/>
    </row>
    <row r="57" ht="31.5" customHeight="1">
      <c r="A57" s="201">
        <v>43.0</v>
      </c>
      <c r="B57" s="201" t="s">
        <v>17</v>
      </c>
      <c r="C57" s="186" t="s">
        <v>216</v>
      </c>
      <c r="D57" s="186" t="s">
        <v>224</v>
      </c>
      <c r="E57" s="186" t="s">
        <v>35</v>
      </c>
      <c r="F57" s="186" t="s">
        <v>21</v>
      </c>
      <c r="G57" s="186">
        <v>8.0</v>
      </c>
      <c r="H57" s="201" t="s">
        <v>92</v>
      </c>
      <c r="I57" s="202"/>
      <c r="J57" s="202"/>
      <c r="K57" s="201">
        <v>8.0</v>
      </c>
      <c r="L57" s="201">
        <v>0.0</v>
      </c>
      <c r="M57" s="201">
        <v>8.0</v>
      </c>
      <c r="N57" s="186">
        <f t="shared" si="4"/>
        <v>0</v>
      </c>
      <c r="O57" s="186" t="s">
        <v>146</v>
      </c>
      <c r="P57" s="201" t="s">
        <v>70</v>
      </c>
      <c r="Q57" s="148"/>
      <c r="R57" s="148"/>
      <c r="S57" s="148"/>
      <c r="T57" s="148"/>
      <c r="U57" s="148"/>
      <c r="V57" s="148"/>
      <c r="W57" s="148"/>
      <c r="X57" s="148"/>
      <c r="Y57" s="148"/>
    </row>
    <row r="58" ht="31.5" customHeight="1">
      <c r="A58" s="201">
        <v>44.0</v>
      </c>
      <c r="B58" s="201" t="s">
        <v>17</v>
      </c>
      <c r="C58" s="186" t="s">
        <v>216</v>
      </c>
      <c r="D58" s="186" t="s">
        <v>225</v>
      </c>
      <c r="E58" s="186" t="s">
        <v>35</v>
      </c>
      <c r="F58" s="186" t="s">
        <v>28</v>
      </c>
      <c r="G58" s="186">
        <v>8.0</v>
      </c>
      <c r="H58" s="201" t="s">
        <v>92</v>
      </c>
      <c r="I58" s="202"/>
      <c r="J58" s="202"/>
      <c r="K58" s="201">
        <v>8.0</v>
      </c>
      <c r="L58" s="201">
        <v>0.0</v>
      </c>
      <c r="M58" s="201">
        <v>8.0</v>
      </c>
      <c r="N58" s="186">
        <f t="shared" si="4"/>
        <v>0</v>
      </c>
      <c r="O58" s="186" t="s">
        <v>146</v>
      </c>
      <c r="P58" s="201" t="s">
        <v>70</v>
      </c>
      <c r="Q58" s="148"/>
      <c r="R58" s="148"/>
      <c r="S58" s="148"/>
      <c r="T58" s="148"/>
      <c r="U58" s="148"/>
      <c r="V58" s="148"/>
      <c r="W58" s="148"/>
      <c r="X58" s="148"/>
      <c r="Y58" s="148"/>
    </row>
    <row r="59" ht="31.5" customHeight="1">
      <c r="A59" s="201">
        <v>45.0</v>
      </c>
      <c r="B59" s="201" t="s">
        <v>17</v>
      </c>
      <c r="C59" s="186" t="s">
        <v>226</v>
      </c>
      <c r="D59" s="186" t="s">
        <v>225</v>
      </c>
      <c r="E59" s="186" t="s">
        <v>35</v>
      </c>
      <c r="F59" s="186" t="s">
        <v>28</v>
      </c>
      <c r="G59" s="186">
        <v>8.0</v>
      </c>
      <c r="H59" s="201" t="s">
        <v>92</v>
      </c>
      <c r="I59" s="202"/>
      <c r="J59" s="202"/>
      <c r="K59" s="201">
        <v>8.0</v>
      </c>
      <c r="L59" s="201">
        <v>0.0</v>
      </c>
      <c r="M59" s="201">
        <v>8.0</v>
      </c>
      <c r="N59" s="186">
        <f t="shared" si="4"/>
        <v>0</v>
      </c>
      <c r="O59" s="186" t="s">
        <v>146</v>
      </c>
      <c r="P59" s="201" t="s">
        <v>70</v>
      </c>
      <c r="Q59" s="148"/>
      <c r="R59" s="148"/>
      <c r="S59" s="148"/>
      <c r="T59" s="148"/>
      <c r="U59" s="148"/>
      <c r="V59" s="148"/>
      <c r="W59" s="148"/>
      <c r="X59" s="148"/>
      <c r="Y59" s="148"/>
    </row>
    <row r="60" ht="30.0" customHeight="1">
      <c r="A60" s="201"/>
      <c r="B60" s="187"/>
      <c r="C60" s="186"/>
      <c r="D60" s="186"/>
      <c r="E60" s="186"/>
      <c r="F60" s="186"/>
      <c r="G60" s="186"/>
      <c r="H60" s="186"/>
      <c r="I60" s="188"/>
      <c r="J60" s="188"/>
      <c r="K60" s="186"/>
      <c r="L60" s="186"/>
      <c r="M60" s="186"/>
      <c r="N60" s="189"/>
      <c r="O60" s="186"/>
      <c r="P60" s="186"/>
      <c r="Q60" s="168"/>
      <c r="R60" s="168"/>
      <c r="S60" s="168"/>
      <c r="T60" s="168"/>
      <c r="U60" s="168"/>
      <c r="V60" s="168"/>
      <c r="W60" s="168"/>
      <c r="X60" s="168"/>
      <c r="Y60" s="168"/>
    </row>
    <row r="61" ht="31.5" customHeight="1">
      <c r="A61" s="201"/>
      <c r="B61" s="186"/>
      <c r="C61" s="186"/>
      <c r="D61" s="186"/>
      <c r="E61" s="186"/>
      <c r="F61" s="186"/>
      <c r="G61" s="186"/>
      <c r="H61" s="186"/>
      <c r="I61" s="202"/>
      <c r="J61" s="202"/>
      <c r="K61" s="201"/>
      <c r="L61" s="201"/>
      <c r="M61" s="201"/>
      <c r="N61" s="186"/>
      <c r="O61" s="186"/>
      <c r="P61" s="201"/>
      <c r="Q61" s="148"/>
      <c r="R61" s="148"/>
      <c r="S61" s="148"/>
      <c r="T61" s="148"/>
      <c r="U61" s="148"/>
      <c r="V61" s="148"/>
      <c r="W61" s="148"/>
      <c r="X61" s="148"/>
      <c r="Y61" s="148"/>
    </row>
    <row r="62" ht="30.0" customHeight="1">
      <c r="A62" s="208"/>
      <c r="B62" s="206"/>
      <c r="C62" s="207"/>
      <c r="D62" s="207"/>
      <c r="E62" s="207"/>
      <c r="F62" s="207"/>
      <c r="G62" s="207"/>
      <c r="H62" s="208"/>
      <c r="I62" s="211"/>
      <c r="J62" s="211"/>
      <c r="K62" s="208"/>
      <c r="L62" s="208"/>
      <c r="M62" s="208"/>
      <c r="N62" s="212"/>
      <c r="O62" s="207"/>
      <c r="P62" s="208"/>
      <c r="Q62" s="158"/>
      <c r="R62" s="158"/>
      <c r="S62" s="158"/>
      <c r="T62" s="158"/>
      <c r="U62" s="158"/>
      <c r="V62" s="158"/>
      <c r="W62" s="158"/>
      <c r="X62" s="158"/>
      <c r="Y62" s="158"/>
    </row>
    <row r="63" ht="30.0" customHeight="1">
      <c r="A63" s="208"/>
      <c r="B63" s="206"/>
      <c r="C63" s="207"/>
      <c r="D63" s="207"/>
      <c r="E63" s="207"/>
      <c r="F63" s="207"/>
      <c r="G63" s="207"/>
      <c r="H63" s="208"/>
      <c r="I63" s="211"/>
      <c r="J63" s="211"/>
      <c r="K63" s="208"/>
      <c r="L63" s="208"/>
      <c r="M63" s="208"/>
      <c r="N63" s="212"/>
      <c r="O63" s="207"/>
      <c r="P63" s="208"/>
      <c r="Q63" s="158"/>
      <c r="R63" s="158"/>
      <c r="S63" s="158"/>
      <c r="T63" s="158"/>
      <c r="U63" s="158"/>
      <c r="V63" s="158"/>
      <c r="W63" s="158"/>
      <c r="X63" s="158"/>
      <c r="Y63" s="158"/>
    </row>
    <row r="64" ht="30.0" customHeight="1">
      <c r="A64" s="208"/>
      <c r="B64" s="207"/>
      <c r="C64" s="207"/>
      <c r="D64" s="213"/>
      <c r="E64" s="207"/>
      <c r="F64" s="207"/>
      <c r="G64" s="207"/>
      <c r="H64" s="208"/>
      <c r="I64" s="211"/>
      <c r="J64" s="211"/>
      <c r="K64" s="208"/>
      <c r="L64" s="208"/>
      <c r="M64" s="208"/>
      <c r="N64" s="212"/>
      <c r="O64" s="207"/>
      <c r="P64" s="208"/>
      <c r="Q64" s="158"/>
      <c r="R64" s="158"/>
      <c r="S64" s="158"/>
      <c r="T64" s="158"/>
      <c r="U64" s="158"/>
      <c r="V64" s="158"/>
      <c r="W64" s="158"/>
      <c r="X64" s="158"/>
      <c r="Y64" s="158"/>
    </row>
    <row r="65" ht="30.0" customHeight="1">
      <c r="A65" s="208"/>
      <c r="B65" s="207"/>
      <c r="C65" s="207"/>
      <c r="D65" s="213"/>
      <c r="E65" s="207"/>
      <c r="F65" s="207"/>
      <c r="G65" s="207"/>
      <c r="H65" s="208"/>
      <c r="I65" s="211"/>
      <c r="J65" s="211"/>
      <c r="K65" s="208"/>
      <c r="L65" s="208"/>
      <c r="M65" s="208"/>
      <c r="N65" s="212"/>
      <c r="O65" s="207"/>
      <c r="P65" s="208"/>
      <c r="Q65" s="158"/>
      <c r="R65" s="158"/>
      <c r="S65" s="158"/>
      <c r="T65" s="158"/>
      <c r="U65" s="158"/>
      <c r="V65" s="158"/>
      <c r="W65" s="158"/>
      <c r="X65" s="158"/>
      <c r="Y65" s="158"/>
    </row>
    <row r="66" ht="30.0" customHeight="1">
      <c r="A66" s="208"/>
      <c r="B66" s="207"/>
      <c r="C66" s="207"/>
      <c r="D66" s="213"/>
      <c r="E66" s="207"/>
      <c r="F66" s="207"/>
      <c r="G66" s="207"/>
      <c r="H66" s="208"/>
      <c r="I66" s="211"/>
      <c r="J66" s="211"/>
      <c r="K66" s="208"/>
      <c r="L66" s="208"/>
      <c r="M66" s="208"/>
      <c r="N66" s="212"/>
      <c r="O66" s="207"/>
      <c r="P66" s="208"/>
      <c r="Q66" s="158"/>
      <c r="R66" s="158"/>
      <c r="S66" s="158"/>
      <c r="T66" s="158"/>
      <c r="U66" s="158"/>
      <c r="V66" s="158"/>
      <c r="W66" s="158"/>
      <c r="X66" s="158"/>
      <c r="Y66" s="158"/>
    </row>
    <row r="67" ht="30.0" customHeight="1">
      <c r="A67" s="208"/>
      <c r="B67" s="207"/>
      <c r="C67" s="207"/>
      <c r="D67" s="213"/>
      <c r="E67" s="207"/>
      <c r="F67" s="207"/>
      <c r="G67" s="207"/>
      <c r="H67" s="208"/>
      <c r="I67" s="211"/>
      <c r="J67" s="211"/>
      <c r="K67" s="208"/>
      <c r="L67" s="208"/>
      <c r="M67" s="208"/>
      <c r="N67" s="212"/>
      <c r="O67" s="207"/>
      <c r="P67" s="208"/>
      <c r="Q67" s="158"/>
      <c r="R67" s="158"/>
      <c r="S67" s="158"/>
      <c r="T67" s="158"/>
      <c r="U67" s="158"/>
      <c r="V67" s="158"/>
      <c r="W67" s="158"/>
      <c r="X67" s="158"/>
      <c r="Y67" s="158"/>
    </row>
    <row r="68" ht="30.0" customHeight="1">
      <c r="A68" s="208"/>
      <c r="B68" s="207"/>
      <c r="C68" s="207"/>
      <c r="D68" s="213"/>
      <c r="E68" s="207"/>
      <c r="F68" s="207"/>
      <c r="G68" s="207"/>
      <c r="H68" s="208"/>
      <c r="I68" s="211"/>
      <c r="J68" s="211"/>
      <c r="K68" s="208"/>
      <c r="L68" s="208"/>
      <c r="M68" s="208"/>
      <c r="N68" s="212"/>
      <c r="O68" s="207"/>
      <c r="P68" s="208"/>
      <c r="Q68" s="158"/>
      <c r="R68" s="158"/>
      <c r="S68" s="158"/>
      <c r="T68" s="158"/>
      <c r="U68" s="158"/>
      <c r="V68" s="158"/>
      <c r="W68" s="158"/>
      <c r="X68" s="158"/>
      <c r="Y68" s="158"/>
    </row>
    <row r="69" ht="30.0" customHeight="1">
      <c r="A69" s="208"/>
      <c r="B69" s="207"/>
      <c r="C69" s="207"/>
      <c r="D69" s="213"/>
      <c r="E69" s="207"/>
      <c r="F69" s="207"/>
      <c r="G69" s="207"/>
      <c r="H69" s="208"/>
      <c r="I69" s="211"/>
      <c r="J69" s="211"/>
      <c r="K69" s="208"/>
      <c r="L69" s="208"/>
      <c r="M69" s="208"/>
      <c r="N69" s="212"/>
      <c r="O69" s="207"/>
      <c r="P69" s="208"/>
      <c r="Q69" s="158"/>
      <c r="R69" s="158"/>
      <c r="S69" s="158"/>
      <c r="T69" s="158"/>
      <c r="U69" s="158"/>
      <c r="V69" s="158"/>
      <c r="W69" s="158"/>
      <c r="X69" s="158"/>
      <c r="Y69" s="158"/>
    </row>
    <row r="70" ht="30.0" customHeight="1">
      <c r="A70" s="208"/>
      <c r="B70" s="207"/>
      <c r="C70" s="207"/>
      <c r="D70" s="213"/>
      <c r="E70" s="207"/>
      <c r="F70" s="207"/>
      <c r="G70" s="207"/>
      <c r="H70" s="208"/>
      <c r="I70" s="211"/>
      <c r="J70" s="211"/>
      <c r="K70" s="208"/>
      <c r="L70" s="208"/>
      <c r="M70" s="208"/>
      <c r="N70" s="212"/>
      <c r="O70" s="207"/>
      <c r="P70" s="208"/>
      <c r="Q70" s="158"/>
      <c r="R70" s="158"/>
      <c r="S70" s="158"/>
      <c r="T70" s="158"/>
      <c r="U70" s="158"/>
      <c r="V70" s="158"/>
      <c r="W70" s="158"/>
      <c r="X70" s="158"/>
      <c r="Y70" s="158"/>
    </row>
    <row r="71" ht="30.0" customHeight="1">
      <c r="A71" s="208"/>
      <c r="B71" s="207"/>
      <c r="C71" s="207"/>
      <c r="D71" s="213"/>
      <c r="E71" s="207"/>
      <c r="F71" s="207"/>
      <c r="G71" s="207"/>
      <c r="H71" s="208"/>
      <c r="I71" s="211"/>
      <c r="J71" s="211"/>
      <c r="K71" s="208"/>
      <c r="L71" s="208"/>
      <c r="M71" s="208"/>
      <c r="N71" s="212"/>
      <c r="O71" s="207"/>
      <c r="P71" s="208"/>
      <c r="Q71" s="158"/>
      <c r="R71" s="158"/>
      <c r="S71" s="158"/>
      <c r="T71" s="158"/>
      <c r="U71" s="158"/>
      <c r="V71" s="158"/>
      <c r="W71" s="158"/>
      <c r="X71" s="158"/>
      <c r="Y71" s="158"/>
    </row>
    <row r="72" ht="31.5" customHeight="1">
      <c r="A72" s="201"/>
      <c r="B72" s="186"/>
      <c r="C72" s="186"/>
      <c r="D72" s="168"/>
      <c r="E72" s="186"/>
      <c r="F72" s="186"/>
      <c r="G72" s="186"/>
      <c r="H72" s="186"/>
      <c r="I72" s="202"/>
      <c r="J72" s="202"/>
      <c r="K72" s="201"/>
      <c r="L72" s="201"/>
      <c r="M72" s="201"/>
      <c r="N72" s="186"/>
      <c r="O72" s="186"/>
      <c r="P72" s="201"/>
      <c r="Q72" s="148"/>
      <c r="R72" s="148"/>
      <c r="S72" s="148"/>
      <c r="T72" s="148"/>
      <c r="U72" s="148"/>
      <c r="V72" s="148"/>
      <c r="W72" s="148"/>
      <c r="X72" s="148"/>
      <c r="Y72" s="148"/>
    </row>
    <row r="73" ht="31.5" customHeight="1">
      <c r="A73" s="201"/>
      <c r="B73" s="186"/>
      <c r="C73" s="186"/>
      <c r="D73" s="186"/>
      <c r="E73" s="186"/>
      <c r="F73" s="186"/>
      <c r="G73" s="186"/>
      <c r="H73" s="186"/>
      <c r="I73" s="188"/>
      <c r="J73" s="188"/>
      <c r="K73" s="186"/>
      <c r="L73" s="186"/>
      <c r="M73" s="186"/>
      <c r="N73" s="189"/>
      <c r="O73" s="186"/>
      <c r="P73" s="201"/>
      <c r="Q73" s="148"/>
      <c r="R73" s="148"/>
      <c r="S73" s="148"/>
      <c r="T73" s="148"/>
      <c r="U73" s="148"/>
      <c r="V73" s="148"/>
      <c r="W73" s="148"/>
      <c r="X73" s="148"/>
      <c r="Y73" s="148"/>
    </row>
    <row r="74" ht="31.5" customHeight="1">
      <c r="A74" s="201"/>
      <c r="B74" s="186"/>
      <c r="C74" s="186"/>
      <c r="D74" s="186"/>
      <c r="E74" s="186"/>
      <c r="F74" s="186"/>
      <c r="G74" s="186"/>
      <c r="H74" s="186"/>
      <c r="I74" s="202"/>
      <c r="J74" s="202"/>
      <c r="K74" s="201"/>
      <c r="L74" s="201"/>
      <c r="M74" s="201"/>
      <c r="N74" s="189"/>
      <c r="O74" s="186"/>
      <c r="P74" s="201"/>
      <c r="Q74" s="148"/>
      <c r="R74" s="148"/>
      <c r="S74" s="148"/>
      <c r="T74" s="148"/>
      <c r="U74" s="148"/>
      <c r="V74" s="148"/>
      <c r="W74" s="148"/>
      <c r="X74" s="148"/>
      <c r="Y74" s="148"/>
    </row>
    <row r="75" ht="31.5" customHeight="1">
      <c r="A75" s="208"/>
      <c r="B75" s="206"/>
      <c r="C75" s="207"/>
      <c r="D75" s="213"/>
      <c r="E75" s="207"/>
      <c r="F75" s="207"/>
      <c r="G75" s="207"/>
      <c r="H75" s="207"/>
      <c r="I75" s="209"/>
      <c r="J75" s="209"/>
      <c r="K75" s="208"/>
      <c r="L75" s="208"/>
      <c r="M75" s="208"/>
      <c r="N75" s="212"/>
      <c r="O75" s="207"/>
      <c r="P75" s="208"/>
      <c r="Q75" s="158"/>
      <c r="R75" s="158"/>
      <c r="S75" s="158"/>
      <c r="T75" s="158"/>
      <c r="U75" s="158"/>
      <c r="V75" s="158"/>
      <c r="W75" s="158"/>
      <c r="X75" s="158"/>
      <c r="Y75" s="158"/>
    </row>
    <row r="76" ht="31.5" customHeight="1">
      <c r="A76" s="214"/>
      <c r="B76" s="206"/>
      <c r="C76" s="207"/>
      <c r="D76" s="213"/>
      <c r="E76" s="207"/>
      <c r="F76" s="207"/>
      <c r="G76" s="207"/>
      <c r="H76" s="207"/>
      <c r="I76" s="211"/>
      <c r="J76" s="211"/>
      <c r="K76" s="208"/>
      <c r="L76" s="208"/>
      <c r="M76" s="208"/>
      <c r="N76" s="212"/>
      <c r="O76" s="207"/>
      <c r="P76" s="208"/>
      <c r="Q76" s="158"/>
      <c r="R76" s="158"/>
      <c r="S76" s="158"/>
      <c r="T76" s="158"/>
      <c r="U76" s="158"/>
      <c r="V76" s="158"/>
      <c r="W76" s="158"/>
      <c r="X76" s="158"/>
      <c r="Y76" s="158"/>
    </row>
    <row r="77" ht="31.5" customHeight="1">
      <c r="A77" s="201"/>
      <c r="B77" s="186"/>
      <c r="C77" s="186"/>
      <c r="D77" s="168"/>
      <c r="E77" s="186"/>
      <c r="F77" s="186"/>
      <c r="G77" s="186"/>
      <c r="H77" s="186"/>
      <c r="I77" s="202"/>
      <c r="J77" s="202"/>
      <c r="K77" s="201"/>
      <c r="L77" s="201"/>
      <c r="M77" s="201"/>
      <c r="N77" s="189"/>
      <c r="O77" s="186"/>
      <c r="P77" s="201"/>
      <c r="Q77" s="148"/>
      <c r="R77" s="148"/>
      <c r="S77" s="148"/>
      <c r="T77" s="148"/>
      <c r="U77" s="148"/>
      <c r="V77" s="148"/>
      <c r="W77" s="148"/>
      <c r="X77" s="148"/>
      <c r="Y77" s="148"/>
    </row>
    <row r="78" ht="31.5" customHeight="1">
      <c r="A78" s="201"/>
      <c r="B78" s="186"/>
      <c r="C78" s="186"/>
      <c r="D78" s="168"/>
      <c r="E78" s="186"/>
      <c r="F78" s="186"/>
      <c r="G78" s="186"/>
      <c r="H78" s="186"/>
      <c r="I78" s="202"/>
      <c r="J78" s="202"/>
      <c r="K78" s="201"/>
      <c r="L78" s="201"/>
      <c r="M78" s="201"/>
      <c r="N78" s="186"/>
      <c r="O78" s="186"/>
      <c r="P78" s="201"/>
      <c r="Q78" s="148"/>
      <c r="R78" s="148"/>
      <c r="S78" s="148"/>
      <c r="T78" s="148"/>
      <c r="U78" s="148"/>
      <c r="V78" s="148"/>
      <c r="W78" s="148"/>
      <c r="X78" s="148"/>
      <c r="Y78" s="148"/>
    </row>
    <row r="79" ht="31.5" customHeight="1">
      <c r="A79" s="201"/>
      <c r="B79" s="186"/>
      <c r="C79" s="186"/>
      <c r="D79" s="168"/>
      <c r="E79" s="186"/>
      <c r="F79" s="186"/>
      <c r="G79" s="186"/>
      <c r="H79" s="186"/>
      <c r="I79" s="202"/>
      <c r="J79" s="202"/>
      <c r="K79" s="201"/>
      <c r="L79" s="201"/>
      <c r="M79" s="201"/>
      <c r="N79" s="186"/>
      <c r="O79" s="186"/>
      <c r="P79" s="201"/>
      <c r="Q79" s="148"/>
      <c r="R79" s="148"/>
      <c r="S79" s="148"/>
      <c r="T79" s="148"/>
      <c r="U79" s="148"/>
      <c r="V79" s="148"/>
      <c r="W79" s="148"/>
      <c r="X79" s="148"/>
      <c r="Y79" s="148"/>
    </row>
    <row r="80" ht="31.5" customHeight="1">
      <c r="A80" s="201"/>
      <c r="B80" s="186"/>
      <c r="C80" s="186"/>
      <c r="D80" s="168"/>
      <c r="E80" s="186"/>
      <c r="F80" s="186"/>
      <c r="G80" s="186"/>
      <c r="H80" s="186"/>
      <c r="I80" s="202"/>
      <c r="J80" s="202"/>
      <c r="K80" s="201"/>
      <c r="L80" s="201"/>
      <c r="M80" s="201"/>
      <c r="N80" s="186"/>
      <c r="O80" s="186"/>
      <c r="P80" s="201"/>
      <c r="Q80" s="148"/>
      <c r="R80" s="148"/>
      <c r="S80" s="148"/>
      <c r="T80" s="148"/>
      <c r="U80" s="148"/>
      <c r="V80" s="148"/>
      <c r="W80" s="148"/>
      <c r="X80" s="148"/>
      <c r="Y80" s="148"/>
    </row>
    <row r="81" ht="31.5" customHeight="1">
      <c r="A81" s="201"/>
      <c r="B81" s="186"/>
      <c r="C81" s="186"/>
      <c r="D81" s="168"/>
      <c r="E81" s="186"/>
      <c r="F81" s="186"/>
      <c r="G81" s="186"/>
      <c r="H81" s="186"/>
      <c r="I81" s="202"/>
      <c r="J81" s="202"/>
      <c r="K81" s="201"/>
      <c r="L81" s="201"/>
      <c r="M81" s="201"/>
      <c r="N81" s="189"/>
      <c r="O81" s="186"/>
      <c r="P81" s="201"/>
      <c r="Q81" s="148"/>
      <c r="R81" s="148"/>
      <c r="S81" s="148"/>
      <c r="T81" s="148"/>
      <c r="U81" s="148"/>
      <c r="V81" s="148"/>
      <c r="W81" s="148"/>
      <c r="X81" s="148"/>
      <c r="Y81" s="148"/>
    </row>
    <row r="82" ht="31.5" customHeight="1">
      <c r="A82" s="201"/>
      <c r="B82" s="206"/>
      <c r="C82" s="207"/>
      <c r="D82" s="213"/>
      <c r="E82" s="207"/>
      <c r="F82" s="207"/>
      <c r="G82" s="207"/>
      <c r="H82" s="207"/>
      <c r="I82" s="209"/>
      <c r="J82" s="209"/>
      <c r="K82" s="208"/>
      <c r="L82" s="208"/>
      <c r="M82" s="208"/>
      <c r="N82" s="207"/>
      <c r="O82" s="207"/>
      <c r="P82" s="208"/>
      <c r="Q82" s="158"/>
      <c r="R82" s="158"/>
      <c r="S82" s="158"/>
      <c r="T82" s="158"/>
      <c r="U82" s="158"/>
      <c r="V82" s="158"/>
      <c r="W82" s="158"/>
      <c r="X82" s="158"/>
      <c r="Y82" s="158"/>
    </row>
    <row r="83" ht="31.5" customHeight="1">
      <c r="A83" s="201"/>
      <c r="B83" s="206"/>
      <c r="C83" s="207"/>
      <c r="D83" s="213"/>
      <c r="E83" s="207"/>
      <c r="F83" s="207"/>
      <c r="G83" s="207"/>
      <c r="H83" s="207"/>
      <c r="I83" s="209"/>
      <c r="J83" s="209"/>
      <c r="K83" s="208"/>
      <c r="L83" s="208"/>
      <c r="M83" s="208"/>
      <c r="N83" s="207"/>
      <c r="O83" s="207"/>
      <c r="P83" s="208"/>
      <c r="Q83" s="158"/>
      <c r="R83" s="158"/>
      <c r="S83" s="158"/>
      <c r="T83" s="158"/>
      <c r="U83" s="158"/>
      <c r="V83" s="158"/>
      <c r="W83" s="158"/>
      <c r="X83" s="158"/>
      <c r="Y83" s="158"/>
    </row>
    <row r="84" ht="31.5" customHeight="1">
      <c r="A84" s="214"/>
      <c r="B84" s="206"/>
      <c r="C84" s="207"/>
      <c r="D84" s="213"/>
      <c r="E84" s="207"/>
      <c r="F84" s="207"/>
      <c r="G84" s="207"/>
      <c r="H84" s="207"/>
      <c r="I84" s="211"/>
      <c r="J84" s="211"/>
      <c r="K84" s="208"/>
      <c r="L84" s="208"/>
      <c r="M84" s="208"/>
      <c r="N84" s="207"/>
      <c r="O84" s="207"/>
      <c r="P84" s="205"/>
      <c r="Q84" s="158"/>
      <c r="R84" s="158"/>
      <c r="S84" s="158"/>
      <c r="T84" s="158"/>
      <c r="U84" s="158"/>
      <c r="V84" s="158"/>
      <c r="W84" s="158"/>
      <c r="X84" s="158"/>
      <c r="Y84" s="158"/>
    </row>
    <row r="85" ht="31.5" customHeight="1">
      <c r="A85" s="214"/>
      <c r="B85" s="206"/>
      <c r="C85" s="207"/>
      <c r="D85" s="213"/>
      <c r="E85" s="207"/>
      <c r="F85" s="207"/>
      <c r="G85" s="207"/>
      <c r="H85" s="207"/>
      <c r="I85" s="211"/>
      <c r="J85" s="211"/>
      <c r="K85" s="208"/>
      <c r="L85" s="208"/>
      <c r="M85" s="208"/>
      <c r="N85" s="207"/>
      <c r="O85" s="207"/>
      <c r="P85" s="208"/>
      <c r="Q85" s="158"/>
      <c r="R85" s="158"/>
      <c r="S85" s="158"/>
      <c r="T85" s="158"/>
      <c r="U85" s="158"/>
      <c r="V85" s="158"/>
      <c r="W85" s="158"/>
      <c r="X85" s="158"/>
      <c r="Y85" s="158"/>
    </row>
    <row r="86" ht="31.5" customHeight="1">
      <c r="A86" s="214"/>
      <c r="B86" s="206"/>
      <c r="C86" s="207"/>
      <c r="D86" s="213"/>
      <c r="E86" s="207"/>
      <c r="F86" s="207"/>
      <c r="G86" s="207"/>
      <c r="H86" s="208"/>
      <c r="I86" s="211"/>
      <c r="J86" s="211"/>
      <c r="K86" s="208"/>
      <c r="L86" s="208"/>
      <c r="M86" s="208"/>
      <c r="N86" s="207"/>
      <c r="O86" s="207"/>
      <c r="P86" s="208"/>
      <c r="Q86" s="158"/>
      <c r="R86" s="158"/>
      <c r="S86" s="158"/>
      <c r="T86" s="158"/>
      <c r="U86" s="158"/>
      <c r="V86" s="158"/>
      <c r="W86" s="158"/>
      <c r="X86" s="158"/>
      <c r="Y86" s="158"/>
    </row>
    <row r="87" ht="31.5" customHeight="1">
      <c r="A87" s="201"/>
      <c r="B87" s="186"/>
      <c r="C87" s="186"/>
      <c r="D87" s="168"/>
      <c r="E87" s="186"/>
      <c r="F87" s="186"/>
      <c r="G87" s="186"/>
      <c r="H87" s="201"/>
      <c r="I87" s="202"/>
      <c r="J87" s="202"/>
      <c r="K87" s="201"/>
      <c r="L87" s="201"/>
      <c r="M87" s="186"/>
      <c r="N87" s="186"/>
      <c r="O87" s="186"/>
      <c r="P87" s="201"/>
      <c r="Q87" s="148"/>
      <c r="R87" s="148"/>
      <c r="S87" s="148"/>
      <c r="T87" s="148"/>
      <c r="U87" s="148"/>
      <c r="V87" s="148"/>
      <c r="W87" s="148"/>
      <c r="X87" s="148"/>
      <c r="Y87" s="148"/>
    </row>
    <row r="88" ht="31.5" customHeight="1">
      <c r="A88" s="201"/>
      <c r="B88" s="186"/>
      <c r="C88" s="186"/>
      <c r="D88" s="186"/>
      <c r="E88" s="186"/>
      <c r="F88" s="186"/>
      <c r="G88" s="186"/>
      <c r="H88" s="186"/>
      <c r="I88" s="202"/>
      <c r="J88" s="202"/>
      <c r="K88" s="201"/>
      <c r="L88" s="201"/>
      <c r="M88" s="201"/>
      <c r="N88" s="186"/>
      <c r="O88" s="186"/>
      <c r="P88" s="201"/>
      <c r="Q88" s="148"/>
      <c r="R88" s="148"/>
      <c r="S88" s="148"/>
      <c r="T88" s="148"/>
      <c r="U88" s="148"/>
      <c r="V88" s="148"/>
      <c r="W88" s="148"/>
      <c r="X88" s="148"/>
      <c r="Y88" s="148"/>
    </row>
    <row r="89" ht="31.5" customHeight="1">
      <c r="A89" s="201"/>
      <c r="B89" s="186"/>
      <c r="C89" s="186"/>
      <c r="D89" s="168"/>
      <c r="E89" s="186"/>
      <c r="F89" s="186"/>
      <c r="G89" s="186"/>
      <c r="H89" s="201"/>
      <c r="I89" s="202"/>
      <c r="J89" s="202"/>
      <c r="K89" s="201"/>
      <c r="L89" s="201"/>
      <c r="M89" s="186"/>
      <c r="N89" s="186"/>
      <c r="O89" s="186"/>
      <c r="P89" s="201"/>
      <c r="Q89" s="148"/>
      <c r="R89" s="148"/>
      <c r="S89" s="148"/>
      <c r="T89" s="148"/>
      <c r="U89" s="148"/>
      <c r="V89" s="148"/>
      <c r="W89" s="148"/>
      <c r="X89" s="148"/>
      <c r="Y89" s="148"/>
    </row>
    <row r="90" ht="31.5" customHeight="1">
      <c r="A90" s="201"/>
      <c r="B90" s="186"/>
      <c r="C90" s="186"/>
      <c r="D90" s="168"/>
      <c r="E90" s="186"/>
      <c r="F90" s="186"/>
      <c r="G90" s="186"/>
      <c r="H90" s="201"/>
      <c r="I90" s="202"/>
      <c r="J90" s="202"/>
      <c r="K90" s="201"/>
      <c r="L90" s="201"/>
      <c r="M90" s="186"/>
      <c r="N90" s="186"/>
      <c r="O90" s="186"/>
      <c r="P90" s="201"/>
      <c r="Q90" s="148"/>
      <c r="R90" s="148"/>
      <c r="S90" s="148"/>
      <c r="T90" s="148"/>
      <c r="U90" s="148"/>
      <c r="V90" s="148"/>
      <c r="W90" s="148"/>
      <c r="X90" s="148"/>
      <c r="Y90" s="148"/>
    </row>
    <row r="91" ht="31.5" customHeight="1">
      <c r="A91" s="201"/>
      <c r="B91" s="186"/>
      <c r="C91" s="186"/>
      <c r="D91" s="168"/>
      <c r="E91" s="186"/>
      <c r="F91" s="186"/>
      <c r="G91" s="186"/>
      <c r="H91" s="201"/>
      <c r="I91" s="202"/>
      <c r="J91" s="202"/>
      <c r="K91" s="201"/>
      <c r="L91" s="201"/>
      <c r="M91" s="201"/>
      <c r="N91" s="186"/>
      <c r="O91" s="186"/>
      <c r="P91" s="201"/>
      <c r="Q91" s="148"/>
      <c r="R91" s="148"/>
      <c r="S91" s="148"/>
      <c r="T91" s="148"/>
      <c r="U91" s="148"/>
      <c r="V91" s="148"/>
      <c r="W91" s="148"/>
      <c r="X91" s="148"/>
      <c r="Y91" s="148"/>
    </row>
    <row r="92" ht="31.5" customHeight="1">
      <c r="A92" s="201"/>
      <c r="B92" s="186"/>
      <c r="C92" s="186"/>
      <c r="D92" s="168"/>
      <c r="E92" s="186"/>
      <c r="F92" s="186"/>
      <c r="G92" s="186"/>
      <c r="H92" s="201"/>
      <c r="I92" s="202"/>
      <c r="J92" s="202"/>
      <c r="K92" s="201"/>
      <c r="L92" s="201"/>
      <c r="M92" s="201"/>
      <c r="N92" s="186"/>
      <c r="O92" s="186"/>
      <c r="P92" s="201"/>
      <c r="Q92" s="148"/>
      <c r="R92" s="148"/>
      <c r="S92" s="148"/>
      <c r="T92" s="148"/>
      <c r="U92" s="148"/>
      <c r="V92" s="148"/>
      <c r="W92" s="148"/>
      <c r="X92" s="148"/>
      <c r="Y92" s="148"/>
    </row>
    <row r="93" ht="31.5" customHeight="1">
      <c r="A93" s="201"/>
      <c r="B93" s="186"/>
      <c r="C93" s="186"/>
      <c r="D93" s="186"/>
      <c r="E93" s="186"/>
      <c r="F93" s="186"/>
      <c r="G93" s="186"/>
      <c r="H93" s="201"/>
      <c r="I93" s="188"/>
      <c r="J93" s="188"/>
      <c r="K93" s="186"/>
      <c r="L93" s="186"/>
      <c r="M93" s="186"/>
      <c r="N93" s="189"/>
      <c r="O93" s="186"/>
      <c r="P93" s="201"/>
      <c r="Q93" s="148"/>
      <c r="R93" s="148"/>
      <c r="S93" s="148"/>
      <c r="T93" s="148"/>
      <c r="U93" s="148"/>
      <c r="V93" s="148"/>
      <c r="W93" s="148"/>
      <c r="X93" s="148"/>
      <c r="Y93" s="148"/>
    </row>
    <row r="94" ht="31.5" customHeight="1">
      <c r="A94" s="208"/>
      <c r="B94" s="206"/>
      <c r="C94" s="207"/>
      <c r="D94" s="213"/>
      <c r="E94" s="207"/>
      <c r="F94" s="207"/>
      <c r="G94" s="207"/>
      <c r="H94" s="208"/>
      <c r="I94" s="211"/>
      <c r="J94" s="211"/>
      <c r="K94" s="208"/>
      <c r="L94" s="208"/>
      <c r="M94" s="207"/>
      <c r="N94" s="212"/>
      <c r="O94" s="207"/>
      <c r="P94" s="208"/>
      <c r="Q94" s="158"/>
      <c r="R94" s="158"/>
      <c r="S94" s="158"/>
      <c r="T94" s="158"/>
      <c r="U94" s="158"/>
      <c r="V94" s="158"/>
      <c r="W94" s="158"/>
      <c r="X94" s="158"/>
      <c r="Y94" s="158"/>
    </row>
    <row r="95" ht="31.5" customHeight="1">
      <c r="A95" s="208"/>
      <c r="B95" s="206"/>
      <c r="C95" s="207"/>
      <c r="D95" s="207"/>
      <c r="E95" s="207"/>
      <c r="F95" s="207"/>
      <c r="G95" s="207"/>
      <c r="H95" s="208"/>
      <c r="I95" s="209"/>
      <c r="J95" s="209"/>
      <c r="K95" s="208"/>
      <c r="L95" s="208"/>
      <c r="M95" s="207"/>
      <c r="N95" s="212"/>
      <c r="O95" s="207"/>
      <c r="P95" s="208"/>
      <c r="Q95" s="158"/>
      <c r="R95" s="158"/>
      <c r="S95" s="158"/>
      <c r="T95" s="158"/>
      <c r="U95" s="158"/>
      <c r="V95" s="158"/>
      <c r="W95" s="158"/>
      <c r="X95" s="158"/>
      <c r="Y95" s="158"/>
    </row>
    <row r="96" ht="31.5" customHeight="1">
      <c r="A96" s="208"/>
      <c r="B96" s="206"/>
      <c r="C96" s="207"/>
      <c r="D96" s="213"/>
      <c r="E96" s="207"/>
      <c r="F96" s="207"/>
      <c r="G96" s="207"/>
      <c r="H96" s="208"/>
      <c r="I96" s="211"/>
      <c r="J96" s="211"/>
      <c r="K96" s="208"/>
      <c r="L96" s="208"/>
      <c r="M96" s="208"/>
      <c r="N96" s="212"/>
      <c r="O96" s="207"/>
      <c r="P96" s="208"/>
      <c r="Q96" s="158"/>
      <c r="R96" s="158"/>
      <c r="S96" s="158"/>
      <c r="T96" s="158"/>
      <c r="U96" s="158"/>
      <c r="V96" s="158"/>
      <c r="W96" s="158"/>
      <c r="X96" s="158"/>
      <c r="Y96" s="158"/>
    </row>
    <row r="97" ht="31.5" customHeight="1">
      <c r="A97" s="208"/>
      <c r="B97" s="206"/>
      <c r="C97" s="207"/>
      <c r="D97" s="213"/>
      <c r="E97" s="207"/>
      <c r="F97" s="207"/>
      <c r="G97" s="207"/>
      <c r="H97" s="208"/>
      <c r="I97" s="211"/>
      <c r="J97" s="211"/>
      <c r="K97" s="208"/>
      <c r="L97" s="208"/>
      <c r="M97" s="208"/>
      <c r="N97" s="212"/>
      <c r="O97" s="207"/>
      <c r="P97" s="208"/>
      <c r="Q97" s="158"/>
      <c r="R97" s="158"/>
      <c r="S97" s="158"/>
      <c r="T97" s="158"/>
      <c r="U97" s="158"/>
      <c r="V97" s="158"/>
      <c r="W97" s="158"/>
      <c r="X97" s="158"/>
      <c r="Y97" s="158"/>
    </row>
    <row r="98" ht="31.5" customHeight="1">
      <c r="A98" s="208"/>
      <c r="B98" s="206"/>
      <c r="C98" s="207"/>
      <c r="D98" s="213"/>
      <c r="E98" s="207"/>
      <c r="F98" s="207"/>
      <c r="G98" s="207"/>
      <c r="H98" s="208"/>
      <c r="I98" s="211"/>
      <c r="J98" s="211"/>
      <c r="K98" s="208"/>
      <c r="L98" s="208"/>
      <c r="M98" s="208"/>
      <c r="N98" s="212"/>
      <c r="O98" s="207"/>
      <c r="P98" s="208"/>
      <c r="Q98" s="158"/>
      <c r="R98" s="158"/>
      <c r="S98" s="158"/>
      <c r="T98" s="158"/>
      <c r="U98" s="158"/>
      <c r="V98" s="158"/>
      <c r="W98" s="158"/>
      <c r="X98" s="158"/>
      <c r="Y98" s="158"/>
    </row>
    <row r="99" ht="31.5" customHeight="1">
      <c r="A99" s="201"/>
      <c r="B99" s="186"/>
      <c r="C99" s="186"/>
      <c r="D99" s="168"/>
      <c r="E99" s="186"/>
      <c r="F99" s="186"/>
      <c r="G99" s="186"/>
      <c r="H99" s="201"/>
      <c r="I99" s="202"/>
      <c r="J99" s="202"/>
      <c r="K99" s="201"/>
      <c r="L99" s="201"/>
      <c r="M99" s="201"/>
      <c r="N99" s="186"/>
      <c r="O99" s="186"/>
      <c r="P99" s="201"/>
      <c r="Q99" s="148"/>
      <c r="R99" s="148"/>
      <c r="S99" s="148"/>
      <c r="T99" s="148"/>
      <c r="U99" s="148"/>
      <c r="V99" s="148"/>
      <c r="W99" s="148"/>
      <c r="X99" s="148"/>
      <c r="Y99" s="148"/>
    </row>
    <row r="100" ht="31.5" customHeight="1">
      <c r="A100" s="201"/>
      <c r="B100" s="186"/>
      <c r="C100" s="186"/>
      <c r="D100" s="168"/>
      <c r="E100" s="186"/>
      <c r="F100" s="186"/>
      <c r="G100" s="186"/>
      <c r="H100" s="201"/>
      <c r="I100" s="202"/>
      <c r="J100" s="202"/>
      <c r="K100" s="201"/>
      <c r="L100" s="201"/>
      <c r="M100" s="201"/>
      <c r="N100" s="186"/>
      <c r="O100" s="186"/>
      <c r="P100" s="201"/>
      <c r="Q100" s="148"/>
      <c r="R100" s="148"/>
      <c r="S100" s="148"/>
      <c r="T100" s="148"/>
      <c r="U100" s="148"/>
      <c r="V100" s="148"/>
      <c r="W100" s="148"/>
      <c r="X100" s="148"/>
      <c r="Y100" s="148"/>
    </row>
    <row r="101" ht="31.5" customHeight="1">
      <c r="A101" s="208"/>
      <c r="B101" s="206"/>
      <c r="C101" s="207"/>
      <c r="D101" s="213"/>
      <c r="E101" s="207"/>
      <c r="F101" s="207"/>
      <c r="G101" s="207"/>
      <c r="H101" s="208"/>
      <c r="I101" s="211"/>
      <c r="J101" s="211"/>
      <c r="K101" s="208"/>
      <c r="L101" s="208"/>
      <c r="M101" s="208"/>
      <c r="N101" s="207"/>
      <c r="O101" s="207"/>
      <c r="P101" s="208"/>
      <c r="Q101" s="158"/>
      <c r="R101" s="158"/>
      <c r="S101" s="158"/>
      <c r="T101" s="158"/>
      <c r="U101" s="158"/>
      <c r="V101" s="158"/>
      <c r="W101" s="158"/>
      <c r="X101" s="158"/>
      <c r="Y101" s="158"/>
    </row>
    <row r="102" ht="31.5" customHeight="1">
      <c r="A102" s="208"/>
      <c r="B102" s="206"/>
      <c r="C102" s="207"/>
      <c r="D102" s="213"/>
      <c r="E102" s="207"/>
      <c r="F102" s="207"/>
      <c r="G102" s="207"/>
      <c r="H102" s="208"/>
      <c r="I102" s="211"/>
      <c r="J102" s="211"/>
      <c r="K102" s="208"/>
      <c r="L102" s="208"/>
      <c r="M102" s="207"/>
      <c r="N102" s="207"/>
      <c r="O102" s="207"/>
      <c r="P102" s="208"/>
      <c r="Q102" s="158"/>
      <c r="R102" s="158"/>
      <c r="S102" s="158"/>
      <c r="T102" s="158"/>
      <c r="U102" s="158"/>
      <c r="V102" s="158"/>
      <c r="W102" s="158"/>
      <c r="X102" s="158"/>
      <c r="Y102" s="158"/>
    </row>
    <row r="103" ht="31.5" customHeight="1">
      <c r="A103" s="201"/>
      <c r="B103" s="186"/>
      <c r="C103" s="186"/>
      <c r="D103" s="186"/>
      <c r="E103" s="186"/>
      <c r="F103" s="186"/>
      <c r="G103" s="186"/>
      <c r="H103" s="186"/>
      <c r="I103" s="188"/>
      <c r="J103" s="188"/>
      <c r="K103" s="186"/>
      <c r="L103" s="186"/>
      <c r="M103" s="186"/>
      <c r="N103" s="189"/>
      <c r="O103" s="186"/>
      <c r="P103" s="201"/>
      <c r="Q103" s="148"/>
      <c r="R103" s="148"/>
      <c r="S103" s="148"/>
      <c r="T103" s="148"/>
      <c r="U103" s="148"/>
      <c r="V103" s="148"/>
      <c r="W103" s="148"/>
      <c r="X103" s="148"/>
      <c r="Y103" s="148"/>
    </row>
    <row r="104" ht="31.5" customHeight="1">
      <c r="A104" s="201"/>
      <c r="B104" s="186"/>
      <c r="C104" s="186"/>
      <c r="D104" s="186"/>
      <c r="E104" s="186"/>
      <c r="F104" s="186"/>
      <c r="G104" s="186"/>
      <c r="H104" s="201"/>
      <c r="I104" s="188"/>
      <c r="J104" s="188"/>
      <c r="K104" s="186"/>
      <c r="L104" s="189"/>
      <c r="M104" s="186"/>
      <c r="N104" s="189"/>
      <c r="O104" s="186"/>
      <c r="P104" s="201"/>
      <c r="Q104" s="148"/>
      <c r="R104" s="148"/>
      <c r="S104" s="148"/>
      <c r="T104" s="148"/>
      <c r="U104" s="148"/>
      <c r="V104" s="148"/>
      <c r="W104" s="148"/>
      <c r="X104" s="148"/>
      <c r="Y104" s="148"/>
    </row>
    <row r="105" ht="31.5" customHeight="1">
      <c r="A105" s="201"/>
      <c r="B105" s="186"/>
      <c r="C105" s="186"/>
      <c r="D105" s="186"/>
      <c r="E105" s="186"/>
      <c r="F105" s="186"/>
      <c r="G105" s="186"/>
      <c r="H105" s="186"/>
      <c r="I105" s="188"/>
      <c r="J105" s="188"/>
      <c r="K105" s="186"/>
      <c r="L105" s="186"/>
      <c r="M105" s="186"/>
      <c r="N105" s="189"/>
      <c r="O105" s="186"/>
      <c r="P105" s="201"/>
      <c r="Q105" s="148"/>
      <c r="R105" s="148"/>
      <c r="S105" s="148"/>
      <c r="T105" s="148"/>
      <c r="U105" s="148"/>
      <c r="V105" s="148"/>
      <c r="W105" s="148"/>
      <c r="X105" s="148"/>
      <c r="Y105" s="148"/>
    </row>
    <row r="106" ht="31.5" customHeight="1">
      <c r="A106" s="201"/>
      <c r="B106" s="186"/>
      <c r="C106" s="186"/>
      <c r="D106" s="168"/>
      <c r="E106" s="186"/>
      <c r="F106" s="186"/>
      <c r="G106" s="186"/>
      <c r="H106" s="186"/>
      <c r="I106" s="202"/>
      <c r="J106" s="202"/>
      <c r="K106" s="201"/>
      <c r="L106" s="201"/>
      <c r="M106" s="186"/>
      <c r="N106" s="189"/>
      <c r="O106" s="186"/>
      <c r="P106" s="201"/>
      <c r="Q106" s="148"/>
      <c r="R106" s="148"/>
      <c r="S106" s="148"/>
      <c r="T106" s="148"/>
      <c r="U106" s="148"/>
      <c r="V106" s="148"/>
      <c r="W106" s="148"/>
      <c r="X106" s="148"/>
      <c r="Y106" s="148"/>
    </row>
    <row r="107" ht="31.5" customHeight="1">
      <c r="A107" s="201"/>
      <c r="B107" s="186"/>
      <c r="C107" s="186"/>
      <c r="D107" s="168"/>
      <c r="E107" s="186"/>
      <c r="F107" s="186"/>
      <c r="G107" s="186"/>
      <c r="H107" s="186"/>
      <c r="I107" s="202"/>
      <c r="J107" s="202"/>
      <c r="K107" s="201"/>
      <c r="L107" s="201"/>
      <c r="M107" s="201"/>
      <c r="N107" s="189"/>
      <c r="O107" s="186"/>
      <c r="P107" s="201"/>
      <c r="Q107" s="148"/>
      <c r="R107" s="148"/>
      <c r="S107" s="148"/>
      <c r="T107" s="148"/>
      <c r="U107" s="148"/>
      <c r="V107" s="148"/>
      <c r="W107" s="148"/>
      <c r="X107" s="148"/>
      <c r="Y107" s="148"/>
    </row>
    <row r="108" ht="31.5" customHeight="1">
      <c r="A108" s="201"/>
      <c r="B108" s="186"/>
      <c r="C108" s="186"/>
      <c r="D108" s="186"/>
      <c r="E108" s="186"/>
      <c r="F108" s="186"/>
      <c r="G108" s="186"/>
      <c r="H108" s="186"/>
      <c r="I108" s="202"/>
      <c r="J108" s="202"/>
      <c r="K108" s="201"/>
      <c r="L108" s="201"/>
      <c r="M108" s="201"/>
      <c r="N108" s="189"/>
      <c r="O108" s="186"/>
      <c r="P108" s="201"/>
      <c r="Q108" s="148"/>
      <c r="R108" s="148"/>
      <c r="S108" s="148"/>
      <c r="T108" s="148"/>
      <c r="U108" s="148"/>
      <c r="V108" s="148"/>
      <c r="W108" s="148"/>
      <c r="X108" s="148"/>
      <c r="Y108" s="148"/>
    </row>
    <row r="109" ht="31.5" customHeight="1">
      <c r="A109" s="201"/>
      <c r="B109" s="186"/>
      <c r="C109" s="186"/>
      <c r="D109" s="186"/>
      <c r="E109" s="186"/>
      <c r="F109" s="186"/>
      <c r="G109" s="186"/>
      <c r="H109" s="186"/>
      <c r="I109" s="188"/>
      <c r="J109" s="188"/>
      <c r="K109" s="186"/>
      <c r="L109" s="186"/>
      <c r="M109" s="189"/>
      <c r="N109" s="186"/>
      <c r="O109" s="186"/>
      <c r="P109" s="201"/>
      <c r="Q109" s="148"/>
      <c r="R109" s="148"/>
      <c r="S109" s="148"/>
      <c r="T109" s="148"/>
      <c r="U109" s="148"/>
      <c r="V109" s="148"/>
      <c r="W109" s="148"/>
      <c r="X109" s="148"/>
      <c r="Y109" s="148"/>
    </row>
    <row r="110" ht="31.5" customHeight="1">
      <c r="A110" s="201"/>
      <c r="B110" s="186"/>
      <c r="C110" s="186"/>
      <c r="D110" s="186"/>
      <c r="E110" s="186"/>
      <c r="F110" s="186"/>
      <c r="G110" s="186"/>
      <c r="H110" s="186"/>
      <c r="I110" s="188"/>
      <c r="J110" s="188"/>
      <c r="K110" s="186"/>
      <c r="L110" s="186"/>
      <c r="M110" s="186"/>
      <c r="N110" s="186"/>
      <c r="O110" s="186"/>
      <c r="P110" s="201"/>
      <c r="Q110" s="148"/>
      <c r="R110" s="148"/>
      <c r="S110" s="148"/>
      <c r="T110" s="148"/>
      <c r="U110" s="148"/>
      <c r="V110" s="148"/>
      <c r="W110" s="148"/>
      <c r="X110" s="148"/>
      <c r="Y110" s="148"/>
    </row>
    <row r="111" ht="31.5" customHeight="1">
      <c r="A111" s="201"/>
      <c r="B111" s="186"/>
      <c r="C111" s="186"/>
      <c r="D111" s="168"/>
      <c r="E111" s="186"/>
      <c r="F111" s="186"/>
      <c r="G111" s="186"/>
      <c r="H111" s="186"/>
      <c r="I111" s="202"/>
      <c r="J111" s="202"/>
      <c r="K111" s="201"/>
      <c r="L111" s="201"/>
      <c r="M111" s="201"/>
      <c r="N111" s="186"/>
      <c r="O111" s="186"/>
      <c r="P111" s="201"/>
      <c r="Q111" s="148"/>
      <c r="R111" s="148"/>
      <c r="S111" s="148"/>
      <c r="T111" s="148"/>
      <c r="U111" s="148"/>
      <c r="V111" s="148"/>
      <c r="W111" s="148"/>
      <c r="X111" s="148"/>
      <c r="Y111" s="148"/>
    </row>
    <row r="112" ht="31.5" customHeight="1">
      <c r="A112" s="201"/>
      <c r="B112" s="186"/>
      <c r="C112" s="186"/>
      <c r="D112" s="168"/>
      <c r="E112" s="186"/>
      <c r="F112" s="186"/>
      <c r="G112" s="186"/>
      <c r="H112" s="186"/>
      <c r="I112" s="202"/>
      <c r="J112" s="202"/>
      <c r="K112" s="201"/>
      <c r="L112" s="201"/>
      <c r="M112" s="201"/>
      <c r="N112" s="189"/>
      <c r="O112" s="186"/>
      <c r="P112" s="201"/>
      <c r="Q112" s="148"/>
      <c r="R112" s="148"/>
      <c r="S112" s="148"/>
      <c r="T112" s="148"/>
      <c r="U112" s="148"/>
      <c r="V112" s="148"/>
      <c r="W112" s="148"/>
      <c r="X112" s="148"/>
      <c r="Y112" s="148"/>
    </row>
    <row r="113" ht="31.5" customHeight="1">
      <c r="A113" s="201"/>
      <c r="B113" s="186"/>
      <c r="C113" s="186"/>
      <c r="D113" s="168"/>
      <c r="E113" s="186"/>
      <c r="F113" s="186"/>
      <c r="G113" s="186"/>
      <c r="H113" s="186"/>
      <c r="I113" s="202"/>
      <c r="J113" s="202"/>
      <c r="K113" s="201"/>
      <c r="L113" s="201"/>
      <c r="M113" s="201"/>
      <c r="N113" s="189"/>
      <c r="O113" s="186"/>
      <c r="P113" s="201"/>
      <c r="Q113" s="148"/>
      <c r="R113" s="148"/>
      <c r="S113" s="148"/>
      <c r="T113" s="148"/>
      <c r="U113" s="148"/>
      <c r="V113" s="148"/>
      <c r="W113" s="148"/>
      <c r="X113" s="148"/>
      <c r="Y113" s="148"/>
    </row>
    <row r="114" ht="31.5" customHeight="1">
      <c r="A114" s="201"/>
      <c r="B114" s="186"/>
      <c r="C114" s="186"/>
      <c r="D114" s="186"/>
      <c r="E114" s="186"/>
      <c r="F114" s="186"/>
      <c r="G114" s="186"/>
      <c r="H114" s="186"/>
      <c r="I114" s="188"/>
      <c r="J114" s="188"/>
      <c r="K114" s="186"/>
      <c r="L114" s="186"/>
      <c r="M114" s="189"/>
      <c r="N114" s="186"/>
      <c r="O114" s="186"/>
      <c r="P114" s="201"/>
      <c r="Q114" s="148"/>
      <c r="R114" s="148"/>
      <c r="S114" s="148"/>
      <c r="T114" s="148"/>
      <c r="U114" s="148"/>
      <c r="V114" s="148"/>
      <c r="W114" s="148"/>
      <c r="X114" s="148"/>
      <c r="Y114" s="148"/>
    </row>
    <row r="115" ht="31.5" customHeight="1">
      <c r="A115" s="201"/>
      <c r="B115" s="186"/>
      <c r="C115" s="186"/>
      <c r="D115" s="186"/>
      <c r="E115" s="186"/>
      <c r="F115" s="186"/>
      <c r="G115" s="186"/>
      <c r="H115" s="186"/>
      <c r="I115" s="202"/>
      <c r="J115" s="202"/>
      <c r="K115" s="201"/>
      <c r="L115" s="201"/>
      <c r="M115" s="201"/>
      <c r="N115" s="189"/>
      <c r="O115" s="186"/>
      <c r="P115" s="201"/>
      <c r="Q115" s="148"/>
      <c r="R115" s="148"/>
      <c r="S115" s="148"/>
      <c r="T115" s="148"/>
      <c r="U115" s="148"/>
      <c r="V115" s="148"/>
      <c r="W115" s="148"/>
      <c r="X115" s="148"/>
      <c r="Y115" s="148"/>
    </row>
    <row r="116" ht="31.5" customHeight="1">
      <c r="A116" s="201"/>
      <c r="B116" s="186"/>
      <c r="C116" s="186"/>
      <c r="D116" s="168"/>
      <c r="E116" s="186"/>
      <c r="F116" s="186"/>
      <c r="G116" s="186"/>
      <c r="H116" s="201"/>
      <c r="I116" s="202"/>
      <c r="J116" s="202"/>
      <c r="K116" s="201"/>
      <c r="L116" s="201"/>
      <c r="M116" s="186"/>
      <c r="N116" s="186"/>
      <c r="O116" s="186"/>
      <c r="P116" s="201"/>
      <c r="Q116" s="148"/>
      <c r="R116" s="148"/>
      <c r="S116" s="148"/>
      <c r="T116" s="148"/>
      <c r="U116" s="148"/>
      <c r="V116" s="148"/>
      <c r="W116" s="148"/>
      <c r="X116" s="148"/>
      <c r="Y116" s="148"/>
    </row>
    <row r="117" ht="31.5" customHeight="1">
      <c r="A117" s="201"/>
      <c r="B117" s="186"/>
      <c r="C117" s="186"/>
      <c r="D117" s="186"/>
      <c r="E117" s="186"/>
      <c r="F117" s="186"/>
      <c r="G117" s="186"/>
      <c r="H117" s="201"/>
      <c r="I117" s="202"/>
      <c r="J117" s="202"/>
      <c r="K117" s="201"/>
      <c r="L117" s="201"/>
      <c r="M117" s="201"/>
      <c r="N117" s="189"/>
      <c r="O117" s="186"/>
      <c r="P117" s="201"/>
      <c r="Q117" s="148"/>
      <c r="R117" s="148"/>
      <c r="S117" s="148"/>
      <c r="T117" s="148"/>
      <c r="U117" s="148"/>
      <c r="V117" s="148"/>
      <c r="W117" s="148"/>
      <c r="X117" s="148"/>
      <c r="Y117" s="148"/>
    </row>
    <row r="118" ht="31.5" customHeight="1">
      <c r="A118" s="201"/>
      <c r="B118" s="186"/>
      <c r="C118" s="186"/>
      <c r="D118" s="186"/>
      <c r="E118" s="186"/>
      <c r="F118" s="186"/>
      <c r="G118" s="186"/>
      <c r="H118" s="186"/>
      <c r="I118" s="188"/>
      <c r="J118" s="188"/>
      <c r="K118" s="186"/>
      <c r="L118" s="189"/>
      <c r="M118" s="186"/>
      <c r="N118" s="189"/>
      <c r="O118" s="186"/>
      <c r="P118" s="201"/>
      <c r="Q118" s="148"/>
      <c r="R118" s="148"/>
      <c r="S118" s="148"/>
      <c r="T118" s="148"/>
      <c r="U118" s="148"/>
      <c r="V118" s="148"/>
      <c r="W118" s="148"/>
      <c r="X118" s="148"/>
      <c r="Y118" s="148"/>
    </row>
    <row r="119" ht="31.5" customHeight="1">
      <c r="A119" s="201"/>
      <c r="B119" s="186"/>
      <c r="C119" s="186"/>
      <c r="D119" s="186"/>
      <c r="E119" s="186"/>
      <c r="F119" s="186"/>
      <c r="G119" s="186"/>
      <c r="H119" s="201"/>
      <c r="I119" s="202"/>
      <c r="J119" s="202"/>
      <c r="K119" s="201"/>
      <c r="L119" s="201"/>
      <c r="M119" s="186"/>
      <c r="N119" s="189"/>
      <c r="O119" s="186"/>
      <c r="P119" s="201"/>
      <c r="Q119" s="148"/>
      <c r="R119" s="148"/>
      <c r="S119" s="148"/>
      <c r="T119" s="148"/>
      <c r="U119" s="148"/>
      <c r="V119" s="148"/>
      <c r="W119" s="148"/>
      <c r="X119" s="148"/>
      <c r="Y119" s="148"/>
    </row>
    <row r="120" ht="31.5" customHeight="1">
      <c r="A120" s="201"/>
      <c r="B120" s="186"/>
      <c r="C120" s="186"/>
      <c r="D120" s="186"/>
      <c r="E120" s="186"/>
      <c r="F120" s="186"/>
      <c r="G120" s="186"/>
      <c r="H120" s="201"/>
      <c r="I120" s="202"/>
      <c r="J120" s="202"/>
      <c r="K120" s="201"/>
      <c r="L120" s="201"/>
      <c r="M120" s="201"/>
      <c r="N120" s="186"/>
      <c r="O120" s="186"/>
      <c r="P120" s="201"/>
      <c r="Q120" s="148"/>
      <c r="R120" s="148"/>
      <c r="S120" s="148"/>
      <c r="T120" s="148"/>
      <c r="U120" s="148"/>
      <c r="V120" s="148"/>
      <c r="W120" s="148"/>
      <c r="X120" s="148"/>
      <c r="Y120" s="148"/>
    </row>
    <row r="121" ht="31.5" customHeight="1">
      <c r="A121" s="201"/>
      <c r="B121" s="186"/>
      <c r="C121" s="186"/>
      <c r="D121" s="186"/>
      <c r="E121" s="186"/>
      <c r="F121" s="186"/>
      <c r="G121" s="186"/>
      <c r="H121" s="201"/>
      <c r="I121" s="202"/>
      <c r="J121" s="202"/>
      <c r="K121" s="201"/>
      <c r="L121" s="201"/>
      <c r="M121" s="201"/>
      <c r="N121" s="186"/>
      <c r="O121" s="186"/>
      <c r="P121" s="201"/>
      <c r="Q121" s="148"/>
      <c r="R121" s="148"/>
      <c r="S121" s="148"/>
      <c r="T121" s="148"/>
      <c r="U121" s="148"/>
      <c r="V121" s="148"/>
      <c r="W121" s="148"/>
      <c r="X121" s="148"/>
      <c r="Y121" s="148"/>
    </row>
    <row r="122" ht="31.5" customHeight="1">
      <c r="A122" s="201"/>
      <c r="B122" s="186"/>
      <c r="C122" s="186"/>
      <c r="D122" s="186"/>
      <c r="E122" s="186"/>
      <c r="F122" s="186"/>
      <c r="G122" s="186"/>
      <c r="H122" s="201"/>
      <c r="I122" s="202"/>
      <c r="J122" s="202"/>
      <c r="K122" s="201"/>
      <c r="L122" s="201"/>
      <c r="M122" s="201"/>
      <c r="N122" s="186"/>
      <c r="O122" s="186"/>
      <c r="P122" s="201"/>
      <c r="Q122" s="148"/>
      <c r="R122" s="148"/>
      <c r="S122" s="148"/>
      <c r="T122" s="148"/>
      <c r="U122" s="148"/>
      <c r="V122" s="148"/>
      <c r="W122" s="148"/>
      <c r="X122" s="148"/>
      <c r="Y122" s="148"/>
    </row>
    <row r="123" ht="31.5" customHeight="1">
      <c r="A123" s="201"/>
      <c r="B123" s="186"/>
      <c r="C123" s="186"/>
      <c r="D123" s="186"/>
      <c r="E123" s="186"/>
      <c r="F123" s="186"/>
      <c r="G123" s="186"/>
      <c r="H123" s="201"/>
      <c r="I123" s="202"/>
      <c r="J123" s="202"/>
      <c r="K123" s="201"/>
      <c r="L123" s="201"/>
      <c r="M123" s="201"/>
      <c r="N123" s="186"/>
      <c r="O123" s="186"/>
      <c r="P123" s="201"/>
      <c r="Q123" s="148"/>
      <c r="R123" s="148"/>
      <c r="S123" s="148"/>
      <c r="T123" s="148"/>
      <c r="U123" s="148"/>
      <c r="V123" s="148"/>
      <c r="W123" s="148"/>
      <c r="X123" s="148"/>
      <c r="Y123" s="148"/>
    </row>
    <row r="124" ht="31.5" customHeight="1">
      <c r="A124" s="201"/>
      <c r="B124" s="186"/>
      <c r="C124" s="186"/>
      <c r="D124" s="168"/>
      <c r="E124" s="186"/>
      <c r="F124" s="186"/>
      <c r="G124" s="186"/>
      <c r="H124" s="186"/>
      <c r="I124" s="202"/>
      <c r="J124" s="202"/>
      <c r="K124" s="201"/>
      <c r="L124" s="201"/>
      <c r="M124" s="201"/>
      <c r="N124" s="189"/>
      <c r="O124" s="186"/>
      <c r="P124" s="201"/>
      <c r="Q124" s="148"/>
      <c r="R124" s="148"/>
      <c r="S124" s="148"/>
      <c r="T124" s="148"/>
      <c r="U124" s="148"/>
      <c r="V124" s="148"/>
      <c r="W124" s="148"/>
      <c r="X124" s="148"/>
      <c r="Y124" s="148"/>
    </row>
    <row r="125" ht="31.5" customHeight="1">
      <c r="A125" s="201"/>
      <c r="B125" s="186"/>
      <c r="C125" s="186"/>
      <c r="D125" s="186"/>
      <c r="E125" s="186"/>
      <c r="F125" s="186"/>
      <c r="G125" s="186"/>
      <c r="H125" s="186"/>
      <c r="I125" s="202"/>
      <c r="J125" s="202"/>
      <c r="K125" s="201"/>
      <c r="L125" s="201"/>
      <c r="M125" s="201"/>
      <c r="N125" s="189"/>
      <c r="O125" s="186"/>
      <c r="P125" s="201"/>
      <c r="Q125" s="148"/>
      <c r="R125" s="148"/>
      <c r="S125" s="148"/>
      <c r="T125" s="148"/>
      <c r="U125" s="148"/>
      <c r="V125" s="148"/>
      <c r="W125" s="148"/>
      <c r="X125" s="148"/>
      <c r="Y125" s="148"/>
    </row>
    <row r="126" ht="31.5" customHeight="1">
      <c r="A126" s="201"/>
      <c r="B126" s="186"/>
      <c r="C126" s="186"/>
      <c r="D126" s="186"/>
      <c r="E126" s="186"/>
      <c r="F126" s="186"/>
      <c r="G126" s="186"/>
      <c r="H126" s="186"/>
      <c r="I126" s="188"/>
      <c r="J126" s="188"/>
      <c r="K126" s="186"/>
      <c r="L126" s="186"/>
      <c r="M126" s="186"/>
      <c r="N126" s="189"/>
      <c r="O126" s="186"/>
      <c r="P126" s="201"/>
      <c r="Q126" s="148"/>
      <c r="R126" s="148"/>
      <c r="S126" s="148"/>
      <c r="T126" s="148"/>
      <c r="U126" s="148"/>
      <c r="V126" s="148"/>
      <c r="W126" s="148"/>
      <c r="X126" s="148"/>
      <c r="Y126" s="148"/>
    </row>
    <row r="127" ht="31.5" customHeight="1">
      <c r="A127" s="201"/>
      <c r="B127" s="186"/>
      <c r="C127" s="186"/>
      <c r="D127" s="186"/>
      <c r="E127" s="186"/>
      <c r="F127" s="186"/>
      <c r="G127" s="186"/>
      <c r="H127" s="186"/>
      <c r="I127" s="188"/>
      <c r="J127" s="188"/>
      <c r="K127" s="186"/>
      <c r="L127" s="186"/>
      <c r="M127" s="186"/>
      <c r="N127" s="189"/>
      <c r="O127" s="186"/>
      <c r="P127" s="201"/>
      <c r="Q127" s="148"/>
      <c r="R127" s="148"/>
      <c r="S127" s="148"/>
      <c r="T127" s="148"/>
      <c r="U127" s="148"/>
      <c r="V127" s="148"/>
      <c r="W127" s="148"/>
      <c r="X127" s="148"/>
      <c r="Y127" s="148"/>
    </row>
    <row r="128" ht="31.5" customHeight="1">
      <c r="A128" s="201"/>
      <c r="B128" s="186"/>
      <c r="C128" s="186"/>
      <c r="D128" s="186"/>
      <c r="E128" s="186"/>
      <c r="F128" s="186"/>
      <c r="G128" s="186"/>
      <c r="H128" s="186"/>
      <c r="I128" s="202"/>
      <c r="J128" s="202"/>
      <c r="K128" s="201"/>
      <c r="L128" s="201"/>
      <c r="M128" s="186"/>
      <c r="N128" s="189"/>
      <c r="O128" s="186"/>
      <c r="P128" s="201"/>
      <c r="Q128" s="148"/>
      <c r="R128" s="148"/>
      <c r="S128" s="148"/>
      <c r="T128" s="148"/>
      <c r="U128" s="148"/>
      <c r="V128" s="148"/>
      <c r="W128" s="148"/>
      <c r="X128" s="148"/>
      <c r="Y128" s="148"/>
    </row>
    <row r="129" ht="31.5" customHeight="1">
      <c r="A129" s="201"/>
      <c r="B129" s="186"/>
      <c r="C129" s="186"/>
      <c r="D129" s="186"/>
      <c r="E129" s="186"/>
      <c r="F129" s="186"/>
      <c r="G129" s="186"/>
      <c r="H129" s="186"/>
      <c r="I129" s="202"/>
      <c r="J129" s="202"/>
      <c r="K129" s="201"/>
      <c r="L129" s="201"/>
      <c r="M129" s="201"/>
      <c r="N129" s="189"/>
      <c r="O129" s="186"/>
      <c r="P129" s="201"/>
      <c r="Q129" s="148"/>
      <c r="R129" s="148"/>
      <c r="S129" s="148"/>
      <c r="T129" s="148"/>
      <c r="U129" s="148"/>
      <c r="V129" s="148"/>
      <c r="W129" s="148"/>
      <c r="X129" s="148"/>
      <c r="Y129" s="148"/>
    </row>
    <row r="130" ht="31.5" customHeight="1">
      <c r="A130" s="201"/>
      <c r="B130" s="186"/>
      <c r="C130" s="186"/>
      <c r="D130" s="186"/>
      <c r="E130" s="186"/>
      <c r="F130" s="186"/>
      <c r="G130" s="186"/>
      <c r="H130" s="201"/>
      <c r="I130" s="202"/>
      <c r="J130" s="202"/>
      <c r="K130" s="201"/>
      <c r="L130" s="201"/>
      <c r="M130" s="186"/>
      <c r="N130" s="189"/>
      <c r="O130" s="186"/>
      <c r="P130" s="201"/>
      <c r="Q130" s="148"/>
      <c r="R130" s="148"/>
      <c r="S130" s="148"/>
      <c r="T130" s="148"/>
      <c r="U130" s="148"/>
      <c r="V130" s="148"/>
      <c r="W130" s="148"/>
      <c r="X130" s="148"/>
      <c r="Y130" s="148"/>
    </row>
    <row r="131" ht="31.5" customHeight="1">
      <c r="A131" s="201"/>
      <c r="B131" s="186"/>
      <c r="C131" s="186"/>
      <c r="D131" s="186"/>
      <c r="E131" s="186"/>
      <c r="F131" s="186"/>
      <c r="G131" s="186"/>
      <c r="H131" s="186"/>
      <c r="I131" s="202"/>
      <c r="J131" s="202"/>
      <c r="K131" s="201"/>
      <c r="L131" s="201"/>
      <c r="M131" s="201"/>
      <c r="N131" s="189"/>
      <c r="O131" s="186"/>
      <c r="P131" s="201"/>
      <c r="Q131" s="148"/>
      <c r="R131" s="148"/>
      <c r="S131" s="148"/>
      <c r="T131" s="148"/>
      <c r="U131" s="148"/>
      <c r="V131" s="148"/>
      <c r="W131" s="148"/>
      <c r="X131" s="148"/>
      <c r="Y131" s="148"/>
    </row>
    <row r="132" ht="31.5" customHeight="1">
      <c r="A132" s="201"/>
      <c r="B132" s="186"/>
      <c r="C132" s="186"/>
      <c r="D132" s="186"/>
      <c r="E132" s="186"/>
      <c r="F132" s="186"/>
      <c r="G132" s="186"/>
      <c r="H132" s="186"/>
      <c r="I132" s="202"/>
      <c r="J132" s="202"/>
      <c r="K132" s="201"/>
      <c r="L132" s="201"/>
      <c r="M132" s="201"/>
      <c r="N132" s="189"/>
      <c r="O132" s="186"/>
      <c r="P132" s="201"/>
      <c r="Q132" s="148"/>
      <c r="R132" s="148"/>
      <c r="S132" s="148"/>
      <c r="T132" s="148"/>
      <c r="U132" s="148"/>
      <c r="V132" s="148"/>
      <c r="W132" s="148"/>
      <c r="X132" s="148"/>
      <c r="Y132" s="148"/>
    </row>
    <row r="133" ht="31.5" customHeight="1">
      <c r="A133" s="201"/>
      <c r="B133" s="186"/>
      <c r="C133" s="186"/>
      <c r="D133" s="186"/>
      <c r="E133" s="186"/>
      <c r="F133" s="186"/>
      <c r="G133" s="186"/>
      <c r="H133" s="201"/>
      <c r="I133" s="202"/>
      <c r="J133" s="202"/>
      <c r="K133" s="201"/>
      <c r="L133" s="201"/>
      <c r="M133" s="186"/>
      <c r="N133" s="189"/>
      <c r="O133" s="186"/>
      <c r="P133" s="201"/>
      <c r="Q133" s="148"/>
      <c r="R133" s="148"/>
      <c r="S133" s="148"/>
      <c r="T133" s="148"/>
      <c r="U133" s="148"/>
      <c r="V133" s="148"/>
      <c r="W133" s="148"/>
      <c r="X133" s="148"/>
      <c r="Y133" s="148"/>
    </row>
    <row r="134" ht="31.5" customHeight="1">
      <c r="A134" s="201"/>
      <c r="B134" s="186"/>
      <c r="C134" s="186"/>
      <c r="D134" s="186"/>
      <c r="E134" s="186"/>
      <c r="F134" s="186"/>
      <c r="G134" s="186"/>
      <c r="H134" s="186"/>
      <c r="I134" s="202"/>
      <c r="J134" s="202"/>
      <c r="K134" s="201"/>
      <c r="L134" s="201"/>
      <c r="M134" s="201"/>
      <c r="N134" s="189"/>
      <c r="O134" s="186"/>
      <c r="P134" s="201"/>
      <c r="Q134" s="148"/>
      <c r="R134" s="148"/>
      <c r="S134" s="148"/>
      <c r="T134" s="148"/>
      <c r="U134" s="148"/>
      <c r="V134" s="148"/>
      <c r="W134" s="148"/>
      <c r="X134" s="148"/>
      <c r="Y134" s="148"/>
    </row>
    <row r="135" ht="31.5" customHeight="1">
      <c r="A135" s="201"/>
      <c r="B135" s="186"/>
      <c r="C135" s="186"/>
      <c r="D135" s="186"/>
      <c r="E135" s="186"/>
      <c r="F135" s="186"/>
      <c r="G135" s="186"/>
      <c r="H135" s="201"/>
      <c r="I135" s="202"/>
      <c r="J135" s="202"/>
      <c r="K135" s="201"/>
      <c r="L135" s="201"/>
      <c r="M135" s="186"/>
      <c r="N135" s="186"/>
      <c r="O135" s="186"/>
      <c r="P135" s="201"/>
      <c r="Q135" s="148"/>
      <c r="R135" s="148"/>
      <c r="S135" s="148"/>
      <c r="T135" s="148"/>
      <c r="U135" s="148"/>
      <c r="V135" s="148"/>
      <c r="W135" s="148"/>
      <c r="X135" s="148"/>
      <c r="Y135" s="148"/>
    </row>
    <row r="136" ht="31.5" customHeight="1">
      <c r="A136" s="201"/>
      <c r="B136" s="186"/>
      <c r="C136" s="186"/>
      <c r="D136" s="186"/>
      <c r="E136" s="186"/>
      <c r="F136" s="186"/>
      <c r="G136" s="186"/>
      <c r="H136" s="201"/>
      <c r="I136" s="202"/>
      <c r="J136" s="202"/>
      <c r="K136" s="201"/>
      <c r="L136" s="201"/>
      <c r="M136" s="186"/>
      <c r="N136" s="189"/>
      <c r="O136" s="186"/>
      <c r="P136" s="201"/>
      <c r="Q136" s="148"/>
      <c r="R136" s="148"/>
      <c r="S136" s="148"/>
      <c r="T136" s="148"/>
      <c r="U136" s="148"/>
      <c r="V136" s="148"/>
      <c r="W136" s="148"/>
      <c r="X136" s="148"/>
      <c r="Y136" s="148"/>
    </row>
    <row r="137" ht="31.5" customHeight="1">
      <c r="A137" s="201"/>
      <c r="B137" s="186"/>
      <c r="C137" s="186"/>
      <c r="D137" s="186"/>
      <c r="E137" s="186"/>
      <c r="F137" s="186"/>
      <c r="G137" s="186"/>
      <c r="H137" s="201"/>
      <c r="I137" s="202"/>
      <c r="J137" s="202"/>
      <c r="K137" s="201"/>
      <c r="L137" s="201"/>
      <c r="M137" s="186"/>
      <c r="N137" s="189"/>
      <c r="O137" s="186"/>
      <c r="P137" s="201"/>
      <c r="Q137" s="148"/>
      <c r="R137" s="148"/>
      <c r="S137" s="148"/>
      <c r="T137" s="148"/>
      <c r="U137" s="148"/>
      <c r="V137" s="148"/>
      <c r="W137" s="148"/>
      <c r="X137" s="148"/>
      <c r="Y137" s="148"/>
    </row>
    <row r="138" ht="31.5" customHeight="1">
      <c r="A138" s="201"/>
      <c r="B138" s="186"/>
      <c r="C138" s="186"/>
      <c r="D138" s="186"/>
      <c r="E138" s="186"/>
      <c r="F138" s="186"/>
      <c r="G138" s="186"/>
      <c r="H138" s="186"/>
      <c r="I138" s="188"/>
      <c r="J138" s="188"/>
      <c r="K138" s="186"/>
      <c r="L138" s="186"/>
      <c r="M138" s="186"/>
      <c r="N138" s="189"/>
      <c r="O138" s="186"/>
      <c r="P138" s="201"/>
      <c r="Q138" s="148"/>
      <c r="R138" s="148"/>
      <c r="S138" s="148"/>
      <c r="T138" s="148"/>
      <c r="U138" s="148"/>
      <c r="V138" s="148"/>
      <c r="W138" s="148"/>
      <c r="X138" s="148"/>
      <c r="Y138" s="148"/>
    </row>
    <row r="139" ht="31.5" customHeight="1">
      <c r="A139" s="201"/>
      <c r="B139" s="186"/>
      <c r="C139" s="186"/>
      <c r="D139" s="186"/>
      <c r="E139" s="186"/>
      <c r="F139" s="186"/>
      <c r="G139" s="186"/>
      <c r="H139" s="201"/>
      <c r="I139" s="202"/>
      <c r="J139" s="202"/>
      <c r="K139" s="201"/>
      <c r="L139" s="201"/>
      <c r="M139" s="201"/>
      <c r="N139" s="189"/>
      <c r="O139" s="186"/>
      <c r="P139" s="201"/>
      <c r="Q139" s="148"/>
      <c r="R139" s="148"/>
      <c r="S139" s="148"/>
      <c r="T139" s="148"/>
      <c r="U139" s="148"/>
      <c r="V139" s="148"/>
      <c r="W139" s="148"/>
      <c r="X139" s="148"/>
      <c r="Y139" s="148"/>
    </row>
    <row r="140" ht="31.5" customHeight="1">
      <c r="A140" s="201"/>
      <c r="B140" s="186"/>
      <c r="C140" s="186"/>
      <c r="D140" s="186"/>
      <c r="E140" s="186"/>
      <c r="F140" s="186"/>
      <c r="G140" s="186"/>
      <c r="H140" s="201"/>
      <c r="I140" s="202"/>
      <c r="J140" s="202"/>
      <c r="K140" s="201"/>
      <c r="L140" s="201"/>
      <c r="M140" s="201"/>
      <c r="N140" s="189"/>
      <c r="O140" s="186"/>
      <c r="P140" s="201"/>
      <c r="Q140" s="148"/>
      <c r="R140" s="148"/>
      <c r="S140" s="148"/>
      <c r="T140" s="148"/>
      <c r="U140" s="148"/>
      <c r="V140" s="148"/>
      <c r="W140" s="148"/>
      <c r="X140" s="148"/>
      <c r="Y140" s="148"/>
    </row>
    <row r="141" ht="31.5" customHeight="1">
      <c r="A141" s="201"/>
      <c r="B141" s="186"/>
      <c r="C141" s="186"/>
      <c r="D141" s="186"/>
      <c r="E141" s="186"/>
      <c r="F141" s="186"/>
      <c r="G141" s="186"/>
      <c r="H141" s="201"/>
      <c r="I141" s="202"/>
      <c r="J141" s="202"/>
      <c r="K141" s="201"/>
      <c r="L141" s="201"/>
      <c r="M141" s="201"/>
      <c r="N141" s="189"/>
      <c r="O141" s="186"/>
      <c r="P141" s="201"/>
      <c r="Q141" s="148"/>
      <c r="R141" s="148"/>
      <c r="S141" s="148"/>
      <c r="T141" s="148"/>
      <c r="U141" s="148"/>
      <c r="V141" s="148"/>
      <c r="W141" s="148"/>
      <c r="X141" s="148"/>
      <c r="Y141" s="148"/>
    </row>
    <row r="142" ht="31.5" customHeight="1">
      <c r="A142" s="201"/>
      <c r="B142" s="186"/>
      <c r="C142" s="186"/>
      <c r="D142" s="186"/>
      <c r="E142" s="186"/>
      <c r="F142" s="186"/>
      <c r="G142" s="186"/>
      <c r="H142" s="201"/>
      <c r="I142" s="202"/>
      <c r="J142" s="202"/>
      <c r="K142" s="201"/>
      <c r="L142" s="201"/>
      <c r="M142" s="201"/>
      <c r="N142" s="189"/>
      <c r="O142" s="186"/>
      <c r="P142" s="201"/>
      <c r="Q142" s="148"/>
      <c r="R142" s="148"/>
      <c r="S142" s="148"/>
      <c r="T142" s="148"/>
      <c r="U142" s="148"/>
      <c r="V142" s="148"/>
      <c r="W142" s="148"/>
      <c r="X142" s="148"/>
      <c r="Y142" s="148"/>
    </row>
    <row r="143" ht="31.5" customHeight="1">
      <c r="A143" s="201"/>
      <c r="B143" s="186"/>
      <c r="C143" s="186"/>
      <c r="D143" s="186"/>
      <c r="E143" s="186"/>
      <c r="F143" s="186"/>
      <c r="G143" s="186"/>
      <c r="H143" s="201"/>
      <c r="I143" s="202"/>
      <c r="J143" s="202"/>
      <c r="K143" s="201"/>
      <c r="L143" s="201"/>
      <c r="M143" s="201"/>
      <c r="N143" s="186"/>
      <c r="O143" s="186"/>
      <c r="P143" s="201"/>
      <c r="Q143" s="148"/>
      <c r="R143" s="148"/>
      <c r="S143" s="148"/>
      <c r="T143" s="148"/>
      <c r="U143" s="148"/>
      <c r="V143" s="148"/>
      <c r="W143" s="148"/>
      <c r="X143" s="148"/>
      <c r="Y143" s="148"/>
    </row>
    <row r="144" ht="31.5" customHeight="1">
      <c r="A144" s="201"/>
      <c r="B144" s="186"/>
      <c r="C144" s="186"/>
      <c r="D144" s="186"/>
      <c r="E144" s="186"/>
      <c r="F144" s="186"/>
      <c r="G144" s="186"/>
      <c r="H144" s="201"/>
      <c r="I144" s="202"/>
      <c r="J144" s="202"/>
      <c r="K144" s="201"/>
      <c r="L144" s="201"/>
      <c r="M144" s="201"/>
      <c r="N144" s="189"/>
      <c r="O144" s="186"/>
      <c r="P144" s="201"/>
      <c r="Q144" s="148"/>
      <c r="R144" s="148"/>
      <c r="S144" s="148"/>
      <c r="T144" s="148"/>
      <c r="U144" s="148"/>
      <c r="V144" s="148"/>
      <c r="W144" s="148"/>
      <c r="X144" s="148"/>
      <c r="Y144" s="148"/>
    </row>
    <row r="145" ht="31.5" customHeight="1">
      <c r="A145" s="201"/>
      <c r="B145" s="186"/>
      <c r="C145" s="186"/>
      <c r="D145" s="186"/>
      <c r="E145" s="186"/>
      <c r="F145" s="186"/>
      <c r="G145" s="186"/>
      <c r="H145" s="186"/>
      <c r="I145" s="188"/>
      <c r="J145" s="188"/>
      <c r="K145" s="186"/>
      <c r="L145" s="186"/>
      <c r="M145" s="186"/>
      <c r="N145" s="189"/>
      <c r="O145" s="186"/>
      <c r="P145" s="201"/>
      <c r="Q145" s="148"/>
      <c r="R145" s="148"/>
      <c r="S145" s="148"/>
      <c r="T145" s="148"/>
      <c r="U145" s="148"/>
      <c r="V145" s="148"/>
      <c r="W145" s="148"/>
      <c r="X145" s="148"/>
      <c r="Y145" s="148"/>
    </row>
    <row r="146" ht="31.5" customHeight="1">
      <c r="A146" s="201"/>
      <c r="B146" s="186"/>
      <c r="C146" s="186"/>
      <c r="D146" s="186"/>
      <c r="E146" s="186"/>
      <c r="F146" s="186"/>
      <c r="G146" s="186"/>
      <c r="H146" s="186"/>
      <c r="I146" s="188"/>
      <c r="J146" s="188"/>
      <c r="K146" s="186"/>
      <c r="L146" s="186"/>
      <c r="M146" s="186"/>
      <c r="N146" s="189"/>
      <c r="O146" s="186"/>
      <c r="P146" s="201"/>
      <c r="Q146" s="148"/>
      <c r="R146" s="148"/>
      <c r="S146" s="148"/>
      <c r="T146" s="148"/>
      <c r="U146" s="148"/>
      <c r="V146" s="148"/>
      <c r="W146" s="148"/>
      <c r="X146" s="148"/>
      <c r="Y146" s="148"/>
    </row>
    <row r="147" ht="31.5" customHeight="1">
      <c r="A147" s="201"/>
      <c r="B147" s="186"/>
      <c r="C147" s="186"/>
      <c r="D147" s="186"/>
      <c r="E147" s="186"/>
      <c r="F147" s="186"/>
      <c r="G147" s="186"/>
      <c r="H147" s="186"/>
      <c r="I147" s="202"/>
      <c r="J147" s="202"/>
      <c r="K147" s="201"/>
      <c r="L147" s="201"/>
      <c r="M147" s="201"/>
      <c r="N147" s="189"/>
      <c r="O147" s="186"/>
      <c r="P147" s="201"/>
      <c r="Q147" s="148"/>
      <c r="R147" s="148"/>
      <c r="S147" s="148"/>
      <c r="T147" s="148"/>
      <c r="U147" s="148"/>
      <c r="V147" s="148"/>
      <c r="W147" s="148"/>
      <c r="X147" s="148"/>
      <c r="Y147" s="148"/>
    </row>
    <row r="148" ht="1.5" customHeight="1">
      <c r="A148" s="201"/>
      <c r="B148" s="186"/>
      <c r="C148" s="186"/>
      <c r="D148" s="186"/>
      <c r="E148" s="186"/>
      <c r="F148" s="186"/>
      <c r="G148" s="186"/>
      <c r="H148" s="186"/>
      <c r="I148" s="188"/>
      <c r="J148" s="188"/>
      <c r="K148" s="186"/>
      <c r="L148" s="186"/>
      <c r="M148" s="186"/>
      <c r="N148" s="189"/>
      <c r="O148" s="186"/>
      <c r="P148" s="201"/>
      <c r="Q148" s="148"/>
      <c r="R148" s="148"/>
      <c r="S148" s="148"/>
      <c r="T148" s="148"/>
      <c r="U148" s="148"/>
      <c r="V148" s="148"/>
      <c r="W148" s="148"/>
      <c r="X148" s="148"/>
      <c r="Y148" s="148"/>
    </row>
    <row r="149" ht="31.5" customHeight="1">
      <c r="A149" s="201"/>
      <c r="B149" s="187"/>
      <c r="C149" s="186"/>
      <c r="D149" s="186"/>
      <c r="E149" s="186"/>
      <c r="F149" s="186"/>
      <c r="G149" s="186"/>
      <c r="H149" s="186"/>
      <c r="I149" s="188"/>
      <c r="J149" s="188"/>
      <c r="K149" s="186"/>
      <c r="L149" s="186"/>
      <c r="M149" s="186"/>
      <c r="N149" s="186"/>
      <c r="O149" s="186"/>
      <c r="P149" s="201"/>
      <c r="Q149" s="148"/>
      <c r="R149" s="148"/>
      <c r="S149" s="148"/>
      <c r="T149" s="148"/>
      <c r="U149" s="148"/>
      <c r="V149" s="148"/>
      <c r="W149" s="148"/>
      <c r="X149" s="148"/>
      <c r="Y149" s="148"/>
    </row>
    <row r="150" ht="31.5" customHeight="1">
      <c r="A150" s="201"/>
      <c r="B150" s="186"/>
      <c r="C150" s="207"/>
      <c r="D150" s="207"/>
      <c r="E150" s="207"/>
      <c r="F150" s="207"/>
      <c r="G150" s="207"/>
      <c r="H150" s="207"/>
      <c r="I150" s="211"/>
      <c r="J150" s="211"/>
      <c r="K150" s="207"/>
      <c r="L150" s="207"/>
      <c r="M150" s="207"/>
      <c r="N150" s="212"/>
      <c r="O150" s="207"/>
      <c r="P150" s="205"/>
      <c r="Q150" s="215"/>
      <c r="R150" s="215"/>
      <c r="S150" s="215"/>
      <c r="T150" s="215"/>
      <c r="U150" s="215"/>
      <c r="V150" s="215"/>
      <c r="W150" s="215"/>
      <c r="X150" s="215"/>
      <c r="Y150" s="215"/>
    </row>
    <row r="151" ht="30.0" customHeight="1">
      <c r="A151" s="201"/>
      <c r="B151" s="206"/>
      <c r="C151" s="207"/>
      <c r="D151" s="207"/>
      <c r="E151" s="207"/>
      <c r="F151" s="207"/>
      <c r="G151" s="207"/>
      <c r="H151" s="207"/>
      <c r="I151" s="211"/>
      <c r="J151" s="211"/>
      <c r="K151" s="207"/>
      <c r="L151" s="207"/>
      <c r="M151" s="207"/>
      <c r="N151" s="212"/>
      <c r="O151" s="207"/>
      <c r="P151" s="208"/>
      <c r="Q151" s="216"/>
      <c r="R151" s="216"/>
      <c r="S151" s="216"/>
      <c r="T151" s="216"/>
      <c r="U151" s="216"/>
      <c r="V151" s="216"/>
      <c r="W151" s="216"/>
      <c r="X151" s="216"/>
      <c r="Y151" s="216"/>
    </row>
    <row r="152" ht="30.0" customHeight="1">
      <c r="A152" s="201"/>
      <c r="B152" s="207"/>
      <c r="C152" s="207"/>
      <c r="D152" s="207"/>
      <c r="E152" s="207"/>
      <c r="F152" s="207"/>
      <c r="G152" s="207"/>
      <c r="H152" s="207"/>
      <c r="I152" s="211"/>
      <c r="J152" s="211"/>
      <c r="K152" s="207"/>
      <c r="L152" s="207"/>
      <c r="M152" s="207"/>
      <c r="N152" s="212"/>
      <c r="O152" s="207"/>
      <c r="P152" s="208"/>
      <c r="Q152" s="216"/>
      <c r="R152" s="216"/>
      <c r="S152" s="216"/>
      <c r="T152" s="216"/>
      <c r="U152" s="216"/>
      <c r="V152" s="216"/>
      <c r="W152" s="216"/>
      <c r="X152" s="216"/>
      <c r="Y152" s="216"/>
    </row>
    <row r="153" ht="31.5" customHeight="1">
      <c r="A153" s="201"/>
      <c r="B153" s="187"/>
      <c r="C153" s="186"/>
      <c r="D153" s="186"/>
      <c r="E153" s="186"/>
      <c r="F153" s="186"/>
      <c r="G153" s="186"/>
      <c r="H153" s="186"/>
      <c r="I153" s="188"/>
      <c r="J153" s="188"/>
      <c r="K153" s="186"/>
      <c r="L153" s="186"/>
      <c r="M153" s="186"/>
      <c r="N153" s="189"/>
      <c r="O153" s="186"/>
      <c r="P153" s="201"/>
      <c r="Q153" s="148"/>
      <c r="R153" s="148"/>
      <c r="S153" s="148"/>
      <c r="T153" s="148"/>
      <c r="U153" s="148"/>
      <c r="V153" s="148"/>
      <c r="W153" s="148"/>
      <c r="X153" s="148"/>
      <c r="Y153" s="148"/>
    </row>
    <row r="154" ht="31.5" customHeight="1">
      <c r="A154" s="201"/>
      <c r="B154" s="186"/>
      <c r="C154" s="186"/>
      <c r="D154" s="186"/>
      <c r="E154" s="186"/>
      <c r="F154" s="186"/>
      <c r="G154" s="186"/>
      <c r="H154" s="186"/>
      <c r="I154" s="188"/>
      <c r="J154" s="188"/>
      <c r="K154" s="186"/>
      <c r="L154" s="186"/>
      <c r="M154" s="186"/>
      <c r="N154" s="189"/>
      <c r="O154" s="186"/>
      <c r="P154" s="201"/>
      <c r="Q154" s="148"/>
      <c r="R154" s="148"/>
      <c r="S154" s="148"/>
      <c r="T154" s="148"/>
      <c r="U154" s="148"/>
      <c r="V154" s="148"/>
      <c r="W154" s="148"/>
      <c r="X154" s="148"/>
      <c r="Y154" s="148"/>
    </row>
    <row r="155" ht="31.5" customHeight="1">
      <c r="A155" s="201"/>
      <c r="B155" s="186"/>
      <c r="C155" s="186"/>
      <c r="D155" s="186"/>
      <c r="E155" s="186"/>
      <c r="F155" s="186"/>
      <c r="G155" s="186"/>
      <c r="H155" s="186"/>
      <c r="I155" s="188"/>
      <c r="J155" s="188"/>
      <c r="K155" s="186"/>
      <c r="L155" s="186"/>
      <c r="M155" s="186"/>
      <c r="N155" s="189"/>
      <c r="O155" s="186"/>
      <c r="P155" s="201"/>
      <c r="Q155" s="148"/>
      <c r="R155" s="148"/>
      <c r="S155" s="148"/>
      <c r="T155" s="148"/>
      <c r="U155" s="148"/>
      <c r="V155" s="148"/>
      <c r="W155" s="148"/>
      <c r="X155" s="148"/>
      <c r="Y155" s="148"/>
    </row>
    <row r="156" ht="31.5" customHeight="1">
      <c r="A156" s="201"/>
      <c r="B156" s="186"/>
      <c r="C156" s="186"/>
      <c r="D156" s="186"/>
      <c r="E156" s="186"/>
      <c r="F156" s="186"/>
      <c r="G156" s="186"/>
      <c r="H156" s="186"/>
      <c r="I156" s="188"/>
      <c r="J156" s="188"/>
      <c r="K156" s="186"/>
      <c r="L156" s="186"/>
      <c r="M156" s="186"/>
      <c r="N156" s="189"/>
      <c r="O156" s="186"/>
      <c r="P156" s="201"/>
      <c r="Q156" s="148"/>
      <c r="R156" s="148"/>
      <c r="S156" s="148"/>
      <c r="T156" s="148"/>
      <c r="U156" s="148"/>
      <c r="V156" s="148"/>
      <c r="W156" s="148"/>
      <c r="X156" s="148"/>
      <c r="Y156" s="148"/>
    </row>
    <row r="157" ht="31.5" customHeight="1">
      <c r="A157" s="201"/>
      <c r="B157" s="206"/>
      <c r="C157" s="207"/>
      <c r="D157" s="213"/>
      <c r="E157" s="207"/>
      <c r="F157" s="207"/>
      <c r="G157" s="207"/>
      <c r="H157" s="207"/>
      <c r="I157" s="209"/>
      <c r="J157" s="209"/>
      <c r="K157" s="208"/>
      <c r="L157" s="208"/>
      <c r="M157" s="208"/>
      <c r="N157" s="212"/>
      <c r="O157" s="207"/>
      <c r="P157" s="208"/>
      <c r="Q157" s="158"/>
      <c r="R157" s="158"/>
      <c r="S157" s="158"/>
      <c r="T157" s="158"/>
      <c r="U157" s="158"/>
      <c r="V157" s="158"/>
      <c r="W157" s="158"/>
      <c r="X157" s="158"/>
      <c r="Y157" s="158"/>
    </row>
    <row r="158" ht="31.5" customHeight="1">
      <c r="A158" s="201"/>
      <c r="B158" s="206"/>
      <c r="C158" s="207"/>
      <c r="D158" s="213"/>
      <c r="E158" s="207"/>
      <c r="F158" s="207"/>
      <c r="G158" s="207"/>
      <c r="H158" s="207"/>
      <c r="I158" s="209"/>
      <c r="J158" s="209"/>
      <c r="K158" s="208"/>
      <c r="L158" s="208"/>
      <c r="M158" s="208"/>
      <c r="N158" s="212"/>
      <c r="O158" s="207"/>
      <c r="P158" s="208"/>
      <c r="Q158" s="158"/>
      <c r="R158" s="158"/>
      <c r="S158" s="158"/>
      <c r="T158" s="158"/>
      <c r="U158" s="158"/>
      <c r="V158" s="158"/>
      <c r="W158" s="158"/>
      <c r="X158" s="158"/>
      <c r="Y158" s="158"/>
    </row>
    <row r="159" ht="31.5" customHeight="1">
      <c r="A159" s="201"/>
      <c r="B159" s="186"/>
      <c r="C159" s="186"/>
      <c r="D159" s="168"/>
      <c r="E159" s="186"/>
      <c r="F159" s="186"/>
      <c r="G159" s="186"/>
      <c r="H159" s="201"/>
      <c r="I159" s="202"/>
      <c r="J159" s="202"/>
      <c r="K159" s="201"/>
      <c r="L159" s="201"/>
      <c r="M159" s="201"/>
      <c r="N159" s="186"/>
      <c r="O159" s="186"/>
      <c r="P159" s="201"/>
      <c r="Q159" s="148"/>
      <c r="R159" s="148"/>
      <c r="S159" s="148"/>
      <c r="T159" s="148"/>
      <c r="U159" s="148"/>
      <c r="V159" s="148"/>
      <c r="W159" s="148"/>
      <c r="X159" s="148"/>
      <c r="Y159" s="148"/>
    </row>
    <row r="160" ht="30.0" customHeight="1">
      <c r="A160" s="201"/>
      <c r="B160" s="187"/>
      <c r="C160" s="186"/>
      <c r="D160" s="186"/>
      <c r="E160" s="186"/>
      <c r="F160" s="186"/>
      <c r="G160" s="186"/>
      <c r="H160" s="186"/>
      <c r="I160" s="188"/>
      <c r="J160" s="188"/>
      <c r="K160" s="186"/>
      <c r="L160" s="186"/>
      <c r="M160" s="186"/>
      <c r="N160" s="189"/>
      <c r="O160" s="186"/>
      <c r="P160" s="201"/>
      <c r="Q160" s="148"/>
      <c r="R160" s="148"/>
      <c r="S160" s="148"/>
      <c r="T160" s="148"/>
      <c r="U160" s="148"/>
      <c r="V160" s="148"/>
      <c r="W160" s="148"/>
      <c r="X160" s="148"/>
      <c r="Y160" s="148"/>
    </row>
    <row r="161" ht="31.5" customHeight="1">
      <c r="A161" s="201"/>
      <c r="B161" s="186"/>
      <c r="C161" s="186"/>
      <c r="D161" s="168"/>
      <c r="E161" s="186"/>
      <c r="F161" s="186"/>
      <c r="G161" s="186"/>
      <c r="H161" s="186"/>
      <c r="I161" s="202"/>
      <c r="J161" s="202"/>
      <c r="K161" s="201"/>
      <c r="L161" s="201"/>
      <c r="M161" s="201"/>
      <c r="N161" s="189"/>
      <c r="O161" s="186"/>
      <c r="P161" s="201"/>
      <c r="Q161" s="148"/>
      <c r="R161" s="148"/>
      <c r="S161" s="148"/>
      <c r="T161" s="148"/>
      <c r="U161" s="148"/>
      <c r="V161" s="148"/>
      <c r="W161" s="148"/>
      <c r="X161" s="148"/>
      <c r="Y161" s="148"/>
    </row>
    <row r="162" ht="31.5" customHeight="1">
      <c r="A162" s="201"/>
      <c r="B162" s="186"/>
      <c r="C162" s="186"/>
      <c r="D162" s="186"/>
      <c r="E162" s="186"/>
      <c r="F162" s="186"/>
      <c r="G162" s="186"/>
      <c r="H162" s="186"/>
      <c r="I162" s="202"/>
      <c r="J162" s="202"/>
      <c r="K162" s="201"/>
      <c r="L162" s="201"/>
      <c r="M162" s="201"/>
      <c r="N162" s="189"/>
      <c r="O162" s="186"/>
      <c r="P162" s="201"/>
      <c r="Q162" s="148"/>
      <c r="R162" s="148"/>
      <c r="S162" s="148"/>
      <c r="T162" s="148"/>
      <c r="U162" s="148"/>
      <c r="V162" s="148"/>
      <c r="W162" s="148"/>
      <c r="X162" s="148"/>
      <c r="Y162" s="148"/>
    </row>
    <row r="163" ht="31.5" customHeight="1">
      <c r="A163" s="201"/>
      <c r="B163" s="186"/>
      <c r="C163" s="186"/>
      <c r="D163" s="186"/>
      <c r="E163" s="186"/>
      <c r="F163" s="186"/>
      <c r="G163" s="186"/>
      <c r="H163" s="201"/>
      <c r="I163" s="202"/>
      <c r="J163" s="202"/>
      <c r="K163" s="201"/>
      <c r="L163" s="201"/>
      <c r="M163" s="186"/>
      <c r="N163" s="189"/>
      <c r="O163" s="186"/>
      <c r="P163" s="201"/>
      <c r="Q163" s="148"/>
      <c r="R163" s="148"/>
      <c r="S163" s="148"/>
      <c r="T163" s="148"/>
      <c r="U163" s="148"/>
      <c r="V163" s="148"/>
      <c r="W163" s="148"/>
      <c r="X163" s="148"/>
      <c r="Y163" s="148"/>
    </row>
    <row r="164" ht="31.5" customHeight="1">
      <c r="A164" s="201"/>
      <c r="B164" s="186"/>
      <c r="C164" s="186"/>
      <c r="D164" s="186"/>
      <c r="E164" s="186"/>
      <c r="F164" s="186"/>
      <c r="G164" s="186"/>
      <c r="H164" s="201"/>
      <c r="K164" s="201"/>
      <c r="L164" s="201"/>
      <c r="M164" s="186"/>
      <c r="N164" s="189"/>
      <c r="O164" s="186"/>
      <c r="P164" s="201"/>
      <c r="Q164" s="148"/>
      <c r="R164" s="148"/>
      <c r="S164" s="148"/>
      <c r="T164" s="148"/>
      <c r="U164" s="148"/>
      <c r="V164" s="148"/>
      <c r="W164" s="148"/>
      <c r="X164" s="148"/>
      <c r="Y164" s="148"/>
    </row>
    <row r="165" ht="31.5" customHeight="1">
      <c r="A165" s="201"/>
      <c r="B165" s="186"/>
      <c r="C165" s="186"/>
      <c r="D165" s="186"/>
      <c r="E165" s="186"/>
      <c r="F165" s="186"/>
      <c r="G165" s="186"/>
      <c r="H165" s="201"/>
      <c r="I165" s="202"/>
      <c r="J165" s="202"/>
      <c r="K165" s="201"/>
      <c r="L165" s="201"/>
      <c r="M165" s="186"/>
      <c r="N165" s="189"/>
      <c r="O165" s="186"/>
      <c r="P165" s="201"/>
      <c r="Q165" s="148"/>
      <c r="R165" s="148"/>
      <c r="S165" s="148"/>
      <c r="T165" s="148"/>
      <c r="U165" s="148"/>
      <c r="V165" s="148"/>
      <c r="W165" s="148"/>
      <c r="X165" s="148"/>
      <c r="Y165" s="148"/>
    </row>
    <row r="166" ht="31.5" customHeight="1">
      <c r="A166" s="201"/>
      <c r="B166" s="186"/>
      <c r="C166" s="186"/>
      <c r="D166" s="186"/>
      <c r="E166" s="186"/>
      <c r="F166" s="186"/>
      <c r="G166" s="186"/>
      <c r="H166" s="201"/>
      <c r="I166" s="202"/>
      <c r="J166" s="202"/>
      <c r="K166" s="201"/>
      <c r="L166" s="201"/>
      <c r="M166" s="186"/>
      <c r="N166" s="189"/>
      <c r="O166" s="186"/>
      <c r="P166" s="201"/>
      <c r="Q166" s="148"/>
      <c r="R166" s="148"/>
      <c r="S166" s="148"/>
      <c r="T166" s="148"/>
      <c r="U166" s="148"/>
      <c r="V166" s="148"/>
      <c r="W166" s="148"/>
      <c r="X166" s="148"/>
      <c r="Y166" s="148"/>
    </row>
    <row r="167" ht="31.5" customHeight="1">
      <c r="A167" s="201"/>
      <c r="B167" s="186"/>
      <c r="C167" s="186"/>
      <c r="D167" s="186"/>
      <c r="E167" s="186"/>
      <c r="F167" s="186"/>
      <c r="G167" s="186"/>
      <c r="H167" s="201"/>
      <c r="I167" s="202"/>
      <c r="J167" s="202"/>
      <c r="K167" s="201"/>
      <c r="L167" s="201"/>
      <c r="M167" s="186"/>
      <c r="N167" s="189"/>
      <c r="O167" s="186"/>
      <c r="P167" s="201"/>
      <c r="Q167" s="148"/>
      <c r="R167" s="148"/>
      <c r="S167" s="148"/>
      <c r="T167" s="148"/>
      <c r="U167" s="148"/>
      <c r="V167" s="148"/>
      <c r="W167" s="148"/>
      <c r="X167" s="148"/>
      <c r="Y167" s="148"/>
    </row>
    <row r="168" ht="31.5" customHeight="1">
      <c r="A168" s="201"/>
      <c r="B168" s="187"/>
      <c r="C168" s="186"/>
      <c r="D168" s="186"/>
      <c r="E168" s="186"/>
      <c r="F168" s="186"/>
      <c r="G168" s="186"/>
      <c r="H168" s="186"/>
      <c r="I168" s="188"/>
      <c r="J168" s="188"/>
      <c r="K168" s="186"/>
      <c r="L168" s="186"/>
      <c r="M168" s="186"/>
      <c r="N168" s="189"/>
      <c r="O168" s="186"/>
      <c r="P168" s="201"/>
      <c r="Q168" s="148"/>
      <c r="R168" s="148"/>
      <c r="S168" s="148"/>
      <c r="T168" s="148"/>
      <c r="U168" s="148"/>
      <c r="V168" s="148"/>
      <c r="W168" s="148"/>
      <c r="X168" s="148"/>
      <c r="Y168" s="148"/>
    </row>
    <row r="169" ht="30.0" customHeight="1">
      <c r="A169" s="201"/>
      <c r="B169" s="186"/>
      <c r="C169" s="186"/>
      <c r="D169" s="186"/>
      <c r="E169" s="186"/>
      <c r="F169" s="186"/>
      <c r="G169" s="186"/>
      <c r="H169" s="186"/>
      <c r="I169" s="188"/>
      <c r="J169" s="188"/>
      <c r="K169" s="186"/>
      <c r="L169" s="186"/>
      <c r="M169" s="186"/>
      <c r="N169" s="189"/>
      <c r="O169" s="186"/>
      <c r="P169" s="201"/>
      <c r="Q169" s="148"/>
      <c r="R169" s="148"/>
      <c r="S169" s="148"/>
      <c r="T169" s="148"/>
      <c r="U169" s="148"/>
      <c r="V169" s="148"/>
      <c r="W169" s="148"/>
      <c r="X169" s="148"/>
      <c r="Y169" s="148"/>
    </row>
    <row r="170" ht="31.5" customHeight="1">
      <c r="A170" s="201"/>
      <c r="B170" s="186"/>
      <c r="C170" s="186"/>
      <c r="D170" s="186"/>
      <c r="E170" s="186"/>
      <c r="F170" s="186"/>
      <c r="G170" s="186"/>
      <c r="H170" s="201"/>
      <c r="I170" s="202"/>
      <c r="J170" s="202"/>
      <c r="K170" s="201"/>
      <c r="L170" s="201"/>
      <c r="M170" s="186"/>
      <c r="N170" s="189"/>
      <c r="O170" s="186"/>
      <c r="P170" s="201"/>
      <c r="Q170" s="148"/>
      <c r="R170" s="148"/>
      <c r="S170" s="148"/>
      <c r="T170" s="148"/>
      <c r="U170" s="148"/>
      <c r="V170" s="148"/>
      <c r="W170" s="148"/>
      <c r="X170" s="148"/>
      <c r="Y170" s="148"/>
    </row>
    <row r="171" ht="31.5" customHeight="1">
      <c r="A171" s="201"/>
      <c r="B171" s="186"/>
      <c r="C171" s="186"/>
      <c r="D171" s="186"/>
      <c r="E171" s="186"/>
      <c r="F171" s="186"/>
      <c r="G171" s="186"/>
      <c r="H171" s="201"/>
      <c r="I171" s="202"/>
      <c r="J171" s="202"/>
      <c r="K171" s="201"/>
      <c r="L171" s="201"/>
      <c r="M171" s="186"/>
      <c r="N171" s="189"/>
      <c r="O171" s="186"/>
      <c r="P171" s="201"/>
      <c r="Q171" s="148"/>
      <c r="R171" s="148"/>
      <c r="S171" s="148"/>
      <c r="T171" s="148"/>
      <c r="U171" s="148"/>
      <c r="V171" s="148"/>
      <c r="W171" s="148"/>
      <c r="X171" s="148"/>
      <c r="Y171" s="148"/>
    </row>
    <row r="172" ht="31.5" customHeight="1">
      <c r="A172" s="201"/>
      <c r="B172" s="186"/>
      <c r="C172" s="186"/>
      <c r="D172" s="168"/>
      <c r="E172" s="186"/>
      <c r="F172" s="186"/>
      <c r="G172" s="186"/>
      <c r="H172" s="186"/>
      <c r="I172" s="202"/>
      <c r="J172" s="202"/>
      <c r="K172" s="201"/>
      <c r="L172" s="201"/>
      <c r="M172" s="186"/>
      <c r="N172" s="189"/>
      <c r="O172" s="186"/>
      <c r="P172" s="201"/>
      <c r="Q172" s="148"/>
      <c r="R172" s="148"/>
      <c r="S172" s="148"/>
      <c r="T172" s="148"/>
      <c r="U172" s="148"/>
      <c r="V172" s="148"/>
      <c r="W172" s="148"/>
      <c r="X172" s="148"/>
      <c r="Y172" s="148"/>
    </row>
    <row r="173" ht="30.0" customHeight="1">
      <c r="A173" s="201"/>
      <c r="B173" s="187"/>
      <c r="C173" s="186"/>
      <c r="D173" s="186"/>
      <c r="E173" s="186"/>
      <c r="F173" s="186"/>
      <c r="G173" s="186"/>
      <c r="H173" s="186"/>
      <c r="I173" s="188"/>
      <c r="J173" s="188"/>
      <c r="K173" s="186"/>
      <c r="L173" s="186"/>
      <c r="M173" s="186"/>
      <c r="N173" s="189"/>
      <c r="O173" s="186"/>
      <c r="P173" s="201"/>
      <c r="Q173" s="148"/>
      <c r="R173" s="148"/>
      <c r="S173" s="148"/>
      <c r="T173" s="148"/>
      <c r="U173" s="148"/>
      <c r="V173" s="148"/>
      <c r="W173" s="148"/>
      <c r="X173" s="148"/>
      <c r="Y173" s="148"/>
    </row>
    <row r="174" ht="30.0" customHeight="1">
      <c r="A174" s="201"/>
      <c r="B174" s="187"/>
      <c r="C174" s="186"/>
      <c r="D174" s="186"/>
      <c r="E174" s="186"/>
      <c r="F174" s="186"/>
      <c r="G174" s="186"/>
      <c r="H174" s="186"/>
      <c r="I174" s="188"/>
      <c r="J174" s="188"/>
      <c r="K174" s="186"/>
      <c r="L174" s="186"/>
      <c r="M174" s="186"/>
      <c r="N174" s="189"/>
      <c r="O174" s="186"/>
      <c r="P174" s="201"/>
      <c r="Q174" s="148"/>
      <c r="R174" s="148"/>
      <c r="S174" s="148"/>
      <c r="T174" s="148"/>
      <c r="U174" s="148"/>
      <c r="V174" s="148"/>
      <c r="W174" s="148"/>
      <c r="X174" s="148"/>
      <c r="Y174" s="148"/>
    </row>
    <row r="175" ht="31.5" customHeight="1">
      <c r="A175" s="201"/>
      <c r="B175" s="186"/>
      <c r="C175" s="186"/>
      <c r="D175" s="186"/>
      <c r="E175" s="186"/>
      <c r="F175" s="186"/>
      <c r="G175" s="186"/>
      <c r="H175" s="201"/>
      <c r="I175" s="202"/>
      <c r="J175" s="202"/>
      <c r="K175" s="201"/>
      <c r="L175" s="201"/>
      <c r="M175" s="201"/>
      <c r="N175" s="189"/>
      <c r="O175" s="186"/>
      <c r="P175" s="201"/>
      <c r="Q175" s="148"/>
      <c r="R175" s="148"/>
      <c r="S175" s="148"/>
      <c r="T175" s="148"/>
      <c r="U175" s="148"/>
      <c r="V175" s="148"/>
      <c r="W175" s="148"/>
      <c r="X175" s="148"/>
      <c r="Y175" s="148"/>
    </row>
    <row r="176" ht="30.0" customHeight="1">
      <c r="A176" s="201"/>
      <c r="B176" s="186"/>
      <c r="C176" s="186"/>
      <c r="D176" s="186"/>
      <c r="E176" s="186"/>
      <c r="F176" s="186"/>
      <c r="G176" s="186"/>
      <c r="H176" s="186"/>
      <c r="I176" s="188"/>
      <c r="J176" s="188"/>
      <c r="K176" s="186"/>
      <c r="L176" s="186"/>
      <c r="M176" s="186"/>
      <c r="N176" s="189"/>
      <c r="O176" s="186"/>
      <c r="P176" s="201"/>
      <c r="Q176" s="148"/>
      <c r="R176" s="148"/>
      <c r="S176" s="148"/>
      <c r="T176" s="148"/>
      <c r="U176" s="148"/>
      <c r="V176" s="148"/>
      <c r="W176" s="148"/>
      <c r="X176" s="148"/>
      <c r="Y176" s="148"/>
    </row>
    <row r="177">
      <c r="A177" s="201"/>
      <c r="B177" s="186"/>
      <c r="C177" s="186"/>
      <c r="D177" s="186"/>
      <c r="E177" s="186"/>
      <c r="F177" s="201"/>
      <c r="G177" s="186"/>
      <c r="H177" s="186"/>
      <c r="I177" s="188"/>
      <c r="J177" s="188"/>
      <c r="K177" s="186"/>
      <c r="L177" s="186"/>
      <c r="M177" s="186"/>
      <c r="N177" s="189"/>
      <c r="O177" s="186"/>
      <c r="P177" s="201"/>
      <c r="Q177" s="148"/>
      <c r="R177" s="148"/>
      <c r="S177" s="148"/>
      <c r="T177" s="148"/>
      <c r="U177" s="148"/>
      <c r="V177" s="148"/>
      <c r="W177" s="148"/>
      <c r="X177" s="148"/>
      <c r="Y177" s="148"/>
    </row>
    <row r="178" ht="30.0" customHeight="1">
      <c r="A178" s="201"/>
      <c r="B178" s="217"/>
      <c r="C178" s="186"/>
      <c r="D178" s="186"/>
      <c r="E178" s="186"/>
      <c r="F178" s="186"/>
      <c r="G178" s="186"/>
      <c r="H178" s="186"/>
      <c r="I178" s="188"/>
      <c r="J178" s="188"/>
      <c r="K178" s="186"/>
      <c r="L178" s="186"/>
      <c r="M178" s="186"/>
      <c r="N178" s="189"/>
      <c r="O178" s="186"/>
      <c r="P178" s="201"/>
      <c r="Q178" s="148"/>
      <c r="R178" s="148"/>
      <c r="S178" s="148"/>
      <c r="T178" s="148"/>
      <c r="U178" s="148"/>
      <c r="V178" s="148"/>
      <c r="W178" s="148"/>
      <c r="X178" s="148"/>
      <c r="Y178" s="148"/>
    </row>
    <row r="179" ht="31.5" customHeight="1">
      <c r="A179" s="201"/>
      <c r="B179" s="186"/>
      <c r="C179" s="186"/>
      <c r="D179" s="186"/>
      <c r="E179" s="186"/>
      <c r="F179" s="201"/>
      <c r="G179" s="186"/>
      <c r="H179" s="186"/>
      <c r="I179" s="188"/>
      <c r="J179" s="188"/>
      <c r="K179" s="186"/>
      <c r="L179" s="186"/>
      <c r="M179" s="186"/>
      <c r="N179" s="189"/>
      <c r="O179" s="186"/>
      <c r="P179" s="201"/>
      <c r="Q179" s="148"/>
      <c r="R179" s="148"/>
      <c r="S179" s="148"/>
      <c r="T179" s="148"/>
      <c r="U179" s="148"/>
      <c r="V179" s="148"/>
      <c r="W179" s="148"/>
      <c r="X179" s="148"/>
      <c r="Y179" s="148"/>
    </row>
    <row r="180" ht="31.5" customHeight="1">
      <c r="A180" s="201"/>
      <c r="B180" s="186"/>
      <c r="C180" s="186"/>
      <c r="D180" s="186"/>
      <c r="E180" s="186"/>
      <c r="F180" s="186"/>
      <c r="G180" s="186"/>
      <c r="H180" s="186"/>
      <c r="I180" s="188"/>
      <c r="J180" s="188"/>
      <c r="K180" s="186"/>
      <c r="L180" s="186"/>
      <c r="M180" s="186"/>
      <c r="N180" s="189"/>
      <c r="O180" s="186"/>
      <c r="P180" s="201"/>
      <c r="Q180" s="148"/>
      <c r="R180" s="148"/>
      <c r="S180" s="148"/>
      <c r="T180" s="148"/>
      <c r="U180" s="148"/>
      <c r="V180" s="148"/>
      <c r="W180" s="148"/>
      <c r="X180" s="148"/>
      <c r="Y180" s="148"/>
    </row>
    <row r="181" ht="30.0" customHeight="1">
      <c r="A181" s="201"/>
      <c r="B181" s="187"/>
      <c r="C181" s="186"/>
      <c r="D181" s="186"/>
      <c r="E181" s="186"/>
      <c r="F181" s="186"/>
      <c r="G181" s="186"/>
      <c r="H181" s="186"/>
      <c r="I181" s="188"/>
      <c r="J181" s="188"/>
      <c r="K181" s="186"/>
      <c r="L181" s="186"/>
      <c r="M181" s="186"/>
      <c r="N181" s="189"/>
      <c r="O181" s="186"/>
      <c r="P181" s="201"/>
      <c r="Q181" s="148"/>
      <c r="R181" s="148"/>
      <c r="S181" s="148"/>
      <c r="T181" s="148"/>
      <c r="U181" s="148"/>
      <c r="V181" s="148"/>
      <c r="W181" s="148"/>
      <c r="X181" s="148"/>
      <c r="Y181" s="148"/>
    </row>
    <row r="182" ht="30.0" customHeight="1">
      <c r="A182" s="201"/>
      <c r="B182" s="186"/>
      <c r="C182" s="186"/>
      <c r="D182" s="186"/>
      <c r="E182" s="186"/>
      <c r="F182" s="186"/>
      <c r="G182" s="186"/>
      <c r="H182" s="186"/>
      <c r="I182" s="188"/>
      <c r="J182" s="188"/>
      <c r="K182" s="186"/>
      <c r="L182" s="186"/>
      <c r="M182" s="186"/>
      <c r="N182" s="189"/>
      <c r="O182" s="186"/>
      <c r="P182" s="201"/>
      <c r="Q182" s="148"/>
      <c r="R182" s="148"/>
      <c r="S182" s="148"/>
      <c r="T182" s="148"/>
      <c r="U182" s="148"/>
      <c r="V182" s="148"/>
      <c r="W182" s="148"/>
      <c r="X182" s="148"/>
      <c r="Y182" s="148"/>
    </row>
    <row r="183" ht="30.0" customHeight="1">
      <c r="A183" s="201"/>
      <c r="B183" s="186"/>
      <c r="C183" s="186"/>
      <c r="D183" s="186"/>
      <c r="E183" s="186"/>
      <c r="F183" s="186"/>
      <c r="G183" s="186"/>
      <c r="H183" s="186"/>
      <c r="I183" s="188"/>
      <c r="J183" s="188"/>
      <c r="K183" s="186"/>
      <c r="L183" s="186"/>
      <c r="M183" s="186"/>
      <c r="N183" s="189"/>
      <c r="O183" s="186"/>
      <c r="P183" s="201"/>
      <c r="Q183" s="148"/>
      <c r="R183" s="148"/>
      <c r="S183" s="148"/>
      <c r="T183" s="148"/>
      <c r="U183" s="148"/>
      <c r="V183" s="148"/>
      <c r="W183" s="148"/>
      <c r="X183" s="148"/>
      <c r="Y183" s="148"/>
    </row>
    <row r="184" ht="31.5" customHeight="1">
      <c r="A184" s="201"/>
      <c r="B184" s="186"/>
      <c r="C184" s="186"/>
      <c r="D184" s="186"/>
      <c r="E184" s="186"/>
      <c r="F184" s="186"/>
      <c r="G184" s="186"/>
      <c r="H184" s="201"/>
      <c r="I184" s="202"/>
      <c r="J184" s="202"/>
      <c r="K184" s="201"/>
      <c r="L184" s="201"/>
      <c r="M184" s="201"/>
      <c r="N184" s="186"/>
      <c r="O184" s="186"/>
      <c r="P184" s="201"/>
      <c r="Q184" s="148"/>
      <c r="R184" s="148"/>
      <c r="S184" s="148"/>
      <c r="T184" s="148"/>
      <c r="U184" s="148"/>
      <c r="V184" s="148"/>
      <c r="W184" s="148"/>
      <c r="X184" s="148"/>
      <c r="Y184" s="148"/>
    </row>
    <row r="185" ht="31.5" customHeight="1">
      <c r="A185" s="201"/>
      <c r="B185" s="186"/>
      <c r="C185" s="186"/>
      <c r="D185" s="186"/>
      <c r="E185" s="186"/>
      <c r="F185" s="186"/>
      <c r="G185" s="186"/>
      <c r="H185" s="201"/>
      <c r="I185" s="202"/>
      <c r="J185" s="202"/>
      <c r="K185" s="201"/>
      <c r="L185" s="201"/>
      <c r="M185" s="201"/>
      <c r="N185" s="186"/>
      <c r="O185" s="186"/>
      <c r="P185" s="201"/>
      <c r="Q185" s="148"/>
      <c r="R185" s="148"/>
      <c r="S185" s="148"/>
      <c r="T185" s="148"/>
      <c r="U185" s="148"/>
      <c r="V185" s="148"/>
      <c r="W185" s="148"/>
      <c r="X185" s="148"/>
      <c r="Y185" s="148"/>
    </row>
    <row r="186" ht="30.0" customHeight="1">
      <c r="A186" s="201"/>
      <c r="B186" s="187"/>
      <c r="C186" s="186"/>
      <c r="D186" s="186"/>
      <c r="E186" s="186"/>
      <c r="F186" s="201"/>
      <c r="G186" s="186"/>
      <c r="H186" s="186"/>
      <c r="I186" s="188"/>
      <c r="J186" s="188"/>
      <c r="K186" s="186"/>
      <c r="L186" s="186"/>
      <c r="M186" s="186"/>
      <c r="N186" s="189"/>
      <c r="O186" s="186"/>
      <c r="P186" s="201"/>
      <c r="Q186" s="148"/>
      <c r="R186" s="148"/>
      <c r="S186" s="148"/>
      <c r="T186" s="148"/>
      <c r="U186" s="148"/>
      <c r="V186" s="148"/>
      <c r="W186" s="148"/>
      <c r="X186" s="148"/>
      <c r="Y186" s="148"/>
    </row>
    <row r="187" ht="31.5" customHeight="1">
      <c r="A187" s="201"/>
      <c r="B187" s="186"/>
      <c r="C187" s="186"/>
      <c r="D187" s="186"/>
      <c r="E187" s="186"/>
      <c r="F187" s="186"/>
      <c r="G187" s="186"/>
      <c r="H187" s="186"/>
      <c r="I187" s="188"/>
      <c r="J187" s="188"/>
      <c r="K187" s="186"/>
      <c r="L187" s="186"/>
      <c r="M187" s="186"/>
      <c r="N187" s="189"/>
      <c r="O187" s="186"/>
      <c r="P187" s="201"/>
      <c r="Q187" s="148"/>
      <c r="R187" s="148"/>
      <c r="S187" s="148"/>
      <c r="T187" s="148"/>
      <c r="U187" s="148"/>
      <c r="V187" s="148"/>
      <c r="W187" s="148"/>
      <c r="X187" s="148"/>
      <c r="Y187" s="148"/>
    </row>
    <row r="188" ht="31.5" customHeight="1">
      <c r="A188" s="201"/>
      <c r="B188" s="186"/>
      <c r="C188" s="186"/>
      <c r="D188" s="186"/>
      <c r="E188" s="186"/>
      <c r="F188" s="186"/>
      <c r="G188" s="186"/>
      <c r="H188" s="186"/>
      <c r="I188" s="188"/>
      <c r="J188" s="188"/>
      <c r="K188" s="186"/>
      <c r="L188" s="186"/>
      <c r="M188" s="186"/>
      <c r="N188" s="189"/>
      <c r="O188" s="186"/>
      <c r="P188" s="201"/>
      <c r="Q188" s="148"/>
      <c r="R188" s="148"/>
      <c r="S188" s="148"/>
      <c r="T188" s="148"/>
      <c r="U188" s="148"/>
      <c r="V188" s="148"/>
      <c r="W188" s="148"/>
      <c r="X188" s="148"/>
      <c r="Y188" s="148"/>
    </row>
    <row r="189" ht="30.0" customHeight="1">
      <c r="A189" s="201"/>
      <c r="B189" s="187"/>
      <c r="C189" s="186"/>
      <c r="D189" s="186"/>
      <c r="E189" s="186"/>
      <c r="F189" s="186"/>
      <c r="G189" s="186"/>
      <c r="H189" s="186"/>
      <c r="I189" s="188"/>
      <c r="J189" s="188"/>
      <c r="K189" s="186"/>
      <c r="L189" s="186"/>
      <c r="M189" s="186"/>
      <c r="N189" s="189"/>
      <c r="O189" s="186"/>
      <c r="P189" s="201"/>
      <c r="Q189" s="148"/>
      <c r="R189" s="148"/>
      <c r="S189" s="148"/>
      <c r="T189" s="148"/>
      <c r="U189" s="148"/>
      <c r="V189" s="148"/>
      <c r="W189" s="148"/>
      <c r="X189" s="148"/>
      <c r="Y189" s="148"/>
    </row>
    <row r="190" ht="30.0" customHeight="1">
      <c r="A190" s="201"/>
      <c r="B190" s="186"/>
      <c r="C190" s="186"/>
      <c r="D190" s="186"/>
      <c r="E190" s="186"/>
      <c r="F190" s="186"/>
      <c r="G190" s="186"/>
      <c r="H190" s="201"/>
      <c r="I190" s="188"/>
      <c r="J190" s="188"/>
      <c r="K190" s="186"/>
      <c r="L190" s="186"/>
      <c r="M190" s="186"/>
      <c r="N190" s="189"/>
      <c r="O190" s="186"/>
      <c r="P190" s="201"/>
      <c r="Q190" s="148"/>
      <c r="R190" s="148"/>
      <c r="S190" s="148"/>
      <c r="T190" s="148"/>
      <c r="U190" s="148"/>
      <c r="V190" s="148"/>
      <c r="W190" s="148"/>
      <c r="X190" s="148"/>
      <c r="Y190" s="148"/>
    </row>
    <row r="191" ht="30.0" customHeight="1">
      <c r="A191" s="201"/>
      <c r="B191" s="186"/>
      <c r="C191" s="186"/>
      <c r="D191" s="186"/>
      <c r="E191" s="186"/>
      <c r="F191" s="186"/>
      <c r="G191" s="186"/>
      <c r="H191" s="186"/>
      <c r="I191" s="188"/>
      <c r="J191" s="188"/>
      <c r="K191" s="186"/>
      <c r="L191" s="186"/>
      <c r="M191" s="186"/>
      <c r="N191" s="189"/>
      <c r="O191" s="186"/>
      <c r="P191" s="201"/>
      <c r="Q191" s="148"/>
      <c r="R191" s="148"/>
      <c r="S191" s="148"/>
      <c r="T191" s="148"/>
      <c r="U191" s="148"/>
      <c r="V191" s="148"/>
      <c r="W191" s="148"/>
      <c r="X191" s="148"/>
      <c r="Y191" s="148"/>
    </row>
    <row r="192" ht="30.0" customHeight="1">
      <c r="A192" s="201"/>
      <c r="B192" s="187"/>
      <c r="C192" s="186"/>
      <c r="D192" s="186"/>
      <c r="E192" s="186"/>
      <c r="F192" s="201"/>
      <c r="G192" s="186"/>
      <c r="H192" s="201"/>
      <c r="I192" s="188"/>
      <c r="J192" s="188"/>
      <c r="K192" s="186"/>
      <c r="L192" s="186"/>
      <c r="M192" s="186"/>
      <c r="N192" s="189"/>
      <c r="O192" s="186"/>
      <c r="P192" s="201"/>
      <c r="Q192" s="148"/>
      <c r="R192" s="148"/>
      <c r="S192" s="148"/>
      <c r="T192" s="148"/>
      <c r="U192" s="148"/>
      <c r="V192" s="148"/>
      <c r="W192" s="148"/>
      <c r="X192" s="148"/>
      <c r="Y192" s="148"/>
    </row>
    <row r="193" ht="30.0" customHeight="1">
      <c r="A193" s="201"/>
      <c r="B193" s="187"/>
      <c r="C193" s="186"/>
      <c r="D193" s="186"/>
      <c r="E193" s="186"/>
      <c r="F193" s="186"/>
      <c r="G193" s="186"/>
      <c r="H193" s="186"/>
      <c r="I193" s="188"/>
      <c r="J193" s="188"/>
      <c r="K193" s="186"/>
      <c r="L193" s="186"/>
      <c r="M193" s="186"/>
      <c r="N193" s="189"/>
      <c r="O193" s="186"/>
      <c r="P193" s="201"/>
      <c r="Q193" s="148"/>
      <c r="R193" s="148"/>
      <c r="S193" s="148"/>
      <c r="T193" s="148"/>
      <c r="U193" s="148"/>
      <c r="V193" s="148"/>
      <c r="W193" s="148"/>
      <c r="X193" s="148"/>
      <c r="Y193" s="148"/>
    </row>
    <row r="194" ht="30.0" customHeight="1">
      <c r="A194" s="201"/>
      <c r="B194" s="187"/>
      <c r="C194" s="186"/>
      <c r="D194" s="186"/>
      <c r="E194" s="186"/>
      <c r="F194" s="186"/>
      <c r="G194" s="186"/>
      <c r="H194" s="186"/>
      <c r="I194" s="188"/>
      <c r="J194" s="188"/>
      <c r="K194" s="186"/>
      <c r="L194" s="186"/>
      <c r="M194" s="186"/>
      <c r="N194" s="189"/>
      <c r="O194" s="186"/>
      <c r="P194" s="201"/>
      <c r="Q194" s="148"/>
      <c r="R194" s="148"/>
      <c r="S194" s="148"/>
      <c r="T194" s="148"/>
      <c r="U194" s="148"/>
      <c r="V194" s="148"/>
      <c r="W194" s="148"/>
      <c r="X194" s="148"/>
      <c r="Y194" s="148"/>
    </row>
    <row r="195" ht="30.0" customHeight="1">
      <c r="A195" s="201"/>
      <c r="B195" s="186"/>
      <c r="C195" s="186"/>
      <c r="D195" s="186"/>
      <c r="E195" s="186"/>
      <c r="F195" s="201"/>
      <c r="G195" s="186"/>
      <c r="H195" s="186"/>
      <c r="I195" s="188"/>
      <c r="J195" s="188"/>
      <c r="K195" s="186"/>
      <c r="L195" s="186"/>
      <c r="M195" s="186"/>
      <c r="N195" s="189"/>
      <c r="O195" s="186"/>
      <c r="P195" s="201"/>
      <c r="Q195" s="148"/>
      <c r="R195" s="148"/>
      <c r="S195" s="148"/>
      <c r="T195" s="148"/>
      <c r="U195" s="148"/>
      <c r="V195" s="148"/>
      <c r="W195" s="148"/>
      <c r="X195" s="148"/>
      <c r="Y195" s="148"/>
    </row>
    <row r="196" ht="31.5" customHeight="1">
      <c r="A196" s="201"/>
      <c r="B196" s="187"/>
      <c r="C196" s="186"/>
      <c r="D196" s="186"/>
      <c r="E196" s="186"/>
      <c r="F196" s="186"/>
      <c r="G196" s="186"/>
      <c r="H196" s="186"/>
      <c r="I196" s="188"/>
      <c r="J196" s="188"/>
      <c r="K196" s="186"/>
      <c r="L196" s="186"/>
      <c r="M196" s="186"/>
      <c r="N196" s="189"/>
      <c r="O196" s="186"/>
      <c r="P196" s="201"/>
      <c r="Q196" s="148"/>
      <c r="R196" s="148"/>
      <c r="S196" s="148"/>
      <c r="T196" s="148"/>
      <c r="U196" s="148"/>
      <c r="V196" s="148"/>
      <c r="W196" s="148"/>
      <c r="X196" s="148"/>
      <c r="Y196" s="148"/>
    </row>
    <row r="197" ht="30.0" customHeight="1">
      <c r="A197" s="201"/>
      <c r="B197" s="186"/>
      <c r="C197" s="186"/>
      <c r="D197" s="186"/>
      <c r="E197" s="186"/>
      <c r="F197" s="186"/>
      <c r="G197" s="186"/>
      <c r="H197" s="201"/>
      <c r="I197" s="188"/>
      <c r="J197" s="188"/>
      <c r="K197" s="186"/>
      <c r="L197" s="186"/>
      <c r="M197" s="186"/>
      <c r="N197" s="189"/>
      <c r="O197" s="186"/>
      <c r="P197" s="186"/>
      <c r="Q197" s="168"/>
      <c r="R197" s="168"/>
      <c r="S197" s="168"/>
      <c r="T197" s="168"/>
      <c r="U197" s="168"/>
      <c r="V197" s="168"/>
      <c r="W197" s="168"/>
      <c r="X197" s="168"/>
      <c r="Y197" s="168"/>
    </row>
    <row r="198" ht="30.0" customHeight="1">
      <c r="A198" s="201"/>
      <c r="B198" s="186"/>
      <c r="C198" s="186"/>
      <c r="D198" s="186"/>
      <c r="E198" s="186"/>
      <c r="F198" s="186"/>
      <c r="G198" s="186"/>
      <c r="H198" s="201"/>
      <c r="I198" s="188"/>
      <c r="J198" s="188"/>
      <c r="K198" s="186"/>
      <c r="L198" s="186"/>
      <c r="M198" s="186"/>
      <c r="N198" s="189"/>
      <c r="O198" s="186"/>
      <c r="P198" s="201"/>
      <c r="Q198" s="148"/>
      <c r="R198" s="148"/>
      <c r="S198" s="148"/>
      <c r="T198" s="148"/>
      <c r="U198" s="148"/>
      <c r="V198" s="148"/>
      <c r="W198" s="148"/>
      <c r="X198" s="148"/>
      <c r="Y198" s="148"/>
    </row>
    <row r="199" ht="30.0" customHeight="1">
      <c r="A199" s="201"/>
      <c r="B199" s="186"/>
      <c r="C199" s="186"/>
      <c r="D199" s="186"/>
      <c r="E199" s="186"/>
      <c r="F199" s="186"/>
      <c r="G199" s="186"/>
      <c r="H199" s="186"/>
      <c r="I199" s="188"/>
      <c r="J199" s="188"/>
      <c r="K199" s="186"/>
      <c r="L199" s="186"/>
      <c r="M199" s="186"/>
      <c r="N199" s="189"/>
      <c r="O199" s="186"/>
      <c r="P199" s="201"/>
      <c r="Q199" s="148"/>
      <c r="R199" s="148"/>
      <c r="S199" s="148"/>
      <c r="T199" s="148"/>
      <c r="U199" s="148"/>
      <c r="V199" s="148"/>
      <c r="W199" s="148"/>
      <c r="X199" s="148"/>
      <c r="Y199" s="148"/>
    </row>
    <row r="200" ht="30.0" customHeight="1">
      <c r="A200" s="201"/>
      <c r="B200" s="186"/>
      <c r="C200" s="186"/>
      <c r="D200" s="186"/>
      <c r="E200" s="186"/>
      <c r="F200" s="186"/>
      <c r="G200" s="186"/>
      <c r="H200" s="186"/>
      <c r="I200" s="188"/>
      <c r="J200" s="188"/>
      <c r="K200" s="186"/>
      <c r="L200" s="186"/>
      <c r="M200" s="186"/>
      <c r="N200" s="189"/>
      <c r="O200" s="186"/>
      <c r="P200" s="201"/>
      <c r="Q200" s="148"/>
      <c r="R200" s="148"/>
      <c r="S200" s="148"/>
      <c r="T200" s="148"/>
      <c r="U200" s="148"/>
      <c r="V200" s="148"/>
      <c r="W200" s="148"/>
      <c r="X200" s="148"/>
      <c r="Y200" s="148"/>
    </row>
    <row r="201" ht="31.5" customHeight="1">
      <c r="A201" s="201"/>
      <c r="B201" s="186"/>
      <c r="C201" s="186"/>
      <c r="D201" s="186"/>
      <c r="E201" s="186"/>
      <c r="F201" s="186"/>
      <c r="G201" s="186"/>
      <c r="H201" s="186"/>
      <c r="I201" s="188"/>
      <c r="J201" s="188"/>
      <c r="K201" s="186"/>
      <c r="L201" s="186"/>
      <c r="M201" s="186"/>
      <c r="N201" s="189"/>
      <c r="O201" s="186"/>
      <c r="P201" s="201"/>
      <c r="Q201" s="148"/>
      <c r="R201" s="148"/>
      <c r="S201" s="148"/>
      <c r="T201" s="148"/>
      <c r="U201" s="148"/>
      <c r="V201" s="148"/>
      <c r="W201" s="148"/>
      <c r="X201" s="148"/>
      <c r="Y201" s="148"/>
    </row>
    <row r="202" ht="31.5" customHeight="1">
      <c r="A202" s="201"/>
      <c r="B202" s="186"/>
      <c r="C202" s="186"/>
      <c r="D202" s="186"/>
      <c r="E202" s="186"/>
      <c r="F202" s="186"/>
      <c r="G202" s="186"/>
      <c r="H202" s="186"/>
      <c r="I202" s="188"/>
      <c r="J202" s="188"/>
      <c r="K202" s="186"/>
      <c r="L202" s="186"/>
      <c r="M202" s="186"/>
      <c r="N202" s="189"/>
      <c r="O202" s="186"/>
      <c r="P202" s="201"/>
      <c r="Q202" s="148"/>
      <c r="R202" s="148"/>
      <c r="S202" s="148"/>
      <c r="T202" s="148"/>
      <c r="U202" s="148"/>
      <c r="V202" s="148"/>
      <c r="W202" s="148"/>
      <c r="X202" s="148"/>
      <c r="Y202" s="148"/>
    </row>
    <row r="203" ht="30.0" customHeight="1">
      <c r="A203" s="201"/>
      <c r="B203" s="186"/>
      <c r="C203" s="186"/>
      <c r="D203" s="186"/>
      <c r="E203" s="186"/>
      <c r="F203" s="186"/>
      <c r="G203" s="186"/>
      <c r="H203" s="186"/>
      <c r="I203" s="188"/>
      <c r="J203" s="188"/>
      <c r="K203" s="186"/>
      <c r="L203" s="186"/>
      <c r="M203" s="186"/>
      <c r="N203" s="189"/>
      <c r="O203" s="186"/>
      <c r="P203" s="201"/>
      <c r="Q203" s="148"/>
      <c r="R203" s="148"/>
      <c r="S203" s="148"/>
      <c r="T203" s="148"/>
      <c r="U203" s="148"/>
      <c r="V203" s="148"/>
      <c r="W203" s="148"/>
      <c r="X203" s="148"/>
      <c r="Y203" s="148"/>
    </row>
    <row r="204" ht="30.0" customHeight="1">
      <c r="A204" s="201"/>
      <c r="B204" s="186"/>
      <c r="C204" s="186"/>
      <c r="D204" s="218"/>
      <c r="E204" s="186"/>
      <c r="F204" s="186"/>
      <c r="G204" s="186"/>
      <c r="H204" s="186"/>
      <c r="I204" s="188"/>
      <c r="J204" s="188"/>
      <c r="K204" s="186"/>
      <c r="L204" s="186"/>
      <c r="M204" s="186"/>
      <c r="N204" s="189"/>
      <c r="O204" s="186"/>
      <c r="P204" s="201"/>
      <c r="Q204" s="148"/>
      <c r="R204" s="148"/>
      <c r="S204" s="148"/>
      <c r="T204" s="148"/>
      <c r="U204" s="148"/>
      <c r="V204" s="148"/>
      <c r="W204" s="148"/>
      <c r="X204" s="148"/>
      <c r="Y204" s="148"/>
    </row>
    <row r="205" ht="30.0" customHeight="1">
      <c r="A205" s="201"/>
      <c r="B205" s="186"/>
      <c r="C205" s="186"/>
      <c r="D205" s="218"/>
      <c r="E205" s="186"/>
      <c r="F205" s="186"/>
      <c r="G205" s="186"/>
      <c r="H205" s="186"/>
      <c r="I205" s="188"/>
      <c r="J205" s="188"/>
      <c r="K205" s="186"/>
      <c r="L205" s="186"/>
      <c r="M205" s="186"/>
      <c r="N205" s="189"/>
      <c r="O205" s="186"/>
      <c r="P205" s="201"/>
      <c r="Q205" s="148"/>
      <c r="R205" s="148"/>
      <c r="S205" s="148"/>
      <c r="T205" s="148"/>
      <c r="U205" s="148"/>
      <c r="V205" s="148"/>
      <c r="W205" s="148"/>
      <c r="X205" s="148"/>
      <c r="Y205" s="148"/>
    </row>
    <row r="206" ht="30.0" customHeight="1">
      <c r="A206" s="201"/>
      <c r="B206" s="186"/>
      <c r="C206" s="186"/>
      <c r="D206" s="186"/>
      <c r="E206" s="186"/>
      <c r="F206" s="186"/>
      <c r="G206" s="186"/>
      <c r="H206" s="201"/>
      <c r="I206" s="188"/>
      <c r="J206" s="188"/>
      <c r="K206" s="186"/>
      <c r="L206" s="186"/>
      <c r="M206" s="186"/>
      <c r="N206" s="189"/>
      <c r="O206" s="186"/>
      <c r="P206" s="201"/>
      <c r="Q206" s="148"/>
      <c r="R206" s="148"/>
      <c r="S206" s="148"/>
      <c r="T206" s="148"/>
      <c r="U206" s="148"/>
      <c r="V206" s="148"/>
      <c r="W206" s="148"/>
      <c r="X206" s="148"/>
      <c r="Y206" s="148"/>
    </row>
    <row r="207" ht="30.0" customHeight="1">
      <c r="A207" s="201"/>
      <c r="B207" s="186"/>
      <c r="C207" s="186"/>
      <c r="D207" s="186"/>
      <c r="E207" s="186"/>
      <c r="F207" s="186"/>
      <c r="G207" s="186"/>
      <c r="H207" s="201"/>
      <c r="I207" s="188"/>
      <c r="J207" s="188"/>
      <c r="K207" s="186"/>
      <c r="L207" s="186"/>
      <c r="M207" s="186"/>
      <c r="N207" s="189"/>
      <c r="O207" s="186"/>
      <c r="P207" s="201"/>
      <c r="Q207" s="148"/>
      <c r="R207" s="148"/>
      <c r="S207" s="148"/>
      <c r="T207" s="148"/>
      <c r="U207" s="148"/>
      <c r="V207" s="148"/>
      <c r="W207" s="148"/>
      <c r="X207" s="148"/>
      <c r="Y207" s="148"/>
    </row>
    <row r="208" ht="31.5" customHeight="1">
      <c r="A208" s="201"/>
      <c r="B208" s="186"/>
      <c r="C208" s="186"/>
      <c r="D208" s="186"/>
      <c r="E208" s="186"/>
      <c r="F208" s="186"/>
      <c r="G208" s="186"/>
      <c r="H208" s="201"/>
      <c r="I208" s="202"/>
      <c r="J208" s="202"/>
      <c r="K208" s="201"/>
      <c r="L208" s="201"/>
      <c r="M208" s="201"/>
      <c r="N208" s="189"/>
      <c r="O208" s="186"/>
      <c r="P208" s="201"/>
      <c r="Q208" s="148"/>
      <c r="R208" s="148"/>
      <c r="S208" s="148"/>
      <c r="T208" s="148"/>
      <c r="U208" s="148"/>
      <c r="V208" s="148"/>
      <c r="W208" s="148"/>
      <c r="X208" s="148"/>
      <c r="Y208" s="148"/>
    </row>
    <row r="209" ht="31.5" customHeight="1">
      <c r="A209" s="201"/>
      <c r="B209" s="186"/>
      <c r="C209" s="186"/>
      <c r="D209" s="186"/>
      <c r="E209" s="186"/>
      <c r="F209" s="186"/>
      <c r="G209" s="186"/>
      <c r="H209" s="201"/>
      <c r="I209" s="202"/>
      <c r="J209" s="202"/>
      <c r="K209" s="201"/>
      <c r="L209" s="201"/>
      <c r="M209" s="201"/>
      <c r="N209" s="189"/>
      <c r="O209" s="186"/>
      <c r="P209" s="201"/>
      <c r="Q209" s="148"/>
      <c r="R209" s="148"/>
      <c r="S209" s="148"/>
      <c r="T209" s="148"/>
      <c r="U209" s="148"/>
      <c r="V209" s="148"/>
      <c r="W209" s="148"/>
      <c r="X209" s="148"/>
      <c r="Y209" s="148"/>
    </row>
    <row r="210" ht="30.0" customHeight="1">
      <c r="A210" s="201"/>
      <c r="B210" s="186"/>
      <c r="C210" s="186"/>
      <c r="D210" s="186"/>
      <c r="E210" s="186"/>
      <c r="F210" s="186"/>
      <c r="G210" s="186"/>
      <c r="H210" s="186"/>
      <c r="I210" s="188"/>
      <c r="J210" s="188"/>
      <c r="K210" s="186"/>
      <c r="L210" s="186"/>
      <c r="M210" s="186"/>
      <c r="N210" s="189"/>
      <c r="O210" s="186"/>
      <c r="P210" s="201"/>
      <c r="Q210" s="148"/>
      <c r="R210" s="148"/>
      <c r="S210" s="148"/>
      <c r="T210" s="148"/>
      <c r="U210" s="148"/>
      <c r="V210" s="148"/>
      <c r="W210" s="148"/>
      <c r="X210" s="148"/>
      <c r="Y210" s="148"/>
    </row>
    <row r="211" ht="30.0" customHeight="1">
      <c r="A211" s="201"/>
      <c r="B211" s="186"/>
      <c r="C211" s="186"/>
      <c r="D211" s="218"/>
      <c r="E211" s="186"/>
      <c r="F211" s="201"/>
      <c r="G211" s="186"/>
      <c r="H211" s="201"/>
      <c r="I211" s="188"/>
      <c r="J211" s="188"/>
      <c r="K211" s="186"/>
      <c r="L211" s="186"/>
      <c r="M211" s="186"/>
      <c r="N211" s="189"/>
      <c r="O211" s="186"/>
      <c r="P211" s="201"/>
      <c r="Q211" s="148"/>
      <c r="R211" s="148"/>
      <c r="S211" s="148"/>
      <c r="T211" s="148"/>
      <c r="U211" s="148"/>
      <c r="V211" s="148"/>
      <c r="W211" s="148"/>
      <c r="X211" s="148"/>
      <c r="Y211" s="148"/>
    </row>
    <row r="212" ht="30.0" customHeight="1">
      <c r="A212" s="201"/>
      <c r="B212" s="186"/>
      <c r="C212" s="186"/>
      <c r="D212" s="186"/>
      <c r="E212" s="186"/>
      <c r="F212" s="186"/>
      <c r="G212" s="186"/>
      <c r="H212" s="186"/>
      <c r="I212" s="188"/>
      <c r="J212" s="188"/>
      <c r="K212" s="186"/>
      <c r="L212" s="186"/>
      <c r="M212" s="186"/>
      <c r="N212" s="189"/>
      <c r="O212" s="186"/>
      <c r="P212" s="201"/>
      <c r="Q212" s="148"/>
      <c r="R212" s="148"/>
      <c r="S212" s="148"/>
      <c r="T212" s="148"/>
      <c r="U212" s="148"/>
      <c r="V212" s="148"/>
      <c r="W212" s="148"/>
      <c r="X212" s="148"/>
      <c r="Y212" s="148"/>
    </row>
    <row r="213" ht="30.0" customHeight="1">
      <c r="A213" s="201"/>
      <c r="B213" s="186"/>
      <c r="C213" s="186"/>
      <c r="D213" s="186"/>
      <c r="E213" s="186"/>
      <c r="F213" s="186"/>
      <c r="G213" s="186"/>
      <c r="H213" s="186"/>
      <c r="I213" s="188"/>
      <c r="J213" s="188"/>
      <c r="K213" s="186"/>
      <c r="L213" s="186"/>
      <c r="M213" s="186"/>
      <c r="N213" s="189"/>
      <c r="O213" s="186"/>
      <c r="P213" s="201"/>
      <c r="Q213" s="148"/>
      <c r="R213" s="148"/>
      <c r="S213" s="148"/>
      <c r="T213" s="148"/>
      <c r="U213" s="148"/>
      <c r="V213" s="148"/>
      <c r="W213" s="148"/>
      <c r="X213" s="148"/>
      <c r="Y213" s="148"/>
    </row>
    <row r="214" ht="30.0" customHeight="1">
      <c r="A214" s="201"/>
      <c r="B214" s="186"/>
      <c r="C214" s="186"/>
      <c r="D214" s="186"/>
      <c r="E214" s="186"/>
      <c r="F214" s="186"/>
      <c r="G214" s="186"/>
      <c r="H214" s="186"/>
      <c r="I214" s="188"/>
      <c r="J214" s="188"/>
      <c r="K214" s="186"/>
      <c r="L214" s="186"/>
      <c r="M214" s="186"/>
      <c r="N214" s="189"/>
      <c r="O214" s="186"/>
      <c r="P214" s="201"/>
      <c r="Q214" s="148"/>
      <c r="R214" s="148"/>
      <c r="S214" s="148"/>
      <c r="T214" s="148"/>
      <c r="U214" s="148"/>
      <c r="V214" s="148"/>
      <c r="W214" s="148"/>
      <c r="X214" s="148"/>
      <c r="Y214" s="148"/>
    </row>
    <row r="215" ht="30.0" customHeight="1">
      <c r="A215" s="201"/>
      <c r="B215" s="186"/>
      <c r="C215" s="186"/>
      <c r="D215" s="186"/>
      <c r="E215" s="186"/>
      <c r="F215" s="186"/>
      <c r="G215" s="186"/>
      <c r="H215" s="186"/>
      <c r="I215" s="188"/>
      <c r="J215" s="188"/>
      <c r="K215" s="186"/>
      <c r="L215" s="186"/>
      <c r="M215" s="186"/>
      <c r="N215" s="189"/>
      <c r="O215" s="186"/>
      <c r="P215" s="201"/>
      <c r="Q215" s="148"/>
      <c r="R215" s="148"/>
      <c r="S215" s="148"/>
      <c r="T215" s="148"/>
      <c r="U215" s="148"/>
      <c r="V215" s="148"/>
      <c r="W215" s="148"/>
      <c r="X215" s="148"/>
      <c r="Y215" s="148"/>
    </row>
    <row r="216" ht="30.0" customHeight="1">
      <c r="A216" s="201"/>
      <c r="B216" s="186"/>
      <c r="C216" s="186"/>
      <c r="D216" s="186"/>
      <c r="E216" s="186"/>
      <c r="F216" s="186"/>
      <c r="G216" s="186"/>
      <c r="H216" s="186"/>
      <c r="I216" s="188"/>
      <c r="J216" s="188"/>
      <c r="K216" s="186"/>
      <c r="L216" s="186"/>
      <c r="M216" s="186"/>
      <c r="N216" s="189"/>
      <c r="O216" s="186"/>
      <c r="P216" s="201"/>
      <c r="Q216" s="148"/>
      <c r="R216" s="148"/>
      <c r="S216" s="148"/>
      <c r="T216" s="148"/>
      <c r="U216" s="148"/>
      <c r="V216" s="148"/>
      <c r="W216" s="148"/>
      <c r="X216" s="148"/>
      <c r="Y216" s="148"/>
    </row>
    <row r="217" ht="30.0" customHeight="1">
      <c r="A217" s="201"/>
      <c r="B217" s="186"/>
      <c r="C217" s="186"/>
      <c r="D217" s="186"/>
      <c r="E217" s="186"/>
      <c r="F217" s="186"/>
      <c r="G217" s="186"/>
      <c r="H217" s="186"/>
      <c r="I217" s="188"/>
      <c r="J217" s="188"/>
      <c r="K217" s="186"/>
      <c r="L217" s="186"/>
      <c r="M217" s="186"/>
      <c r="N217" s="189"/>
      <c r="O217" s="186"/>
      <c r="P217" s="201"/>
      <c r="Q217" s="148"/>
      <c r="R217" s="148"/>
      <c r="S217" s="148"/>
      <c r="T217" s="148"/>
      <c r="U217" s="148"/>
      <c r="V217" s="148"/>
      <c r="W217" s="148"/>
      <c r="X217" s="148"/>
      <c r="Y217" s="148"/>
    </row>
    <row r="218" ht="30.0" customHeight="1">
      <c r="A218" s="201"/>
      <c r="B218" s="186"/>
      <c r="C218" s="186"/>
      <c r="D218" s="186"/>
      <c r="E218" s="186"/>
      <c r="F218" s="186"/>
      <c r="G218" s="186"/>
      <c r="H218" s="186"/>
      <c r="I218" s="188"/>
      <c r="J218" s="188"/>
      <c r="K218" s="186"/>
      <c r="L218" s="186"/>
      <c r="M218" s="186"/>
      <c r="N218" s="189"/>
      <c r="O218" s="186"/>
      <c r="P218" s="201"/>
      <c r="Q218" s="148"/>
      <c r="R218" s="148"/>
      <c r="S218" s="148"/>
      <c r="T218" s="148"/>
      <c r="U218" s="148"/>
      <c r="V218" s="148"/>
      <c r="W218" s="148"/>
      <c r="X218" s="148"/>
      <c r="Y218" s="148"/>
    </row>
    <row r="219" ht="30.0" customHeight="1">
      <c r="A219" s="201"/>
      <c r="B219" s="186"/>
      <c r="C219" s="186"/>
      <c r="D219" s="186"/>
      <c r="E219" s="186"/>
      <c r="F219" s="186"/>
      <c r="G219" s="186"/>
      <c r="H219" s="201"/>
      <c r="I219" s="188"/>
      <c r="J219" s="188"/>
      <c r="K219" s="186"/>
      <c r="L219" s="186"/>
      <c r="M219" s="186"/>
      <c r="N219" s="189"/>
      <c r="O219" s="186"/>
      <c r="P219" s="201"/>
      <c r="Q219" s="148"/>
      <c r="R219" s="148"/>
      <c r="S219" s="148"/>
      <c r="T219" s="148"/>
      <c r="U219" s="148"/>
      <c r="V219" s="148"/>
      <c r="W219" s="148"/>
      <c r="X219" s="148"/>
      <c r="Y219" s="148"/>
    </row>
    <row r="220" ht="30.0" customHeight="1">
      <c r="A220" s="201"/>
      <c r="B220" s="186"/>
      <c r="C220" s="186"/>
      <c r="D220" s="186"/>
      <c r="E220" s="186"/>
      <c r="F220" s="186"/>
      <c r="G220" s="186"/>
      <c r="H220" s="201"/>
      <c r="I220" s="188"/>
      <c r="J220" s="188"/>
      <c r="K220" s="186"/>
      <c r="L220" s="186"/>
      <c r="M220" s="186"/>
      <c r="N220" s="189"/>
      <c r="O220" s="186"/>
      <c r="P220" s="201"/>
      <c r="Q220" s="148"/>
      <c r="R220" s="148"/>
      <c r="S220" s="148"/>
      <c r="T220" s="148"/>
      <c r="U220" s="148"/>
      <c r="V220" s="148"/>
      <c r="W220" s="148"/>
      <c r="X220" s="148"/>
      <c r="Y220" s="148"/>
    </row>
    <row r="221" ht="30.0" customHeight="1">
      <c r="A221" s="201"/>
      <c r="B221" s="186"/>
      <c r="C221" s="186"/>
      <c r="D221" s="186"/>
      <c r="E221" s="186"/>
      <c r="F221" s="186"/>
      <c r="G221" s="186"/>
      <c r="H221" s="201"/>
      <c r="I221" s="188"/>
      <c r="J221" s="188"/>
      <c r="K221" s="186"/>
      <c r="L221" s="186"/>
      <c r="M221" s="186"/>
      <c r="N221" s="189"/>
      <c r="O221" s="186"/>
      <c r="P221" s="201"/>
      <c r="Q221" s="148"/>
      <c r="R221" s="148"/>
      <c r="S221" s="148"/>
      <c r="T221" s="148"/>
      <c r="U221" s="148"/>
      <c r="V221" s="148"/>
      <c r="W221" s="148"/>
      <c r="X221" s="148"/>
      <c r="Y221" s="148"/>
    </row>
    <row r="222" ht="30.0" customHeight="1">
      <c r="A222" s="201"/>
      <c r="B222" s="186"/>
      <c r="C222" s="186"/>
      <c r="D222" s="186"/>
      <c r="E222" s="186"/>
      <c r="F222" s="186"/>
      <c r="G222" s="186"/>
      <c r="H222" s="201"/>
      <c r="I222" s="188"/>
      <c r="J222" s="188"/>
      <c r="K222" s="186"/>
      <c r="L222" s="186"/>
      <c r="M222" s="186"/>
      <c r="N222" s="189"/>
      <c r="O222" s="186"/>
      <c r="P222" s="201"/>
      <c r="Q222" s="148"/>
      <c r="R222" s="148"/>
      <c r="S222" s="148"/>
      <c r="T222" s="148"/>
      <c r="U222" s="148"/>
      <c r="V222" s="148"/>
      <c r="W222" s="148"/>
      <c r="X222" s="148"/>
      <c r="Y222" s="148"/>
    </row>
    <row r="223" ht="30.0" customHeight="1">
      <c r="A223" s="201"/>
      <c r="B223" s="186"/>
      <c r="C223" s="186"/>
      <c r="D223" s="186"/>
      <c r="E223" s="186"/>
      <c r="F223" s="186"/>
      <c r="G223" s="186"/>
      <c r="H223" s="201"/>
      <c r="I223" s="188"/>
      <c r="J223" s="188"/>
      <c r="K223" s="186"/>
      <c r="L223" s="186"/>
      <c r="M223" s="186"/>
      <c r="N223" s="189"/>
      <c r="O223" s="186"/>
      <c r="P223" s="201"/>
      <c r="Q223" s="148"/>
      <c r="R223" s="148"/>
      <c r="S223" s="148"/>
      <c r="T223" s="148"/>
      <c r="U223" s="148"/>
      <c r="V223" s="148"/>
      <c r="W223" s="148"/>
      <c r="X223" s="148"/>
      <c r="Y223" s="148"/>
    </row>
    <row r="224" ht="30.0" customHeight="1">
      <c r="A224" s="201"/>
      <c r="B224" s="186"/>
      <c r="C224" s="186"/>
      <c r="D224" s="186"/>
      <c r="E224" s="186"/>
      <c r="F224" s="186"/>
      <c r="G224" s="186"/>
      <c r="H224" s="201"/>
      <c r="I224" s="188"/>
      <c r="J224" s="188"/>
      <c r="K224" s="186"/>
      <c r="L224" s="186"/>
      <c r="M224" s="186"/>
      <c r="N224" s="189"/>
      <c r="O224" s="186"/>
      <c r="P224" s="201"/>
      <c r="Q224" s="148"/>
      <c r="R224" s="148"/>
      <c r="S224" s="148"/>
      <c r="T224" s="148"/>
      <c r="U224" s="148"/>
      <c r="V224" s="148"/>
      <c r="W224" s="148"/>
      <c r="X224" s="148"/>
      <c r="Y224" s="148"/>
    </row>
    <row r="225" ht="30.0" customHeight="1">
      <c r="A225" s="201"/>
      <c r="B225" s="186"/>
      <c r="C225" s="186"/>
      <c r="D225" s="186"/>
      <c r="E225" s="186"/>
      <c r="F225" s="186"/>
      <c r="G225" s="186"/>
      <c r="H225" s="186"/>
      <c r="I225" s="188"/>
      <c r="J225" s="188"/>
      <c r="K225" s="186"/>
      <c r="L225" s="186"/>
      <c r="M225" s="186"/>
      <c r="N225" s="189"/>
      <c r="O225" s="186"/>
      <c r="P225" s="201"/>
      <c r="Q225" s="148"/>
      <c r="R225" s="148"/>
      <c r="S225" s="148"/>
      <c r="T225" s="148"/>
      <c r="U225" s="148"/>
      <c r="V225" s="148"/>
      <c r="W225" s="148"/>
      <c r="X225" s="148"/>
      <c r="Y225" s="148"/>
    </row>
    <row r="226" ht="30.0" customHeight="1">
      <c r="A226" s="201"/>
      <c r="B226" s="186"/>
      <c r="C226" s="186"/>
      <c r="D226" s="186"/>
      <c r="E226" s="186"/>
      <c r="F226" s="186"/>
      <c r="G226" s="186"/>
      <c r="H226" s="186"/>
      <c r="I226" s="188"/>
      <c r="J226" s="188"/>
      <c r="K226" s="186"/>
      <c r="L226" s="186"/>
      <c r="M226" s="186"/>
      <c r="N226" s="189"/>
      <c r="O226" s="186"/>
      <c r="P226" s="201"/>
      <c r="Q226" s="148"/>
      <c r="R226" s="148"/>
      <c r="S226" s="148"/>
      <c r="T226" s="148"/>
      <c r="U226" s="148"/>
      <c r="V226" s="148"/>
      <c r="W226" s="148"/>
      <c r="X226" s="148"/>
      <c r="Y226" s="148"/>
    </row>
    <row r="227" ht="30.0" customHeight="1">
      <c r="A227" s="201"/>
      <c r="B227" s="186"/>
      <c r="C227" s="186"/>
      <c r="D227" s="186"/>
      <c r="E227" s="186"/>
      <c r="F227" s="186"/>
      <c r="G227" s="186"/>
      <c r="H227" s="186"/>
      <c r="I227" s="188"/>
      <c r="J227" s="188"/>
      <c r="K227" s="186"/>
      <c r="L227" s="186"/>
      <c r="M227" s="186"/>
      <c r="N227" s="189"/>
      <c r="O227" s="186"/>
      <c r="P227" s="201"/>
      <c r="Q227" s="148"/>
      <c r="R227" s="148"/>
      <c r="S227" s="148"/>
      <c r="T227" s="148"/>
      <c r="U227" s="148"/>
      <c r="V227" s="148"/>
      <c r="W227" s="148"/>
      <c r="X227" s="148"/>
      <c r="Y227" s="148"/>
    </row>
    <row r="228" ht="30.0" customHeight="1">
      <c r="A228" s="201"/>
      <c r="B228" s="207"/>
      <c r="C228" s="207"/>
      <c r="D228" s="207"/>
      <c r="E228" s="207"/>
      <c r="F228" s="207"/>
      <c r="G228" s="207"/>
      <c r="H228" s="207"/>
      <c r="I228" s="219"/>
      <c r="J228" s="219"/>
      <c r="K228" s="207"/>
      <c r="L228" s="207"/>
      <c r="M228" s="208"/>
      <c r="N228" s="207"/>
      <c r="O228" s="207"/>
      <c r="P228" s="208"/>
      <c r="Q228" s="216"/>
      <c r="R228" s="216"/>
      <c r="S228" s="216"/>
      <c r="T228" s="216"/>
      <c r="U228" s="216"/>
      <c r="V228" s="216"/>
      <c r="W228" s="216"/>
      <c r="X228" s="216"/>
      <c r="Y228" s="216"/>
    </row>
    <row r="229" ht="30.0" customHeight="1">
      <c r="A229" s="201"/>
      <c r="B229" s="207"/>
      <c r="C229" s="207"/>
      <c r="D229" s="207"/>
      <c r="E229" s="207"/>
      <c r="F229" s="207"/>
      <c r="G229" s="207"/>
      <c r="H229" s="207"/>
      <c r="I229" s="211"/>
      <c r="J229" s="211"/>
      <c r="K229" s="207"/>
      <c r="L229" s="207"/>
      <c r="M229" s="208"/>
      <c r="N229" s="207"/>
      <c r="O229" s="207"/>
      <c r="P229" s="208"/>
      <c r="Q229" s="216"/>
      <c r="R229" s="216"/>
      <c r="S229" s="216"/>
      <c r="T229" s="216"/>
      <c r="U229" s="216"/>
      <c r="V229" s="216"/>
      <c r="W229" s="216"/>
      <c r="X229" s="216"/>
      <c r="Y229" s="216"/>
    </row>
    <row r="230" ht="30.0" customHeight="1">
      <c r="A230" s="201"/>
      <c r="B230" s="207"/>
      <c r="C230" s="207"/>
      <c r="D230" s="207"/>
      <c r="E230" s="207"/>
      <c r="F230" s="207"/>
      <c r="G230" s="207"/>
      <c r="H230" s="207"/>
      <c r="I230" s="219"/>
      <c r="J230" s="219"/>
      <c r="K230" s="207"/>
      <c r="L230" s="207"/>
      <c r="M230" s="208"/>
      <c r="N230" s="207"/>
      <c r="O230" s="207"/>
      <c r="P230" s="208"/>
      <c r="Q230" s="216"/>
      <c r="R230" s="216"/>
      <c r="S230" s="216"/>
      <c r="T230" s="216"/>
      <c r="U230" s="216"/>
      <c r="V230" s="216"/>
      <c r="W230" s="216"/>
      <c r="X230" s="216"/>
      <c r="Y230" s="216"/>
    </row>
    <row r="231" ht="30.0" customHeight="1">
      <c r="A231" s="201"/>
      <c r="B231" s="186"/>
      <c r="C231" s="186"/>
      <c r="D231" s="218"/>
      <c r="E231" s="186"/>
      <c r="F231" s="201"/>
      <c r="G231" s="186"/>
      <c r="H231" s="201"/>
      <c r="I231" s="188"/>
      <c r="J231" s="188"/>
      <c r="K231" s="186"/>
      <c r="L231" s="186"/>
      <c r="M231" s="201"/>
      <c r="N231" s="189"/>
      <c r="O231" s="186"/>
      <c r="P231" s="201"/>
      <c r="Q231" s="148"/>
      <c r="R231" s="148"/>
      <c r="S231" s="148"/>
      <c r="T231" s="148"/>
      <c r="U231" s="148"/>
      <c r="V231" s="148"/>
      <c r="W231" s="148"/>
      <c r="X231" s="148"/>
      <c r="Y231" s="148"/>
    </row>
    <row r="232" ht="30.0" customHeight="1">
      <c r="A232" s="201"/>
      <c r="B232" s="207"/>
      <c r="C232" s="207"/>
      <c r="D232" s="220"/>
      <c r="E232" s="207"/>
      <c r="F232" s="207"/>
      <c r="G232" s="207"/>
      <c r="H232" s="207"/>
      <c r="I232" s="211"/>
      <c r="J232" s="211"/>
      <c r="K232" s="207"/>
      <c r="L232" s="207"/>
      <c r="M232" s="208"/>
      <c r="N232" s="207"/>
      <c r="O232" s="207"/>
      <c r="P232" s="208"/>
      <c r="Q232" s="216"/>
      <c r="R232" s="216"/>
      <c r="S232" s="216"/>
      <c r="T232" s="216"/>
      <c r="U232" s="216"/>
      <c r="V232" s="216"/>
      <c r="W232" s="216"/>
      <c r="X232" s="216"/>
      <c r="Y232" s="216"/>
    </row>
    <row r="233" ht="30.0" customHeight="1">
      <c r="A233" s="201"/>
      <c r="B233" s="207"/>
      <c r="C233" s="207"/>
      <c r="D233" s="207"/>
      <c r="E233" s="207"/>
      <c r="F233" s="207"/>
      <c r="G233" s="207"/>
      <c r="H233" s="207"/>
      <c r="I233" s="211"/>
      <c r="J233" s="211"/>
      <c r="K233" s="207"/>
      <c r="L233" s="207"/>
      <c r="M233" s="208"/>
      <c r="N233" s="207"/>
      <c r="O233" s="207"/>
      <c r="P233" s="208"/>
      <c r="Q233" s="216"/>
      <c r="R233" s="216"/>
      <c r="S233" s="216"/>
      <c r="T233" s="216"/>
      <c r="U233" s="216"/>
      <c r="V233" s="216"/>
      <c r="W233" s="216"/>
      <c r="X233" s="216"/>
      <c r="Y233" s="216"/>
    </row>
    <row r="234" ht="30.0" customHeight="1">
      <c r="A234" s="201"/>
      <c r="B234" s="186"/>
      <c r="C234" s="186"/>
      <c r="D234" s="218"/>
      <c r="E234" s="186"/>
      <c r="F234" s="186"/>
      <c r="G234" s="186"/>
      <c r="H234" s="186"/>
      <c r="I234" s="188"/>
      <c r="J234" s="188"/>
      <c r="K234" s="186"/>
      <c r="L234" s="186"/>
      <c r="M234" s="201"/>
      <c r="N234" s="189"/>
      <c r="O234" s="186"/>
      <c r="P234" s="201"/>
      <c r="Q234" s="148"/>
      <c r="R234" s="148"/>
      <c r="S234" s="148"/>
      <c r="T234" s="148"/>
      <c r="U234" s="148"/>
      <c r="V234" s="148"/>
      <c r="W234" s="148"/>
      <c r="X234" s="148"/>
      <c r="Y234" s="148"/>
    </row>
    <row r="235" ht="31.5" customHeight="1">
      <c r="A235" s="201"/>
      <c r="B235" s="186"/>
      <c r="C235" s="186"/>
      <c r="D235" s="186"/>
      <c r="E235" s="186"/>
      <c r="F235" s="186"/>
      <c r="G235" s="186"/>
      <c r="H235" s="186"/>
      <c r="I235" s="188"/>
      <c r="J235" s="188"/>
      <c r="K235" s="186"/>
      <c r="L235" s="186"/>
      <c r="M235" s="186"/>
      <c r="N235" s="189"/>
      <c r="O235" s="186"/>
      <c r="P235" s="201"/>
      <c r="Q235" s="148"/>
      <c r="R235" s="148"/>
      <c r="S235" s="148"/>
      <c r="T235" s="148"/>
      <c r="U235" s="148"/>
      <c r="V235" s="148"/>
      <c r="W235" s="148"/>
      <c r="X235" s="148"/>
      <c r="Y235" s="148"/>
    </row>
    <row r="236" ht="30.0" customHeight="1">
      <c r="A236" s="201"/>
      <c r="B236" s="207"/>
      <c r="C236" s="207"/>
      <c r="D236" s="220"/>
      <c r="E236" s="207"/>
      <c r="F236" s="207"/>
      <c r="G236" s="207"/>
      <c r="H236" s="207"/>
      <c r="I236" s="211"/>
      <c r="J236" s="211"/>
      <c r="K236" s="207"/>
      <c r="L236" s="207"/>
      <c r="M236" s="208"/>
      <c r="N236" s="212"/>
      <c r="O236" s="207"/>
      <c r="P236" s="208"/>
      <c r="Q236" s="216"/>
      <c r="R236" s="216"/>
      <c r="S236" s="216"/>
      <c r="T236" s="216"/>
      <c r="U236" s="216"/>
      <c r="V236" s="216"/>
      <c r="W236" s="216"/>
      <c r="X236" s="216"/>
      <c r="Y236" s="216"/>
    </row>
    <row r="237" ht="30.0" customHeight="1">
      <c r="A237" s="201"/>
      <c r="B237" s="207"/>
      <c r="C237" s="207"/>
      <c r="D237" s="207"/>
      <c r="E237" s="207"/>
      <c r="F237" s="207"/>
      <c r="G237" s="207"/>
      <c r="H237" s="207"/>
      <c r="I237" s="211"/>
      <c r="J237" s="211"/>
      <c r="K237" s="207"/>
      <c r="L237" s="207"/>
      <c r="M237" s="208"/>
      <c r="N237" s="212"/>
      <c r="O237" s="207"/>
      <c r="P237" s="208"/>
      <c r="Q237" s="216"/>
      <c r="R237" s="216"/>
      <c r="S237" s="216"/>
      <c r="T237" s="216"/>
      <c r="U237" s="216"/>
      <c r="V237" s="216"/>
      <c r="W237" s="216"/>
      <c r="X237" s="216"/>
      <c r="Y237" s="216"/>
    </row>
    <row r="238" ht="31.5" customHeight="1">
      <c r="A238" s="201"/>
      <c r="B238" s="207"/>
      <c r="C238" s="207"/>
      <c r="D238" s="207"/>
      <c r="E238" s="207"/>
      <c r="F238" s="207"/>
      <c r="G238" s="207"/>
      <c r="H238" s="208"/>
      <c r="I238" s="211"/>
      <c r="J238" s="211"/>
      <c r="K238" s="207"/>
      <c r="L238" s="207"/>
      <c r="M238" s="207"/>
      <c r="N238" s="212"/>
      <c r="O238" s="207"/>
      <c r="P238" s="208"/>
      <c r="Q238" s="216"/>
      <c r="R238" s="216"/>
      <c r="S238" s="216"/>
      <c r="T238" s="216"/>
      <c r="U238" s="216"/>
      <c r="V238" s="216"/>
      <c r="W238" s="216"/>
      <c r="X238" s="216"/>
      <c r="Y238" s="216"/>
    </row>
    <row r="239" ht="30.0" customHeight="1">
      <c r="A239" s="201"/>
      <c r="B239" s="207"/>
      <c r="C239" s="207"/>
      <c r="D239" s="207"/>
      <c r="E239" s="212"/>
      <c r="F239" s="207"/>
      <c r="G239" s="207"/>
      <c r="H239" s="221"/>
      <c r="I239" s="219"/>
      <c r="J239" s="219"/>
      <c r="K239" s="207"/>
      <c r="L239" s="212"/>
      <c r="M239" s="208"/>
      <c r="N239" s="212"/>
      <c r="O239" s="207"/>
      <c r="P239" s="208"/>
      <c r="Q239" s="216"/>
      <c r="R239" s="216"/>
      <c r="S239" s="216"/>
      <c r="T239" s="216"/>
      <c r="U239" s="216"/>
      <c r="V239" s="216"/>
      <c r="W239" s="216"/>
      <c r="X239" s="216"/>
      <c r="Y239" s="216"/>
    </row>
    <row r="240" ht="30.0" customHeight="1">
      <c r="A240" s="201"/>
      <c r="B240" s="207"/>
      <c r="C240" s="207"/>
      <c r="D240" s="207"/>
      <c r="E240" s="207"/>
      <c r="F240" s="207"/>
      <c r="G240" s="207"/>
      <c r="H240" s="221"/>
      <c r="I240" s="211"/>
      <c r="J240" s="211"/>
      <c r="K240" s="207"/>
      <c r="L240" s="212"/>
      <c r="M240" s="208"/>
      <c r="N240" s="207"/>
      <c r="O240" s="207"/>
      <c r="P240" s="208"/>
      <c r="Q240" s="216"/>
      <c r="R240" s="216"/>
      <c r="S240" s="216"/>
      <c r="T240" s="216"/>
      <c r="U240" s="216"/>
      <c r="V240" s="216"/>
      <c r="W240" s="216"/>
      <c r="X240" s="216"/>
      <c r="Y240" s="216"/>
    </row>
    <row r="241" ht="30.0" customHeight="1">
      <c r="A241" s="201"/>
      <c r="B241" s="207"/>
      <c r="C241" s="207"/>
      <c r="D241" s="207"/>
      <c r="E241" s="207"/>
      <c r="F241" s="207"/>
      <c r="G241" s="207"/>
      <c r="H241" s="208"/>
      <c r="I241" s="211"/>
      <c r="J241" s="211"/>
      <c r="K241" s="207"/>
      <c r="L241" s="207"/>
      <c r="M241" s="208"/>
      <c r="N241" s="207"/>
      <c r="O241" s="207"/>
      <c r="P241" s="208"/>
      <c r="Q241" s="216"/>
      <c r="R241" s="216"/>
      <c r="S241" s="216"/>
      <c r="T241" s="216"/>
      <c r="U241" s="216"/>
      <c r="V241" s="216"/>
      <c r="W241" s="216"/>
      <c r="X241" s="216"/>
      <c r="Y241" s="216"/>
    </row>
    <row r="242" ht="30.0" customHeight="1">
      <c r="A242" s="201"/>
      <c r="B242" s="207"/>
      <c r="C242" s="207"/>
      <c r="D242" s="207"/>
      <c r="E242" s="207"/>
      <c r="F242" s="207"/>
      <c r="G242" s="207"/>
      <c r="H242" s="208"/>
      <c r="I242" s="211"/>
      <c r="J242" s="211"/>
      <c r="K242" s="207"/>
      <c r="L242" s="207"/>
      <c r="M242" s="208"/>
      <c r="N242" s="212"/>
      <c r="O242" s="207"/>
      <c r="P242" s="208"/>
      <c r="Q242" s="216"/>
      <c r="R242" s="216"/>
      <c r="S242" s="216"/>
      <c r="T242" s="216"/>
      <c r="U242" s="216"/>
      <c r="V242" s="216"/>
      <c r="W242" s="216"/>
      <c r="X242" s="216"/>
      <c r="Y242" s="216"/>
    </row>
    <row r="243" ht="30.0" customHeight="1">
      <c r="A243" s="201"/>
      <c r="B243" s="186"/>
      <c r="C243" s="186"/>
      <c r="D243" s="186"/>
      <c r="E243" s="186"/>
      <c r="F243" s="186"/>
      <c r="G243" s="186"/>
      <c r="H243" s="201"/>
      <c r="I243" s="188"/>
      <c r="J243" s="188"/>
      <c r="K243" s="186"/>
      <c r="L243" s="186"/>
      <c r="M243" s="201"/>
      <c r="N243" s="189"/>
      <c r="O243" s="186"/>
      <c r="P243" s="201"/>
      <c r="Q243" s="148"/>
      <c r="R243" s="148"/>
      <c r="S243" s="148"/>
      <c r="T243" s="148"/>
      <c r="U243" s="148"/>
      <c r="V243" s="148"/>
      <c r="W243" s="148"/>
      <c r="X243" s="148"/>
      <c r="Y243" s="148"/>
    </row>
    <row r="244" ht="30.0" customHeight="1">
      <c r="A244" s="201"/>
      <c r="B244" s="186"/>
      <c r="C244" s="186"/>
      <c r="D244" s="186"/>
      <c r="E244" s="186"/>
      <c r="F244" s="186"/>
      <c r="G244" s="186"/>
      <c r="H244" s="201"/>
      <c r="I244" s="188"/>
      <c r="J244" s="188"/>
      <c r="K244" s="186"/>
      <c r="L244" s="186"/>
      <c r="M244" s="201"/>
      <c r="N244" s="189"/>
      <c r="O244" s="186"/>
      <c r="P244" s="201"/>
      <c r="Q244" s="148"/>
      <c r="R244" s="148"/>
      <c r="S244" s="148"/>
      <c r="T244" s="148"/>
      <c r="U244" s="148"/>
      <c r="V244" s="148"/>
      <c r="W244" s="148"/>
      <c r="X244" s="148"/>
      <c r="Y244" s="148"/>
    </row>
    <row r="245" ht="30.0" customHeight="1">
      <c r="A245" s="201"/>
      <c r="B245" s="186"/>
      <c r="C245" s="186"/>
      <c r="D245" s="186"/>
      <c r="E245" s="186"/>
      <c r="F245" s="186"/>
      <c r="G245" s="186"/>
      <c r="H245" s="201"/>
      <c r="I245" s="188"/>
      <c r="J245" s="188"/>
      <c r="K245" s="186"/>
      <c r="L245" s="186"/>
      <c r="M245" s="201"/>
      <c r="N245" s="189"/>
      <c r="O245" s="186"/>
      <c r="P245" s="201"/>
      <c r="Q245" s="148"/>
      <c r="R245" s="148"/>
      <c r="S245" s="148"/>
      <c r="T245" s="148"/>
      <c r="U245" s="148"/>
      <c r="V245" s="148"/>
      <c r="W245" s="148"/>
      <c r="X245" s="148"/>
      <c r="Y245" s="148"/>
    </row>
    <row r="246" ht="30.0" customHeight="1">
      <c r="A246" s="201"/>
      <c r="B246" s="186"/>
      <c r="C246" s="186"/>
      <c r="D246" s="186"/>
      <c r="E246" s="186"/>
      <c r="F246" s="186"/>
      <c r="G246" s="186"/>
      <c r="H246" s="201"/>
      <c r="I246" s="188"/>
      <c r="J246" s="188"/>
      <c r="K246" s="186"/>
      <c r="L246" s="186"/>
      <c r="M246" s="201"/>
      <c r="N246" s="189"/>
      <c r="O246" s="186"/>
      <c r="P246" s="201"/>
      <c r="Q246" s="148"/>
      <c r="R246" s="148"/>
      <c r="S246" s="148"/>
      <c r="T246" s="148"/>
      <c r="U246" s="148"/>
      <c r="V246" s="148"/>
      <c r="W246" s="148"/>
      <c r="X246" s="148"/>
      <c r="Y246" s="148"/>
    </row>
    <row r="247" ht="31.5" customHeight="1">
      <c r="A247" s="201"/>
      <c r="B247" s="186"/>
      <c r="C247" s="186"/>
      <c r="D247" s="186"/>
      <c r="E247" s="186"/>
      <c r="F247" s="186"/>
      <c r="G247" s="186"/>
      <c r="H247" s="201"/>
      <c r="I247" s="188"/>
      <c r="J247" s="188"/>
      <c r="K247" s="186"/>
      <c r="L247" s="186"/>
      <c r="M247" s="201"/>
      <c r="N247" s="189"/>
      <c r="O247" s="186"/>
      <c r="P247" s="201"/>
      <c r="Q247" s="148"/>
      <c r="R247" s="148"/>
      <c r="S247" s="148"/>
      <c r="T247" s="148"/>
      <c r="U247" s="148"/>
      <c r="V247" s="148"/>
      <c r="W247" s="148"/>
      <c r="X247" s="148"/>
      <c r="Y247" s="148"/>
    </row>
    <row r="248" ht="31.5" customHeight="1">
      <c r="A248" s="201"/>
      <c r="B248" s="186"/>
      <c r="C248" s="186"/>
      <c r="D248" s="186"/>
      <c r="E248" s="186"/>
      <c r="F248" s="186"/>
      <c r="G248" s="186"/>
      <c r="H248" s="201"/>
      <c r="I248" s="188"/>
      <c r="J248" s="188"/>
      <c r="K248" s="186"/>
      <c r="L248" s="186"/>
      <c r="M248" s="201"/>
      <c r="N248" s="189"/>
      <c r="O248" s="186"/>
      <c r="P248" s="201"/>
      <c r="Q248" s="148"/>
      <c r="R248" s="148"/>
      <c r="S248" s="148"/>
      <c r="T248" s="148"/>
      <c r="U248" s="148"/>
      <c r="V248" s="148"/>
      <c r="W248" s="148"/>
      <c r="X248" s="148"/>
      <c r="Y248" s="148"/>
    </row>
    <row r="249" ht="31.5" customHeight="1">
      <c r="A249" s="201"/>
      <c r="B249" s="186"/>
      <c r="C249" s="186"/>
      <c r="D249" s="207"/>
      <c r="E249" s="207"/>
      <c r="F249" s="207"/>
      <c r="G249" s="207"/>
      <c r="H249" s="208"/>
      <c r="I249" s="211"/>
      <c r="J249" s="211"/>
      <c r="K249" s="207"/>
      <c r="L249" s="207"/>
      <c r="M249" s="205"/>
      <c r="N249" s="212"/>
      <c r="O249" s="207"/>
      <c r="P249" s="205"/>
      <c r="Q249" s="215"/>
      <c r="R249" s="215"/>
      <c r="S249" s="215"/>
      <c r="T249" s="215"/>
      <c r="U249" s="215"/>
      <c r="V249" s="215"/>
      <c r="W249" s="215"/>
      <c r="X249" s="215"/>
      <c r="Y249" s="215"/>
    </row>
    <row r="250" ht="30.0" customHeight="1">
      <c r="A250" s="201"/>
      <c r="B250" s="207"/>
      <c r="C250" s="207"/>
      <c r="D250" s="207"/>
      <c r="E250" s="207"/>
      <c r="F250" s="207"/>
      <c r="G250" s="207"/>
      <c r="H250" s="208"/>
      <c r="I250" s="211"/>
      <c r="J250" s="211"/>
      <c r="K250" s="207"/>
      <c r="L250" s="207"/>
      <c r="M250" s="208"/>
      <c r="N250" s="212"/>
      <c r="O250" s="207"/>
      <c r="P250" s="208"/>
      <c r="Q250" s="216"/>
      <c r="R250" s="216"/>
      <c r="S250" s="216"/>
      <c r="T250" s="216"/>
      <c r="U250" s="216"/>
      <c r="V250" s="216"/>
      <c r="W250" s="216"/>
      <c r="X250" s="216"/>
      <c r="Y250" s="216"/>
    </row>
    <row r="251" ht="30.0" customHeight="1">
      <c r="A251" s="201"/>
      <c r="B251" s="207"/>
      <c r="C251" s="207"/>
      <c r="D251" s="207"/>
      <c r="E251" s="207"/>
      <c r="F251" s="207"/>
      <c r="G251" s="207"/>
      <c r="H251" s="208"/>
      <c r="I251" s="211"/>
      <c r="J251" s="211"/>
      <c r="K251" s="207"/>
      <c r="L251" s="207"/>
      <c r="M251" s="208"/>
      <c r="N251" s="212"/>
      <c r="O251" s="207"/>
      <c r="P251" s="208"/>
      <c r="Q251" s="216"/>
      <c r="R251" s="216"/>
      <c r="S251" s="216"/>
      <c r="T251" s="216"/>
      <c r="U251" s="216"/>
      <c r="V251" s="216"/>
      <c r="W251" s="216"/>
      <c r="X251" s="216"/>
      <c r="Y251" s="216"/>
    </row>
    <row r="252" ht="30.0" customHeight="1">
      <c r="A252" s="201"/>
      <c r="B252" s="207"/>
      <c r="C252" s="207"/>
      <c r="D252" s="207"/>
      <c r="E252" s="207"/>
      <c r="F252" s="207"/>
      <c r="G252" s="207"/>
      <c r="H252" s="208"/>
      <c r="I252" s="211"/>
      <c r="J252" s="211"/>
      <c r="K252" s="207"/>
      <c r="L252" s="207"/>
      <c r="M252" s="208"/>
      <c r="N252" s="212"/>
      <c r="O252" s="207"/>
      <c r="P252" s="208"/>
      <c r="Q252" s="216"/>
      <c r="R252" s="216"/>
      <c r="S252" s="216"/>
      <c r="T252" s="216"/>
      <c r="U252" s="216"/>
      <c r="V252" s="216"/>
      <c r="W252" s="216"/>
      <c r="X252" s="216"/>
      <c r="Y252" s="216"/>
    </row>
    <row r="253" ht="30.0" customHeight="1">
      <c r="A253" s="201"/>
      <c r="B253" s="207"/>
      <c r="C253" s="207"/>
      <c r="D253" s="207"/>
      <c r="E253" s="207"/>
      <c r="F253" s="207"/>
      <c r="G253" s="207"/>
      <c r="H253" s="208"/>
      <c r="I253" s="211"/>
      <c r="J253" s="211"/>
      <c r="K253" s="207"/>
      <c r="L253" s="207"/>
      <c r="M253" s="208"/>
      <c r="N253" s="212"/>
      <c r="O253" s="207"/>
      <c r="P253" s="208"/>
      <c r="Q253" s="216"/>
      <c r="R253" s="216"/>
      <c r="S253" s="216"/>
      <c r="T253" s="216"/>
      <c r="U253" s="216"/>
      <c r="V253" s="216"/>
      <c r="W253" s="216"/>
      <c r="X253" s="216"/>
      <c r="Y253" s="216"/>
    </row>
    <row r="254" ht="30.0" customHeight="1">
      <c r="A254" s="201"/>
      <c r="B254" s="186"/>
      <c r="C254" s="186"/>
      <c r="D254" s="218"/>
      <c r="E254" s="186"/>
      <c r="F254" s="186"/>
      <c r="G254" s="186"/>
      <c r="H254" s="186"/>
      <c r="I254" s="188"/>
      <c r="J254" s="188"/>
      <c r="K254" s="186"/>
      <c r="L254" s="186"/>
      <c r="M254" s="201"/>
      <c r="N254" s="189"/>
      <c r="O254" s="186"/>
      <c r="P254" s="201"/>
      <c r="Q254" s="148"/>
      <c r="R254" s="148"/>
      <c r="S254" s="148"/>
      <c r="T254" s="148"/>
      <c r="U254" s="148"/>
      <c r="V254" s="148"/>
      <c r="W254" s="148"/>
      <c r="X254" s="148"/>
      <c r="Y254" s="148"/>
    </row>
    <row r="255" ht="30.0" customHeight="1">
      <c r="A255" s="201"/>
      <c r="B255" s="186"/>
      <c r="C255" s="186"/>
      <c r="D255" s="186"/>
      <c r="E255" s="186"/>
      <c r="F255" s="186"/>
      <c r="G255" s="186"/>
      <c r="H255" s="186"/>
      <c r="I255" s="188"/>
      <c r="J255" s="188"/>
      <c r="K255" s="186"/>
      <c r="L255" s="186"/>
      <c r="M255" s="201"/>
      <c r="N255" s="189"/>
      <c r="O255" s="186"/>
      <c r="P255" s="201"/>
      <c r="Q255" s="148"/>
      <c r="R255" s="148"/>
      <c r="S255" s="148"/>
      <c r="T255" s="148"/>
      <c r="U255" s="148"/>
      <c r="V255" s="148"/>
      <c r="W255" s="148"/>
      <c r="X255" s="148"/>
      <c r="Y255" s="148"/>
    </row>
    <row r="256" ht="30.0" customHeight="1">
      <c r="A256" s="201"/>
      <c r="B256" s="186"/>
      <c r="C256" s="186"/>
      <c r="D256" s="186"/>
      <c r="E256" s="186"/>
      <c r="F256" s="186"/>
      <c r="G256" s="186"/>
      <c r="H256" s="186"/>
      <c r="I256" s="188"/>
      <c r="J256" s="188"/>
      <c r="K256" s="186"/>
      <c r="L256" s="186"/>
      <c r="M256" s="201"/>
      <c r="N256" s="189"/>
      <c r="O256" s="186"/>
      <c r="P256" s="201"/>
      <c r="Q256" s="148"/>
      <c r="R256" s="148"/>
      <c r="S256" s="148"/>
      <c r="T256" s="148"/>
      <c r="U256" s="148"/>
      <c r="V256" s="148"/>
      <c r="W256" s="148"/>
      <c r="X256" s="148"/>
      <c r="Y256" s="148"/>
    </row>
    <row r="257" ht="30.0" customHeight="1">
      <c r="A257" s="201"/>
      <c r="B257" s="186"/>
      <c r="C257" s="186"/>
      <c r="D257" s="186"/>
      <c r="E257" s="186"/>
      <c r="F257" s="186"/>
      <c r="G257" s="186"/>
      <c r="H257" s="186"/>
      <c r="I257" s="191"/>
      <c r="J257" s="191"/>
      <c r="K257" s="186"/>
      <c r="L257" s="190"/>
      <c r="M257" s="186"/>
      <c r="N257" s="186"/>
      <c r="O257" s="186"/>
      <c r="P257" s="201"/>
      <c r="Q257" s="148"/>
      <c r="R257" s="148"/>
      <c r="S257" s="148"/>
      <c r="T257" s="148"/>
      <c r="U257" s="148"/>
      <c r="V257" s="148"/>
      <c r="W257" s="148"/>
      <c r="X257" s="148"/>
      <c r="Y257" s="148"/>
    </row>
    <row r="258" ht="31.5" customHeight="1">
      <c r="A258" s="201"/>
      <c r="B258" s="207"/>
      <c r="C258" s="207"/>
      <c r="D258" s="207"/>
      <c r="E258" s="207"/>
      <c r="F258" s="207"/>
      <c r="G258" s="207"/>
      <c r="H258" s="208"/>
      <c r="I258" s="219"/>
      <c r="J258" s="219"/>
      <c r="K258" s="207"/>
      <c r="L258" s="207"/>
      <c r="M258" s="208"/>
      <c r="N258" s="212"/>
      <c r="O258" s="207"/>
      <c r="P258" s="207"/>
      <c r="Q258" s="213"/>
      <c r="R258" s="213"/>
      <c r="S258" s="213"/>
      <c r="T258" s="213"/>
      <c r="U258" s="213"/>
      <c r="V258" s="213"/>
      <c r="W258" s="213"/>
      <c r="X258" s="213"/>
      <c r="Y258" s="213"/>
    </row>
    <row r="259" ht="30.0" customHeight="1">
      <c r="A259" s="201"/>
      <c r="B259" s="186"/>
      <c r="C259" s="186"/>
      <c r="D259" s="186"/>
      <c r="E259" s="186"/>
      <c r="F259" s="186"/>
      <c r="G259" s="186"/>
      <c r="H259" s="186"/>
      <c r="I259" s="188"/>
      <c r="J259" s="188"/>
      <c r="K259" s="186"/>
      <c r="L259" s="186"/>
      <c r="M259" s="186"/>
      <c r="N259" s="189"/>
      <c r="O259" s="186"/>
      <c r="P259" s="201"/>
      <c r="Q259" s="148"/>
      <c r="R259" s="148"/>
      <c r="S259" s="148"/>
      <c r="T259" s="148"/>
      <c r="U259" s="148"/>
      <c r="V259" s="148"/>
      <c r="W259" s="148"/>
      <c r="X259" s="148"/>
      <c r="Y259" s="148"/>
    </row>
    <row r="260" ht="30.0" customHeight="1">
      <c r="A260" s="201"/>
      <c r="B260" s="186"/>
      <c r="C260" s="186"/>
      <c r="D260" s="186"/>
      <c r="E260" s="186"/>
      <c r="F260" s="186"/>
      <c r="G260" s="186"/>
      <c r="H260" s="186"/>
      <c r="I260" s="188"/>
      <c r="J260" s="188"/>
      <c r="K260" s="186"/>
      <c r="L260" s="186"/>
      <c r="M260" s="201"/>
      <c r="N260" s="189"/>
      <c r="O260" s="186"/>
      <c r="P260" s="201"/>
      <c r="Q260" s="148"/>
      <c r="R260" s="148"/>
      <c r="S260" s="148"/>
      <c r="T260" s="148"/>
      <c r="U260" s="148"/>
      <c r="V260" s="148"/>
      <c r="W260" s="148"/>
      <c r="X260" s="148"/>
      <c r="Y260" s="148"/>
    </row>
    <row r="261" ht="30.0" customHeight="1">
      <c r="A261" s="201"/>
      <c r="B261" s="186"/>
      <c r="C261" s="186"/>
      <c r="D261" s="186"/>
      <c r="E261" s="186"/>
      <c r="F261" s="186"/>
      <c r="G261" s="186"/>
      <c r="H261" s="186"/>
      <c r="I261" s="188"/>
      <c r="J261" s="188"/>
      <c r="K261" s="186"/>
      <c r="L261" s="186"/>
      <c r="M261" s="201"/>
      <c r="N261" s="189"/>
      <c r="O261" s="186"/>
      <c r="P261" s="201"/>
      <c r="Q261" s="148"/>
      <c r="R261" s="148"/>
      <c r="S261" s="148"/>
      <c r="T261" s="148"/>
      <c r="U261" s="148"/>
      <c r="V261" s="148"/>
      <c r="W261" s="148"/>
      <c r="X261" s="148"/>
      <c r="Y261" s="148"/>
    </row>
    <row r="262" ht="31.5" customHeight="1">
      <c r="A262" s="201"/>
      <c r="B262" s="186"/>
      <c r="C262" s="186"/>
      <c r="D262" s="218"/>
      <c r="E262" s="186"/>
      <c r="F262" s="201"/>
      <c r="G262" s="186"/>
      <c r="H262" s="201"/>
      <c r="I262" s="188"/>
      <c r="J262" s="188"/>
      <c r="K262" s="186"/>
      <c r="L262" s="186"/>
      <c r="M262" s="186"/>
      <c r="N262" s="189"/>
      <c r="O262" s="186"/>
      <c r="P262" s="201"/>
      <c r="Q262" s="148"/>
      <c r="R262" s="148"/>
      <c r="S262" s="148"/>
      <c r="T262" s="148"/>
      <c r="U262" s="148"/>
      <c r="V262" s="148"/>
      <c r="W262" s="148"/>
      <c r="X262" s="148"/>
      <c r="Y262" s="148"/>
    </row>
    <row r="263" ht="30.0" customHeight="1">
      <c r="A263" s="201"/>
      <c r="B263" s="186"/>
      <c r="C263" s="186"/>
      <c r="D263" s="218"/>
      <c r="E263" s="186"/>
      <c r="F263" s="201"/>
      <c r="G263" s="186"/>
      <c r="H263" s="201"/>
      <c r="I263" s="188"/>
      <c r="J263" s="188"/>
      <c r="K263" s="186"/>
      <c r="L263" s="186"/>
      <c r="M263" s="201"/>
      <c r="N263" s="189"/>
      <c r="O263" s="186"/>
      <c r="P263" s="201"/>
      <c r="Q263" s="148"/>
      <c r="R263" s="148"/>
      <c r="S263" s="148"/>
      <c r="T263" s="148"/>
      <c r="U263" s="148"/>
      <c r="V263" s="148"/>
      <c r="W263" s="148"/>
      <c r="X263" s="148"/>
      <c r="Y263" s="148"/>
    </row>
    <row r="264" ht="30.0" customHeight="1">
      <c r="A264" s="201"/>
      <c r="B264" s="186"/>
      <c r="C264" s="186"/>
      <c r="D264" s="168"/>
      <c r="E264" s="186"/>
      <c r="F264" s="186"/>
      <c r="G264" s="186"/>
      <c r="H264" s="186"/>
      <c r="I264" s="188"/>
      <c r="J264" s="188"/>
      <c r="K264" s="186"/>
      <c r="L264" s="186"/>
      <c r="M264" s="186"/>
      <c r="N264" s="189"/>
      <c r="O264" s="186"/>
      <c r="P264" s="201"/>
      <c r="Q264" s="148"/>
      <c r="R264" s="148"/>
      <c r="S264" s="148"/>
      <c r="T264" s="148"/>
      <c r="U264" s="148"/>
      <c r="V264" s="148"/>
      <c r="W264" s="148"/>
      <c r="X264" s="148"/>
      <c r="Y264" s="148"/>
    </row>
    <row r="265" ht="30.0" customHeight="1">
      <c r="A265" s="201"/>
      <c r="B265" s="186"/>
      <c r="C265" s="186"/>
      <c r="D265" s="186"/>
      <c r="E265" s="186"/>
      <c r="F265" s="186"/>
      <c r="G265" s="186"/>
      <c r="H265" s="186"/>
      <c r="I265" s="188"/>
      <c r="J265" s="188"/>
      <c r="K265" s="186"/>
      <c r="L265" s="186"/>
      <c r="M265" s="201"/>
      <c r="N265" s="189"/>
      <c r="O265" s="186"/>
      <c r="P265" s="201"/>
      <c r="Q265" s="148"/>
      <c r="R265" s="148"/>
      <c r="S265" s="148"/>
      <c r="T265" s="148"/>
      <c r="U265" s="148"/>
      <c r="V265" s="148"/>
      <c r="W265" s="148"/>
      <c r="X265" s="148"/>
      <c r="Y265" s="148"/>
    </row>
    <row r="266" ht="30.0" customHeight="1">
      <c r="A266" s="201"/>
      <c r="B266" s="186"/>
      <c r="C266" s="186"/>
      <c r="D266" s="186"/>
      <c r="E266" s="186"/>
      <c r="F266" s="186"/>
      <c r="G266" s="186"/>
      <c r="H266" s="186"/>
      <c r="I266" s="188"/>
      <c r="J266" s="188"/>
      <c r="K266" s="186"/>
      <c r="L266" s="186"/>
      <c r="M266" s="186"/>
      <c r="N266" s="189"/>
      <c r="O266" s="186"/>
      <c r="P266" s="201"/>
      <c r="Q266" s="148"/>
      <c r="R266" s="148"/>
      <c r="S266" s="148"/>
      <c r="T266" s="148"/>
      <c r="U266" s="148"/>
      <c r="V266" s="148"/>
      <c r="W266" s="148"/>
      <c r="X266" s="148"/>
      <c r="Y266" s="148"/>
    </row>
    <row r="267" ht="30.0" customHeight="1">
      <c r="A267" s="201"/>
      <c r="B267" s="186"/>
      <c r="C267" s="186"/>
      <c r="D267" s="186"/>
      <c r="E267" s="186"/>
      <c r="F267" s="186"/>
      <c r="G267" s="186"/>
      <c r="H267" s="186"/>
      <c r="I267" s="188"/>
      <c r="J267" s="188"/>
      <c r="K267" s="186"/>
      <c r="L267" s="186"/>
      <c r="M267" s="186"/>
      <c r="N267" s="189"/>
      <c r="O267" s="186"/>
      <c r="P267" s="201"/>
      <c r="Q267" s="148"/>
      <c r="R267" s="148"/>
      <c r="S267" s="148"/>
      <c r="T267" s="148"/>
      <c r="U267" s="148"/>
      <c r="V267" s="148"/>
      <c r="W267" s="148"/>
      <c r="X267" s="148"/>
      <c r="Y267" s="148"/>
    </row>
    <row r="268" ht="30.0" customHeight="1">
      <c r="A268" s="201"/>
      <c r="B268" s="186"/>
      <c r="C268" s="186"/>
      <c r="D268" s="168"/>
      <c r="E268" s="186"/>
      <c r="F268" s="186"/>
      <c r="G268" s="186"/>
      <c r="H268" s="186"/>
      <c r="I268" s="188"/>
      <c r="J268" s="188"/>
      <c r="K268" s="186"/>
      <c r="L268" s="186"/>
      <c r="M268" s="201"/>
      <c r="N268" s="189"/>
      <c r="O268" s="186"/>
      <c r="P268" s="201"/>
      <c r="Q268" s="148"/>
      <c r="R268" s="148"/>
      <c r="S268" s="148"/>
      <c r="T268" s="148"/>
      <c r="U268" s="148"/>
      <c r="V268" s="148"/>
      <c r="W268" s="148"/>
      <c r="X268" s="148"/>
      <c r="Y268" s="148"/>
    </row>
    <row r="269" ht="30.0" customHeight="1">
      <c r="A269" s="201"/>
      <c r="B269" s="186"/>
      <c r="C269" s="186"/>
      <c r="D269" s="186"/>
      <c r="E269" s="186"/>
      <c r="F269" s="186"/>
      <c r="G269" s="186"/>
      <c r="H269" s="186"/>
      <c r="I269" s="188"/>
      <c r="J269" s="188"/>
      <c r="K269" s="186"/>
      <c r="L269" s="186"/>
      <c r="M269" s="201"/>
      <c r="N269" s="189"/>
      <c r="O269" s="186"/>
      <c r="P269" s="201"/>
      <c r="Q269" s="148"/>
      <c r="R269" s="148"/>
      <c r="S269" s="148"/>
      <c r="T269" s="148"/>
      <c r="U269" s="148"/>
      <c r="V269" s="148"/>
      <c r="W269" s="148"/>
      <c r="X269" s="148"/>
      <c r="Y269" s="148"/>
    </row>
    <row r="270" ht="30.0" customHeight="1">
      <c r="A270" s="201"/>
      <c r="B270" s="186"/>
      <c r="C270" s="186"/>
      <c r="D270" s="186"/>
      <c r="E270" s="186"/>
      <c r="F270" s="186"/>
      <c r="G270" s="186"/>
      <c r="H270" s="186"/>
      <c r="I270" s="188"/>
      <c r="J270" s="188"/>
      <c r="K270" s="186"/>
      <c r="L270" s="186"/>
      <c r="M270" s="186"/>
      <c r="N270" s="189"/>
      <c r="O270" s="186"/>
      <c r="P270" s="201"/>
      <c r="Q270" s="148"/>
      <c r="R270" s="148"/>
      <c r="S270" s="148"/>
      <c r="T270" s="148"/>
      <c r="U270" s="148"/>
      <c r="V270" s="148"/>
      <c r="W270" s="148"/>
      <c r="X270" s="148"/>
      <c r="Y270" s="148"/>
    </row>
    <row r="271" ht="30.0" customHeight="1">
      <c r="A271" s="201"/>
      <c r="B271" s="186"/>
      <c r="C271" s="186"/>
      <c r="D271" s="186"/>
      <c r="E271" s="186"/>
      <c r="F271" s="186"/>
      <c r="G271" s="186"/>
      <c r="H271" s="186"/>
      <c r="I271" s="188"/>
      <c r="J271" s="188"/>
      <c r="K271" s="186"/>
      <c r="L271" s="186"/>
      <c r="M271" s="201"/>
      <c r="N271" s="140"/>
      <c r="O271" s="186"/>
      <c r="P271" s="201"/>
      <c r="Q271" s="148"/>
      <c r="R271" s="148"/>
      <c r="S271" s="148"/>
      <c r="T271" s="148"/>
      <c r="U271" s="148"/>
      <c r="V271" s="148"/>
      <c r="W271" s="148"/>
      <c r="X271" s="148"/>
      <c r="Y271" s="148"/>
    </row>
    <row r="272" ht="30.0" customHeight="1">
      <c r="A272" s="201"/>
      <c r="B272" s="186"/>
      <c r="C272" s="186"/>
      <c r="D272" s="186"/>
      <c r="E272" s="186"/>
      <c r="F272" s="186"/>
      <c r="G272" s="186"/>
      <c r="H272" s="201"/>
      <c r="I272" s="202"/>
      <c r="J272" s="202"/>
      <c r="K272" s="201"/>
      <c r="L272" s="201"/>
      <c r="M272" s="186"/>
      <c r="N272" s="189"/>
      <c r="O272" s="186"/>
      <c r="P272" s="201"/>
      <c r="Q272" s="148"/>
      <c r="R272" s="148"/>
      <c r="S272" s="148"/>
      <c r="T272" s="148"/>
      <c r="U272" s="148"/>
      <c r="V272" s="148"/>
      <c r="W272" s="148"/>
      <c r="X272" s="148"/>
      <c r="Y272" s="148"/>
    </row>
    <row r="273" ht="30.0" customHeight="1">
      <c r="A273" s="201"/>
      <c r="B273" s="186"/>
      <c r="C273" s="186"/>
      <c r="D273" s="186"/>
      <c r="E273" s="186"/>
      <c r="F273" s="186"/>
      <c r="G273" s="186"/>
      <c r="H273" s="201"/>
      <c r="I273" s="202"/>
      <c r="J273" s="202"/>
      <c r="K273" s="201"/>
      <c r="L273" s="201"/>
      <c r="M273" s="186"/>
      <c r="N273" s="189"/>
      <c r="O273" s="186"/>
      <c r="P273" s="201"/>
      <c r="Q273" s="148"/>
      <c r="R273" s="148"/>
      <c r="S273" s="148"/>
      <c r="T273" s="148"/>
      <c r="U273" s="148"/>
      <c r="V273" s="148"/>
      <c r="W273" s="148"/>
      <c r="X273" s="148"/>
      <c r="Y273" s="148"/>
    </row>
    <row r="274" ht="30.0" customHeight="1">
      <c r="A274" s="201"/>
      <c r="B274" s="186"/>
      <c r="C274" s="186"/>
      <c r="D274" s="186"/>
      <c r="E274" s="186"/>
      <c r="F274" s="186"/>
      <c r="G274" s="186"/>
      <c r="H274" s="186"/>
      <c r="I274" s="202"/>
      <c r="J274" s="202"/>
      <c r="K274" s="201"/>
      <c r="L274" s="201"/>
      <c r="M274" s="186"/>
      <c r="N274" s="189"/>
      <c r="O274" s="186"/>
      <c r="P274" s="201"/>
      <c r="Q274" s="148"/>
      <c r="R274" s="148"/>
      <c r="S274" s="148"/>
      <c r="T274" s="148"/>
      <c r="U274" s="148"/>
      <c r="V274" s="148"/>
      <c r="W274" s="148"/>
      <c r="X274" s="148"/>
      <c r="Y274" s="148"/>
    </row>
    <row r="275" ht="30.0" customHeight="1">
      <c r="A275" s="201"/>
      <c r="B275" s="187"/>
      <c r="C275" s="186"/>
      <c r="D275" s="218"/>
      <c r="E275" s="186"/>
      <c r="F275" s="186"/>
      <c r="G275" s="186"/>
      <c r="H275" s="186"/>
      <c r="I275" s="202"/>
      <c r="J275" s="202"/>
      <c r="K275" s="201"/>
      <c r="L275" s="201"/>
      <c r="M275" s="186"/>
      <c r="N275" s="189"/>
      <c r="O275" s="186"/>
      <c r="P275" s="201"/>
      <c r="Q275" s="148"/>
      <c r="R275" s="148"/>
      <c r="S275" s="148"/>
      <c r="T275" s="148"/>
      <c r="U275" s="148"/>
      <c r="V275" s="148"/>
      <c r="W275" s="148"/>
      <c r="X275" s="148"/>
      <c r="Y275" s="148"/>
    </row>
    <row r="276" ht="30.0" customHeight="1">
      <c r="A276" s="201"/>
      <c r="B276" s="186"/>
      <c r="C276" s="186"/>
      <c r="D276" s="186"/>
      <c r="E276" s="186"/>
      <c r="F276" s="186"/>
      <c r="G276" s="186"/>
      <c r="H276" s="186"/>
      <c r="I276" s="202"/>
      <c r="J276" s="202"/>
      <c r="K276" s="201"/>
      <c r="L276" s="201"/>
      <c r="M276" s="201"/>
      <c r="N276" s="189"/>
      <c r="O276" s="186"/>
      <c r="P276" s="201"/>
      <c r="Q276" s="148"/>
      <c r="R276" s="148"/>
      <c r="S276" s="148"/>
      <c r="T276" s="148"/>
      <c r="U276" s="148"/>
      <c r="V276" s="148"/>
      <c r="W276" s="148"/>
      <c r="X276" s="148"/>
      <c r="Y276" s="148"/>
    </row>
    <row r="277" ht="30.0" customHeight="1">
      <c r="A277" s="201"/>
      <c r="B277" s="186"/>
      <c r="C277" s="186"/>
      <c r="D277" s="186"/>
      <c r="E277" s="186"/>
      <c r="F277" s="186"/>
      <c r="G277" s="186"/>
      <c r="H277" s="186"/>
      <c r="I277" s="202"/>
      <c r="J277" s="202"/>
      <c r="K277" s="201"/>
      <c r="L277" s="201"/>
      <c r="M277" s="201"/>
      <c r="N277" s="189"/>
      <c r="O277" s="186"/>
      <c r="P277" s="201"/>
      <c r="Q277" s="148"/>
      <c r="R277" s="148"/>
      <c r="S277" s="148"/>
      <c r="T277" s="148"/>
      <c r="U277" s="148"/>
      <c r="V277" s="148"/>
      <c r="W277" s="148"/>
      <c r="X277" s="148"/>
      <c r="Y277" s="148"/>
    </row>
    <row r="278" ht="31.5" customHeight="1">
      <c r="A278" s="201"/>
      <c r="B278" s="186"/>
      <c r="C278" s="186"/>
      <c r="D278" s="186"/>
      <c r="E278" s="186"/>
      <c r="F278" s="186"/>
      <c r="G278" s="186"/>
      <c r="H278" s="186"/>
      <c r="I278" s="202"/>
      <c r="J278" s="202"/>
      <c r="K278" s="201"/>
      <c r="L278" s="201"/>
      <c r="M278" s="201"/>
      <c r="N278" s="189"/>
      <c r="O278" s="186"/>
      <c r="P278" s="201"/>
      <c r="Q278" s="148"/>
      <c r="R278" s="148"/>
      <c r="S278" s="148"/>
      <c r="T278" s="148"/>
      <c r="U278" s="148"/>
      <c r="V278" s="148"/>
      <c r="W278" s="148"/>
      <c r="X278" s="148"/>
      <c r="Y278" s="148"/>
    </row>
    <row r="279" ht="30.0" customHeight="1">
      <c r="A279" s="201"/>
      <c r="B279" s="186"/>
      <c r="C279" s="206"/>
      <c r="D279" s="206"/>
      <c r="E279" s="206"/>
      <c r="F279" s="206"/>
      <c r="G279" s="206"/>
      <c r="H279" s="206"/>
      <c r="I279" s="222"/>
      <c r="J279" s="222"/>
      <c r="K279" s="205"/>
      <c r="L279" s="205"/>
      <c r="M279" s="205"/>
      <c r="N279" s="189"/>
      <c r="O279" s="186"/>
      <c r="P279" s="205"/>
      <c r="Q279" s="215"/>
      <c r="R279" s="215"/>
      <c r="S279" s="215"/>
      <c r="T279" s="215"/>
      <c r="U279" s="215"/>
      <c r="V279" s="215"/>
      <c r="W279" s="215"/>
      <c r="X279" s="215"/>
      <c r="Y279" s="215"/>
    </row>
    <row r="280" ht="30.0" customHeight="1">
      <c r="A280" s="201"/>
      <c r="B280" s="186"/>
      <c r="C280" s="186"/>
      <c r="D280" s="186"/>
      <c r="E280" s="186"/>
      <c r="F280" s="186"/>
      <c r="G280" s="186"/>
      <c r="H280" s="186"/>
      <c r="I280" s="202"/>
      <c r="J280" s="202"/>
      <c r="K280" s="201"/>
      <c r="L280" s="201"/>
      <c r="M280" s="201"/>
      <c r="N280" s="189"/>
      <c r="O280" s="186"/>
      <c r="P280" s="201"/>
      <c r="Q280" s="148"/>
      <c r="R280" s="148"/>
      <c r="S280" s="148"/>
      <c r="T280" s="148"/>
      <c r="U280" s="148"/>
      <c r="V280" s="148"/>
      <c r="W280" s="148"/>
      <c r="X280" s="148"/>
      <c r="Y280" s="148"/>
    </row>
    <row r="281" ht="30.0" customHeight="1">
      <c r="A281" s="201"/>
      <c r="B281" s="186"/>
      <c r="C281" s="186"/>
      <c r="D281" s="186"/>
      <c r="E281" s="186"/>
      <c r="F281" s="186"/>
      <c r="G281" s="186"/>
      <c r="H281" s="186"/>
      <c r="I281" s="202"/>
      <c r="J281" s="202"/>
      <c r="K281" s="201"/>
      <c r="L281" s="201"/>
      <c r="M281" s="201"/>
      <c r="N281" s="189"/>
      <c r="O281" s="186"/>
      <c r="P281" s="201"/>
      <c r="Q281" s="148"/>
      <c r="R281" s="148"/>
      <c r="S281" s="148"/>
      <c r="T281" s="148"/>
      <c r="U281" s="148"/>
      <c r="V281" s="148"/>
      <c r="W281" s="148"/>
      <c r="X281" s="148"/>
      <c r="Y281" s="148"/>
    </row>
    <row r="282" ht="30.0" customHeight="1">
      <c r="A282" s="201"/>
      <c r="B282" s="186"/>
      <c r="C282" s="186"/>
      <c r="D282" s="168"/>
      <c r="E282" s="186"/>
      <c r="F282" s="186"/>
      <c r="G282" s="186"/>
      <c r="H282" s="186"/>
      <c r="I282" s="202"/>
      <c r="J282" s="202"/>
      <c r="K282" s="201"/>
      <c r="L282" s="201"/>
      <c r="M282" s="201"/>
      <c r="N282" s="189"/>
      <c r="O282" s="186"/>
      <c r="P282" s="201"/>
      <c r="Q282" s="148"/>
      <c r="R282" s="148"/>
      <c r="S282" s="148"/>
      <c r="T282" s="148"/>
      <c r="U282" s="148"/>
      <c r="V282" s="148"/>
      <c r="W282" s="148"/>
      <c r="X282" s="148"/>
      <c r="Y282" s="148"/>
    </row>
    <row r="283" ht="31.5" customHeight="1">
      <c r="A283" s="201"/>
      <c r="B283" s="186"/>
      <c r="C283" s="186"/>
      <c r="D283" s="186"/>
      <c r="E283" s="186"/>
      <c r="F283" s="186"/>
      <c r="G283" s="186"/>
      <c r="H283" s="186"/>
      <c r="I283" s="202"/>
      <c r="J283" s="202"/>
      <c r="K283" s="201"/>
      <c r="L283" s="201"/>
      <c r="M283" s="201"/>
      <c r="N283" s="189"/>
      <c r="O283" s="186"/>
      <c r="P283" s="201"/>
      <c r="Q283" s="148"/>
      <c r="R283" s="148"/>
      <c r="S283" s="148"/>
      <c r="T283" s="148"/>
      <c r="U283" s="148"/>
      <c r="V283" s="148"/>
      <c r="W283" s="148"/>
      <c r="X283" s="148"/>
      <c r="Y283" s="148"/>
    </row>
    <row r="284" ht="31.5" customHeight="1">
      <c r="A284" s="201"/>
      <c r="B284" s="186"/>
      <c r="C284" s="186"/>
      <c r="D284" s="186"/>
      <c r="E284" s="186"/>
      <c r="F284" s="186"/>
      <c r="G284" s="186"/>
      <c r="H284" s="186"/>
      <c r="I284" s="202"/>
      <c r="J284" s="202"/>
      <c r="K284" s="201"/>
      <c r="L284" s="201"/>
      <c r="M284" s="201"/>
      <c r="N284" s="189"/>
      <c r="O284" s="186"/>
      <c r="P284" s="201"/>
      <c r="Q284" s="148"/>
      <c r="R284" s="148"/>
      <c r="S284" s="148"/>
      <c r="T284" s="148"/>
      <c r="U284" s="148"/>
      <c r="V284" s="148"/>
      <c r="W284" s="148"/>
      <c r="X284" s="148"/>
      <c r="Y284" s="148"/>
    </row>
    <row r="285" ht="31.5" customHeight="1">
      <c r="A285" s="201"/>
      <c r="B285" s="186"/>
      <c r="C285" s="186"/>
      <c r="D285" s="186"/>
      <c r="E285" s="186"/>
      <c r="F285" s="186"/>
      <c r="G285" s="186"/>
      <c r="H285" s="201"/>
      <c r="I285" s="202"/>
      <c r="J285" s="202"/>
      <c r="K285" s="201"/>
      <c r="L285" s="201"/>
      <c r="M285" s="201"/>
      <c r="N285" s="189"/>
      <c r="O285" s="186"/>
      <c r="P285" s="201"/>
      <c r="Q285" s="148"/>
      <c r="R285" s="148"/>
      <c r="S285" s="148"/>
      <c r="T285" s="148"/>
      <c r="U285" s="148"/>
      <c r="V285" s="148"/>
      <c r="W285" s="148"/>
      <c r="X285" s="148"/>
      <c r="Y285" s="148"/>
    </row>
    <row r="286" ht="31.5" customHeight="1">
      <c r="A286" s="201"/>
      <c r="B286" s="186"/>
      <c r="C286" s="186"/>
      <c r="D286" s="186"/>
      <c r="E286" s="186"/>
      <c r="F286" s="186"/>
      <c r="G286" s="186"/>
      <c r="H286" s="201"/>
      <c r="I286" s="202"/>
      <c r="J286" s="202"/>
      <c r="K286" s="201"/>
      <c r="L286" s="201"/>
      <c r="M286" s="201"/>
      <c r="N286" s="189"/>
      <c r="O286" s="186"/>
      <c r="P286" s="201"/>
      <c r="Q286" s="148"/>
      <c r="R286" s="148"/>
      <c r="S286" s="148"/>
      <c r="T286" s="148"/>
      <c r="U286" s="148"/>
      <c r="V286" s="148"/>
      <c r="W286" s="148"/>
      <c r="X286" s="148"/>
      <c r="Y286" s="148"/>
    </row>
    <row r="287" ht="31.5" customHeight="1">
      <c r="A287" s="201"/>
      <c r="B287" s="186"/>
      <c r="C287" s="186"/>
      <c r="D287" s="186"/>
      <c r="E287" s="186"/>
      <c r="F287" s="186"/>
      <c r="G287" s="186"/>
      <c r="H287" s="201"/>
      <c r="I287" s="202"/>
      <c r="J287" s="202"/>
      <c r="K287" s="201"/>
      <c r="L287" s="201"/>
      <c r="M287" s="201"/>
      <c r="N287" s="189"/>
      <c r="O287" s="186"/>
      <c r="P287" s="201"/>
      <c r="Q287" s="148"/>
      <c r="R287" s="148"/>
      <c r="S287" s="148"/>
      <c r="T287" s="148"/>
      <c r="U287" s="148"/>
      <c r="V287" s="148"/>
      <c r="W287" s="148"/>
      <c r="X287" s="148"/>
      <c r="Y287" s="148"/>
    </row>
    <row r="288" ht="31.5" customHeight="1">
      <c r="A288" s="201"/>
      <c r="B288" s="186"/>
      <c r="C288" s="186"/>
      <c r="D288" s="186"/>
      <c r="E288" s="186"/>
      <c r="F288" s="186"/>
      <c r="G288" s="186"/>
      <c r="H288" s="201"/>
      <c r="I288" s="202"/>
      <c r="J288" s="202"/>
      <c r="K288" s="201"/>
      <c r="L288" s="201"/>
      <c r="M288" s="201"/>
      <c r="N288" s="189"/>
      <c r="O288" s="186"/>
      <c r="P288" s="201"/>
      <c r="Q288" s="148"/>
      <c r="R288" s="148"/>
      <c r="S288" s="148"/>
      <c r="T288" s="148"/>
      <c r="U288" s="148"/>
      <c r="V288" s="148"/>
      <c r="W288" s="148"/>
      <c r="X288" s="148"/>
      <c r="Y288" s="148"/>
    </row>
    <row r="289" ht="31.5" customHeight="1">
      <c r="A289" s="201"/>
      <c r="B289" s="186"/>
      <c r="C289" s="186"/>
      <c r="D289" s="186"/>
      <c r="E289" s="186"/>
      <c r="F289" s="186"/>
      <c r="G289" s="186"/>
      <c r="H289" s="201"/>
      <c r="I289" s="202"/>
      <c r="J289" s="202"/>
      <c r="K289" s="201"/>
      <c r="L289" s="201"/>
      <c r="M289" s="201"/>
      <c r="N289" s="189"/>
      <c r="O289" s="186"/>
      <c r="P289" s="201"/>
      <c r="Q289" s="148"/>
      <c r="R289" s="148"/>
      <c r="S289" s="148"/>
      <c r="T289" s="148"/>
      <c r="U289" s="148"/>
      <c r="V289" s="148"/>
      <c r="W289" s="148"/>
      <c r="X289" s="148"/>
      <c r="Y289" s="148"/>
    </row>
    <row r="290" ht="30.75" customHeight="1">
      <c r="A290" s="201"/>
      <c r="B290" s="186"/>
      <c r="C290" s="181"/>
      <c r="D290" s="141"/>
      <c r="E290" s="141"/>
      <c r="F290" s="141"/>
      <c r="G290" s="141"/>
      <c r="H290" s="141"/>
      <c r="I290" s="149"/>
      <c r="J290" s="149"/>
      <c r="K290" s="142"/>
      <c r="L290" s="139"/>
      <c r="M290" s="139"/>
      <c r="N290" s="140"/>
      <c r="O290" s="141"/>
      <c r="P290" s="139"/>
      <c r="Q290" s="223"/>
      <c r="R290" s="223"/>
      <c r="S290" s="223"/>
      <c r="T290" s="223"/>
      <c r="U290" s="223"/>
      <c r="V290" s="223"/>
      <c r="W290" s="223"/>
      <c r="X290" s="223"/>
      <c r="Y290" s="223"/>
    </row>
    <row r="291" ht="39.75" customHeight="1">
      <c r="A291" s="201"/>
      <c r="B291" s="186"/>
      <c r="C291" s="186"/>
      <c r="D291" s="186"/>
      <c r="E291" s="186"/>
      <c r="F291" s="186"/>
      <c r="G291" s="186"/>
      <c r="H291" s="186"/>
      <c r="I291" s="202"/>
      <c r="J291" s="202"/>
      <c r="K291" s="201"/>
      <c r="L291" s="201"/>
      <c r="M291" s="201"/>
      <c r="N291" s="189"/>
      <c r="O291" s="186"/>
      <c r="P291" s="201"/>
      <c r="Q291" s="148"/>
      <c r="R291" s="148"/>
      <c r="S291" s="148"/>
      <c r="T291" s="148"/>
      <c r="U291" s="148"/>
      <c r="V291" s="148"/>
      <c r="W291" s="148"/>
      <c r="X291" s="148"/>
      <c r="Y291" s="148"/>
    </row>
    <row r="292" ht="39.75" customHeight="1">
      <c r="A292" s="201"/>
      <c r="B292" s="186"/>
      <c r="C292" s="186"/>
      <c r="D292" s="168"/>
      <c r="E292" s="186"/>
      <c r="F292" s="186"/>
      <c r="G292" s="186"/>
      <c r="H292" s="186"/>
      <c r="I292" s="202"/>
      <c r="J292" s="202"/>
      <c r="K292" s="201"/>
      <c r="L292" s="201"/>
      <c r="M292" s="201"/>
      <c r="N292" s="189"/>
      <c r="O292" s="186"/>
      <c r="P292" s="201"/>
      <c r="Q292" s="148"/>
      <c r="R292" s="148"/>
      <c r="S292" s="148"/>
      <c r="T292" s="148"/>
      <c r="U292" s="148"/>
      <c r="V292" s="148"/>
      <c r="W292" s="148"/>
      <c r="X292" s="148"/>
      <c r="Y292" s="148"/>
    </row>
    <row r="293" ht="39.75" customHeight="1">
      <c r="A293" s="201"/>
      <c r="B293" s="207"/>
      <c r="C293" s="207"/>
      <c r="D293" s="207"/>
      <c r="E293" s="207"/>
      <c r="F293" s="207"/>
      <c r="G293" s="207"/>
      <c r="H293" s="208"/>
      <c r="I293" s="209"/>
      <c r="J293" s="209"/>
      <c r="K293" s="208"/>
      <c r="L293" s="208"/>
      <c r="M293" s="208"/>
      <c r="N293" s="212"/>
      <c r="O293" s="207"/>
      <c r="P293" s="208"/>
      <c r="Q293" s="216"/>
      <c r="R293" s="216"/>
      <c r="S293" s="216"/>
      <c r="T293" s="216"/>
      <c r="U293" s="216"/>
      <c r="V293" s="216"/>
      <c r="W293" s="216"/>
      <c r="X293" s="216"/>
      <c r="Y293" s="216"/>
    </row>
    <row r="294" ht="39.75" customHeight="1">
      <c r="A294" s="201"/>
      <c r="B294" s="207"/>
      <c r="C294" s="207"/>
      <c r="D294" s="207"/>
      <c r="E294" s="212"/>
      <c r="F294" s="207"/>
      <c r="G294" s="207"/>
      <c r="H294" s="221"/>
      <c r="I294" s="211"/>
      <c r="J294" s="211"/>
      <c r="K294" s="208"/>
      <c r="L294" s="221"/>
      <c r="M294" s="212"/>
      <c r="N294" s="212"/>
      <c r="O294" s="207"/>
      <c r="P294" s="208"/>
      <c r="Q294" s="216"/>
      <c r="R294" s="216"/>
      <c r="S294" s="216"/>
      <c r="T294" s="216"/>
      <c r="U294" s="216"/>
      <c r="V294" s="216"/>
      <c r="W294" s="216"/>
      <c r="X294" s="216"/>
      <c r="Y294" s="216"/>
    </row>
    <row r="295" ht="39.75" customHeight="1">
      <c r="A295" s="201"/>
      <c r="B295" s="186"/>
      <c r="C295" s="206"/>
      <c r="D295" s="206"/>
      <c r="E295" s="207"/>
      <c r="F295" s="207"/>
      <c r="G295" s="207"/>
      <c r="H295" s="207"/>
      <c r="I295" s="209"/>
      <c r="J295" s="209"/>
      <c r="K295" s="208"/>
      <c r="L295" s="205"/>
      <c r="M295" s="224"/>
      <c r="N295" s="189"/>
      <c r="O295" s="206"/>
      <c r="P295" s="205"/>
      <c r="Q295" s="215"/>
      <c r="R295" s="215"/>
      <c r="S295" s="215"/>
      <c r="T295" s="215"/>
      <c r="U295" s="215"/>
      <c r="V295" s="215"/>
      <c r="W295" s="215"/>
      <c r="X295" s="215"/>
      <c r="Y295" s="215"/>
    </row>
    <row r="296" ht="39.75" customHeight="1">
      <c r="A296" s="201"/>
      <c r="B296" s="186"/>
      <c r="C296" s="186"/>
      <c r="D296" s="186"/>
      <c r="E296" s="186"/>
      <c r="F296" s="186"/>
      <c r="G296" s="186"/>
      <c r="H296" s="186"/>
      <c r="I296" s="202"/>
      <c r="J296" s="202"/>
      <c r="K296" s="201"/>
      <c r="L296" s="201"/>
      <c r="M296" s="201"/>
      <c r="N296" s="189"/>
      <c r="O296" s="186"/>
      <c r="P296" s="201"/>
      <c r="Q296" s="148"/>
      <c r="R296" s="148"/>
      <c r="S296" s="148"/>
      <c r="T296" s="148"/>
      <c r="U296" s="148"/>
      <c r="V296" s="148"/>
      <c r="W296" s="148"/>
      <c r="X296" s="148"/>
      <c r="Y296" s="148"/>
    </row>
    <row r="297" ht="39.75" customHeight="1">
      <c r="A297" s="201"/>
      <c r="B297" s="186"/>
      <c r="C297" s="186"/>
      <c r="D297" s="186"/>
      <c r="E297" s="186"/>
      <c r="F297" s="186"/>
      <c r="G297" s="186"/>
      <c r="H297" s="186"/>
      <c r="I297" s="202"/>
      <c r="J297" s="202"/>
      <c r="K297" s="201"/>
      <c r="L297" s="201"/>
      <c r="M297" s="201"/>
      <c r="N297" s="189"/>
      <c r="O297" s="186"/>
      <c r="P297" s="201"/>
      <c r="Q297" s="148"/>
      <c r="R297" s="148"/>
      <c r="S297" s="148"/>
      <c r="T297" s="148"/>
      <c r="U297" s="148"/>
      <c r="V297" s="148"/>
      <c r="W297" s="148"/>
      <c r="X297" s="148"/>
      <c r="Y297" s="148"/>
    </row>
    <row r="298" ht="39.75" customHeight="1">
      <c r="A298" s="201"/>
      <c r="B298" s="186"/>
      <c r="C298" s="186"/>
      <c r="D298" s="186"/>
      <c r="E298" s="186"/>
      <c r="F298" s="186"/>
      <c r="G298" s="186"/>
      <c r="H298" s="186"/>
      <c r="I298" s="202"/>
      <c r="J298" s="202"/>
      <c r="K298" s="201"/>
      <c r="L298" s="201"/>
      <c r="M298" s="201"/>
      <c r="N298" s="189"/>
      <c r="O298" s="186"/>
      <c r="P298" s="201"/>
      <c r="Q298" s="148"/>
      <c r="R298" s="148"/>
      <c r="S298" s="148"/>
      <c r="T298" s="148"/>
      <c r="U298" s="148"/>
      <c r="V298" s="148"/>
      <c r="W298" s="148"/>
      <c r="X298" s="148"/>
      <c r="Y298" s="148"/>
    </row>
    <row r="299" ht="30.0" customHeight="1">
      <c r="A299" s="201"/>
      <c r="B299" s="186"/>
      <c r="C299" s="186"/>
      <c r="D299" s="186"/>
      <c r="E299" s="186"/>
      <c r="F299" s="186"/>
      <c r="G299" s="186"/>
      <c r="H299" s="186"/>
      <c r="I299" s="202"/>
      <c r="J299" s="202"/>
      <c r="K299" s="201"/>
      <c r="L299" s="201"/>
      <c r="M299" s="201"/>
      <c r="N299" s="189"/>
      <c r="O299" s="186"/>
      <c r="P299" s="201"/>
      <c r="Q299" s="148"/>
      <c r="R299" s="148"/>
      <c r="S299" s="148"/>
      <c r="T299" s="148"/>
      <c r="U299" s="148"/>
      <c r="V299" s="148"/>
      <c r="W299" s="148"/>
      <c r="X299" s="148"/>
      <c r="Y299" s="148"/>
    </row>
    <row r="300" ht="30.0" customHeight="1">
      <c r="A300" s="201"/>
      <c r="B300" s="186"/>
      <c r="C300" s="186"/>
      <c r="D300" s="186"/>
      <c r="E300" s="186"/>
      <c r="F300" s="186"/>
      <c r="G300" s="186"/>
      <c r="H300" s="201"/>
      <c r="I300" s="202"/>
      <c r="J300" s="202"/>
      <c r="K300" s="201"/>
      <c r="L300" s="201"/>
      <c r="M300" s="186"/>
      <c r="N300" s="189"/>
      <c r="O300" s="186"/>
      <c r="P300" s="201"/>
      <c r="Q300" s="148"/>
      <c r="R300" s="148"/>
      <c r="S300" s="148"/>
      <c r="T300" s="148"/>
      <c r="U300" s="148"/>
      <c r="V300" s="148"/>
      <c r="W300" s="148"/>
      <c r="X300" s="148"/>
      <c r="Y300" s="148"/>
    </row>
    <row r="301" ht="30.0" customHeight="1">
      <c r="A301" s="201"/>
      <c r="B301" s="186"/>
      <c r="C301" s="186"/>
      <c r="D301" s="186"/>
      <c r="E301" s="186"/>
      <c r="F301" s="186"/>
      <c r="G301" s="186"/>
      <c r="H301" s="201"/>
      <c r="I301" s="202"/>
      <c r="J301" s="202"/>
      <c r="K301" s="201"/>
      <c r="L301" s="201"/>
      <c r="M301" s="186"/>
      <c r="N301" s="189"/>
      <c r="O301" s="186"/>
      <c r="P301" s="201"/>
      <c r="Q301" s="148"/>
      <c r="R301" s="148"/>
      <c r="S301" s="148"/>
      <c r="T301" s="148"/>
      <c r="U301" s="148"/>
      <c r="V301" s="148"/>
      <c r="W301" s="148"/>
      <c r="X301" s="148"/>
      <c r="Y301" s="148"/>
    </row>
    <row r="302" ht="30.0" customHeight="1">
      <c r="A302" s="201"/>
      <c r="B302" s="186"/>
      <c r="C302" s="186"/>
      <c r="D302" s="186"/>
      <c r="E302" s="186"/>
      <c r="F302" s="186"/>
      <c r="G302" s="186"/>
      <c r="H302" s="201"/>
      <c r="I302" s="202"/>
      <c r="J302" s="202"/>
      <c r="K302" s="201"/>
      <c r="L302" s="201"/>
      <c r="M302" s="186"/>
      <c r="N302" s="189"/>
      <c r="O302" s="186"/>
      <c r="P302" s="201"/>
      <c r="Q302" s="148"/>
      <c r="R302" s="148"/>
      <c r="S302" s="148"/>
      <c r="T302" s="148"/>
      <c r="U302" s="148"/>
      <c r="V302" s="148"/>
      <c r="W302" s="148"/>
      <c r="X302" s="148"/>
      <c r="Y302" s="148"/>
    </row>
    <row r="303" ht="30.0" customHeight="1">
      <c r="A303" s="201"/>
      <c r="B303" s="186"/>
      <c r="C303" s="186"/>
      <c r="D303" s="186"/>
      <c r="E303" s="186"/>
      <c r="F303" s="186"/>
      <c r="G303" s="186"/>
      <c r="H303" s="201"/>
      <c r="I303" s="202"/>
      <c r="J303" s="202"/>
      <c r="K303" s="201"/>
      <c r="L303" s="201"/>
      <c r="M303" s="186"/>
      <c r="N303" s="189"/>
      <c r="O303" s="186"/>
      <c r="P303" s="201"/>
      <c r="Q303" s="148"/>
      <c r="R303" s="148"/>
      <c r="S303" s="148"/>
      <c r="T303" s="148"/>
      <c r="U303" s="148"/>
      <c r="V303" s="148"/>
      <c r="W303" s="148"/>
      <c r="X303" s="148"/>
      <c r="Y303" s="148"/>
    </row>
    <row r="304" ht="30.0" customHeight="1">
      <c r="A304" s="201"/>
      <c r="B304" s="186"/>
      <c r="C304" s="186"/>
      <c r="D304" s="186"/>
      <c r="E304" s="186"/>
      <c r="F304" s="186"/>
      <c r="G304" s="186"/>
      <c r="H304" s="201"/>
      <c r="I304" s="202"/>
      <c r="J304" s="202"/>
      <c r="K304" s="201"/>
      <c r="L304" s="201"/>
      <c r="M304" s="186"/>
      <c r="N304" s="189"/>
      <c r="O304" s="186"/>
      <c r="P304" s="201"/>
      <c r="Q304" s="148"/>
      <c r="R304" s="148"/>
      <c r="S304" s="148"/>
      <c r="T304" s="148"/>
      <c r="U304" s="148"/>
      <c r="V304" s="148"/>
      <c r="W304" s="148"/>
      <c r="X304" s="148"/>
      <c r="Y304" s="148"/>
    </row>
    <row r="305" ht="30.0" customHeight="1">
      <c r="A305" s="201"/>
      <c r="B305" s="186"/>
      <c r="C305" s="186"/>
      <c r="D305" s="186"/>
      <c r="E305" s="186"/>
      <c r="F305" s="186"/>
      <c r="G305" s="186"/>
      <c r="H305" s="201"/>
      <c r="I305" s="202"/>
      <c r="J305" s="202"/>
      <c r="K305" s="201"/>
      <c r="L305" s="201"/>
      <c r="M305" s="186"/>
      <c r="N305" s="189"/>
      <c r="O305" s="186"/>
      <c r="P305" s="201"/>
      <c r="Q305" s="148"/>
      <c r="R305" s="148"/>
      <c r="S305" s="148"/>
      <c r="T305" s="148"/>
      <c r="U305" s="148"/>
      <c r="V305" s="148"/>
      <c r="W305" s="148"/>
      <c r="X305" s="148"/>
      <c r="Y305" s="148"/>
    </row>
    <row r="306" ht="31.5" customHeight="1">
      <c r="A306" s="201"/>
      <c r="B306" s="186"/>
      <c r="C306" s="186"/>
      <c r="D306" s="186"/>
      <c r="E306" s="186"/>
      <c r="F306" s="186"/>
      <c r="G306" s="186"/>
      <c r="H306" s="201"/>
      <c r="I306" s="202"/>
      <c r="J306" s="202"/>
      <c r="K306" s="201"/>
      <c r="L306" s="201"/>
      <c r="M306" s="201"/>
      <c r="N306" s="189"/>
      <c r="O306" s="186"/>
      <c r="P306" s="201"/>
      <c r="Q306" s="148"/>
      <c r="R306" s="148"/>
      <c r="S306" s="148"/>
      <c r="T306" s="148"/>
      <c r="U306" s="148"/>
      <c r="V306" s="148"/>
      <c r="W306" s="148"/>
      <c r="X306" s="148"/>
      <c r="Y306" s="148"/>
    </row>
    <row r="307" ht="30.0" customHeight="1">
      <c r="A307" s="201"/>
      <c r="B307" s="186"/>
      <c r="C307" s="186"/>
      <c r="D307" s="186"/>
      <c r="E307" s="186"/>
      <c r="F307" s="186"/>
      <c r="G307" s="186"/>
      <c r="H307" s="201"/>
      <c r="I307" s="202"/>
      <c r="J307" s="202"/>
      <c r="K307" s="201"/>
      <c r="L307" s="201"/>
      <c r="M307" s="186"/>
      <c r="N307" s="189"/>
      <c r="O307" s="186"/>
      <c r="P307" s="201"/>
      <c r="Q307" s="148"/>
      <c r="R307" s="148"/>
      <c r="S307" s="148"/>
      <c r="T307" s="148"/>
      <c r="U307" s="148"/>
      <c r="V307" s="148"/>
      <c r="W307" s="148"/>
      <c r="X307" s="148"/>
      <c r="Y307" s="148"/>
    </row>
    <row r="308" ht="30.0" customHeight="1">
      <c r="A308" s="201"/>
      <c r="B308" s="186"/>
      <c r="C308" s="186"/>
      <c r="D308" s="186"/>
      <c r="E308" s="186"/>
      <c r="F308" s="186"/>
      <c r="G308" s="186"/>
      <c r="H308" s="201"/>
      <c r="I308" s="202"/>
      <c r="J308" s="202"/>
      <c r="K308" s="201"/>
      <c r="L308" s="201"/>
      <c r="M308" s="201"/>
      <c r="N308" s="189"/>
      <c r="O308" s="186"/>
      <c r="P308" s="201"/>
      <c r="Q308" s="148"/>
      <c r="R308" s="148"/>
      <c r="S308" s="148"/>
      <c r="T308" s="148"/>
      <c r="U308" s="148"/>
      <c r="V308" s="148"/>
      <c r="W308" s="148"/>
      <c r="X308" s="148"/>
      <c r="Y308" s="148"/>
    </row>
    <row r="309" ht="30.0" customHeight="1">
      <c r="A309" s="201"/>
      <c r="B309" s="186"/>
      <c r="C309" s="186"/>
      <c r="D309" s="186"/>
      <c r="E309" s="186"/>
      <c r="F309" s="186"/>
      <c r="G309" s="186"/>
      <c r="H309" s="201"/>
      <c r="I309" s="202"/>
      <c r="J309" s="202"/>
      <c r="K309" s="201"/>
      <c r="L309" s="201"/>
      <c r="M309" s="201"/>
      <c r="N309" s="189"/>
      <c r="O309" s="186"/>
      <c r="P309" s="201"/>
      <c r="Q309" s="148"/>
      <c r="R309" s="148"/>
      <c r="S309" s="148"/>
      <c r="T309" s="148"/>
      <c r="U309" s="148"/>
      <c r="V309" s="148"/>
      <c r="W309" s="148"/>
      <c r="X309" s="148"/>
      <c r="Y309" s="148"/>
    </row>
    <row r="310" ht="30.0" customHeight="1">
      <c r="A310" s="201"/>
      <c r="B310" s="186"/>
      <c r="C310" s="186"/>
      <c r="D310" s="186"/>
      <c r="E310" s="186"/>
      <c r="F310" s="186"/>
      <c r="G310" s="186"/>
      <c r="H310" s="201"/>
      <c r="I310" s="202"/>
      <c r="J310" s="202"/>
      <c r="K310" s="201"/>
      <c r="L310" s="201"/>
      <c r="M310" s="186"/>
      <c r="N310" s="189"/>
      <c r="O310" s="186"/>
      <c r="P310" s="201"/>
      <c r="Q310" s="148"/>
      <c r="R310" s="148"/>
      <c r="S310" s="148"/>
      <c r="T310" s="148"/>
      <c r="U310" s="148"/>
      <c r="V310" s="148"/>
      <c r="W310" s="148"/>
      <c r="X310" s="148"/>
      <c r="Y310" s="148"/>
    </row>
    <row r="311" ht="30.0" customHeight="1">
      <c r="A311" s="201"/>
      <c r="B311" s="186"/>
      <c r="C311" s="186"/>
      <c r="D311" s="186"/>
      <c r="E311" s="186"/>
      <c r="F311" s="186"/>
      <c r="G311" s="186"/>
      <c r="H311" s="201"/>
      <c r="I311" s="202"/>
      <c r="J311" s="202"/>
      <c r="K311" s="201"/>
      <c r="L311" s="201"/>
      <c r="M311" s="201"/>
      <c r="N311" s="189"/>
      <c r="O311" s="186"/>
      <c r="P311" s="201"/>
      <c r="Q311" s="148"/>
      <c r="R311" s="148"/>
      <c r="S311" s="148"/>
      <c r="T311" s="148"/>
      <c r="U311" s="148"/>
      <c r="V311" s="148"/>
      <c r="W311" s="148"/>
      <c r="X311" s="148"/>
      <c r="Y311" s="148"/>
    </row>
    <row r="312" ht="30.0" customHeight="1">
      <c r="A312" s="201"/>
      <c r="B312" s="186"/>
      <c r="C312" s="186"/>
      <c r="D312" s="186"/>
      <c r="E312" s="186"/>
      <c r="F312" s="186"/>
      <c r="G312" s="186"/>
      <c r="H312" s="201"/>
      <c r="I312" s="202"/>
      <c r="J312" s="202"/>
      <c r="K312" s="201"/>
      <c r="L312" s="201"/>
      <c r="M312" s="186"/>
      <c r="N312" s="189"/>
      <c r="O312" s="186"/>
      <c r="P312" s="201"/>
      <c r="Q312" s="148"/>
      <c r="R312" s="148"/>
      <c r="S312" s="148"/>
      <c r="T312" s="148"/>
      <c r="U312" s="148"/>
      <c r="V312" s="148"/>
      <c r="W312" s="148"/>
      <c r="X312" s="148"/>
      <c r="Y312" s="148"/>
    </row>
    <row r="313" ht="30.0" customHeight="1">
      <c r="A313" s="201"/>
      <c r="B313" s="186"/>
      <c r="C313" s="186"/>
      <c r="D313" s="186"/>
      <c r="E313" s="186"/>
      <c r="F313" s="186"/>
      <c r="G313" s="186"/>
      <c r="H313" s="201"/>
      <c r="I313" s="202"/>
      <c r="J313" s="202"/>
      <c r="K313" s="201"/>
      <c r="L313" s="201"/>
      <c r="M313" s="201"/>
      <c r="N313" s="189"/>
      <c r="O313" s="186"/>
      <c r="P313" s="201"/>
      <c r="Q313" s="148"/>
      <c r="R313" s="148"/>
      <c r="S313" s="148"/>
      <c r="T313" s="148"/>
      <c r="U313" s="148"/>
      <c r="V313" s="148"/>
      <c r="W313" s="148"/>
      <c r="X313" s="148"/>
      <c r="Y313" s="148"/>
    </row>
    <row r="314" ht="30.0" customHeight="1">
      <c r="A314" s="201"/>
      <c r="B314" s="186"/>
      <c r="C314" s="186"/>
      <c r="D314" s="186"/>
      <c r="E314" s="186"/>
      <c r="F314" s="186"/>
      <c r="G314" s="186"/>
      <c r="H314" s="201"/>
      <c r="I314" s="202"/>
      <c r="J314" s="202"/>
      <c r="K314" s="201"/>
      <c r="L314" s="201"/>
      <c r="M314" s="201"/>
      <c r="N314" s="189"/>
      <c r="O314" s="186"/>
      <c r="P314" s="201"/>
      <c r="Q314" s="148"/>
      <c r="R314" s="148"/>
      <c r="S314" s="148"/>
      <c r="T314" s="148"/>
      <c r="U314" s="148"/>
      <c r="V314" s="148"/>
      <c r="W314" s="148"/>
      <c r="X314" s="148"/>
      <c r="Y314" s="148"/>
    </row>
    <row r="315" ht="30.0" customHeight="1">
      <c r="A315" s="201"/>
      <c r="B315" s="186"/>
      <c r="C315" s="186"/>
      <c r="D315" s="186"/>
      <c r="E315" s="186"/>
      <c r="F315" s="186"/>
      <c r="G315" s="186"/>
      <c r="H315" s="201"/>
      <c r="I315" s="202"/>
      <c r="J315" s="202"/>
      <c r="K315" s="201"/>
      <c r="L315" s="201"/>
      <c r="M315" s="201"/>
      <c r="N315" s="189"/>
      <c r="O315" s="186"/>
      <c r="P315" s="201"/>
      <c r="Q315" s="148"/>
      <c r="R315" s="148"/>
      <c r="S315" s="148"/>
      <c r="T315" s="148"/>
      <c r="U315" s="148"/>
      <c r="V315" s="148"/>
      <c r="W315" s="148"/>
      <c r="X315" s="148"/>
      <c r="Y315" s="148"/>
    </row>
    <row r="316" ht="31.5" customHeight="1">
      <c r="A316" s="201"/>
      <c r="B316" s="186"/>
      <c r="C316" s="186"/>
      <c r="D316" s="186"/>
      <c r="E316" s="186"/>
      <c r="F316" s="186"/>
      <c r="G316" s="186"/>
      <c r="H316" s="201"/>
      <c r="I316" s="202"/>
      <c r="J316" s="202"/>
      <c r="K316" s="201"/>
      <c r="L316" s="201"/>
      <c r="M316" s="186"/>
      <c r="N316" s="189"/>
      <c r="O316" s="186"/>
      <c r="P316" s="201"/>
      <c r="Q316" s="148"/>
      <c r="R316" s="148"/>
      <c r="S316" s="148"/>
      <c r="T316" s="148"/>
      <c r="U316" s="148"/>
      <c r="V316" s="148"/>
      <c r="W316" s="148"/>
      <c r="X316" s="148"/>
      <c r="Y316" s="148"/>
    </row>
    <row r="317" ht="30.0" customHeight="1">
      <c r="A317" s="201"/>
      <c r="B317" s="186"/>
      <c r="C317" s="186"/>
      <c r="D317" s="186"/>
      <c r="E317" s="186"/>
      <c r="F317" s="186"/>
      <c r="G317" s="186"/>
      <c r="H317" s="201"/>
      <c r="I317" s="202"/>
      <c r="J317" s="202"/>
      <c r="K317" s="201"/>
      <c r="L317" s="201"/>
      <c r="M317" s="201"/>
      <c r="N317" s="189"/>
      <c r="O317" s="186"/>
      <c r="P317" s="201"/>
      <c r="Q317" s="148"/>
      <c r="R317" s="148"/>
      <c r="S317" s="148"/>
      <c r="T317" s="148"/>
      <c r="U317" s="148"/>
      <c r="V317" s="148"/>
      <c r="W317" s="148"/>
      <c r="X317" s="148"/>
      <c r="Y317" s="148"/>
    </row>
    <row r="318" ht="30.0" customHeight="1">
      <c r="A318" s="201"/>
      <c r="B318" s="207"/>
      <c r="C318" s="207"/>
      <c r="D318" s="207"/>
      <c r="E318" s="207"/>
      <c r="F318" s="207"/>
      <c r="G318" s="207"/>
      <c r="H318" s="207"/>
      <c r="I318" s="209"/>
      <c r="J318" s="209"/>
      <c r="K318" s="208"/>
      <c r="L318" s="208"/>
      <c r="M318" s="208"/>
      <c r="N318" s="212"/>
      <c r="O318" s="207"/>
      <c r="P318" s="208"/>
      <c r="Q318" s="216"/>
      <c r="R318" s="216"/>
      <c r="S318" s="216"/>
      <c r="T318" s="216"/>
      <c r="U318" s="216"/>
      <c r="V318" s="216"/>
      <c r="W318" s="216"/>
      <c r="X318" s="216"/>
      <c r="Y318" s="216"/>
    </row>
    <row r="319" ht="30.0" customHeight="1">
      <c r="A319" s="201"/>
      <c r="B319" s="186"/>
      <c r="C319" s="186"/>
      <c r="D319" s="168"/>
      <c r="E319" s="186"/>
      <c r="F319" s="186"/>
      <c r="G319" s="186"/>
      <c r="H319" s="186"/>
      <c r="I319" s="202"/>
      <c r="J319" s="202"/>
      <c r="K319" s="201"/>
      <c r="L319" s="201"/>
      <c r="M319" s="201"/>
      <c r="N319" s="189"/>
      <c r="O319" s="186"/>
      <c r="P319" s="201"/>
      <c r="Q319" s="148"/>
      <c r="R319" s="148"/>
      <c r="S319" s="148"/>
      <c r="T319" s="148"/>
      <c r="U319" s="148"/>
      <c r="V319" s="148"/>
      <c r="W319" s="148"/>
      <c r="X319" s="148"/>
      <c r="Y319" s="148"/>
    </row>
    <row r="320" ht="30.0" customHeight="1">
      <c r="A320" s="201"/>
      <c r="B320" s="186"/>
      <c r="C320" s="186"/>
      <c r="D320" s="168"/>
      <c r="E320" s="186"/>
      <c r="F320" s="186"/>
      <c r="G320" s="186"/>
      <c r="H320" s="186"/>
      <c r="I320" s="202"/>
      <c r="J320" s="202"/>
      <c r="K320" s="201"/>
      <c r="L320" s="201"/>
      <c r="M320" s="201"/>
      <c r="N320" s="189"/>
      <c r="O320" s="186"/>
      <c r="P320" s="201"/>
      <c r="Q320" s="148"/>
      <c r="R320" s="148"/>
      <c r="S320" s="148"/>
      <c r="T320" s="148"/>
      <c r="U320" s="148"/>
      <c r="V320" s="148"/>
      <c r="W320" s="148"/>
      <c r="X320" s="148"/>
      <c r="Y320" s="148"/>
    </row>
    <row r="321" ht="30.0" customHeight="1">
      <c r="A321" s="201"/>
      <c r="B321" s="186"/>
      <c r="C321" s="186"/>
      <c r="D321" s="186"/>
      <c r="E321" s="186"/>
      <c r="F321" s="186"/>
      <c r="G321" s="186"/>
      <c r="H321" s="186"/>
      <c r="I321" s="202"/>
      <c r="J321" s="202"/>
      <c r="K321" s="201"/>
      <c r="L321" s="201"/>
      <c r="M321" s="201"/>
      <c r="N321" s="189"/>
      <c r="O321" s="186"/>
      <c r="P321" s="201"/>
      <c r="Q321" s="148"/>
      <c r="R321" s="148"/>
      <c r="S321" s="148"/>
      <c r="T321" s="148"/>
      <c r="U321" s="148"/>
      <c r="V321" s="148"/>
      <c r="W321" s="148"/>
      <c r="X321" s="148"/>
      <c r="Y321" s="148"/>
    </row>
    <row r="322" ht="31.5" customHeight="1">
      <c r="A322" s="201"/>
      <c r="B322" s="186"/>
      <c r="C322" s="186"/>
      <c r="D322" s="186"/>
      <c r="E322" s="186"/>
      <c r="F322" s="186"/>
      <c r="G322" s="186"/>
      <c r="H322" s="186"/>
      <c r="I322" s="202"/>
      <c r="J322" s="202"/>
      <c r="K322" s="201"/>
      <c r="L322" s="201"/>
      <c r="M322" s="201"/>
      <c r="N322" s="189"/>
      <c r="O322" s="186"/>
      <c r="P322" s="201"/>
      <c r="Q322" s="148"/>
      <c r="R322" s="148"/>
      <c r="S322" s="148"/>
      <c r="T322" s="148"/>
      <c r="U322" s="148"/>
      <c r="V322" s="148"/>
      <c r="W322" s="148"/>
      <c r="X322" s="148"/>
      <c r="Y322" s="148"/>
    </row>
    <row r="323" ht="31.5" customHeight="1">
      <c r="A323" s="201"/>
      <c r="B323" s="186"/>
      <c r="C323" s="186"/>
      <c r="D323" s="186"/>
      <c r="E323" s="186"/>
      <c r="F323" s="186"/>
      <c r="G323" s="186"/>
      <c r="H323" s="201"/>
      <c r="I323" s="202"/>
      <c r="J323" s="202"/>
      <c r="K323" s="201"/>
      <c r="L323" s="201"/>
      <c r="M323" s="201"/>
      <c r="N323" s="186"/>
      <c r="O323" s="186"/>
      <c r="P323" s="201"/>
      <c r="Q323" s="148"/>
      <c r="R323" s="148"/>
      <c r="S323" s="148"/>
      <c r="T323" s="148"/>
      <c r="U323" s="148"/>
      <c r="V323" s="148"/>
      <c r="W323" s="148"/>
      <c r="X323" s="148"/>
      <c r="Y323" s="148"/>
    </row>
    <row r="324" ht="30.0" customHeight="1">
      <c r="A324" s="201"/>
      <c r="B324" s="186"/>
      <c r="C324" s="186"/>
      <c r="D324" s="186"/>
      <c r="E324" s="186"/>
      <c r="F324" s="186"/>
      <c r="G324" s="186"/>
      <c r="H324" s="201"/>
      <c r="I324" s="202"/>
      <c r="J324" s="202"/>
      <c r="K324" s="201"/>
      <c r="L324" s="201"/>
      <c r="M324" s="201"/>
      <c r="N324" s="189"/>
      <c r="O324" s="186"/>
      <c r="P324" s="201"/>
      <c r="Q324" s="148"/>
      <c r="R324" s="148"/>
      <c r="S324" s="148"/>
      <c r="T324" s="148"/>
      <c r="U324" s="148"/>
      <c r="V324" s="148"/>
      <c r="W324" s="148"/>
      <c r="X324" s="148"/>
      <c r="Y324" s="148"/>
    </row>
    <row r="325" ht="31.5" customHeight="1">
      <c r="A325" s="201"/>
      <c r="B325" s="186"/>
      <c r="C325" s="186"/>
      <c r="D325" s="186"/>
      <c r="E325" s="186"/>
      <c r="F325" s="186"/>
      <c r="G325" s="186"/>
      <c r="H325" s="201"/>
      <c r="I325" s="202"/>
      <c r="J325" s="202"/>
      <c r="K325" s="201"/>
      <c r="L325" s="201"/>
      <c r="M325" s="201"/>
      <c r="N325" s="186"/>
      <c r="O325" s="186"/>
      <c r="P325" s="201"/>
      <c r="Q325" s="148"/>
      <c r="R325" s="148"/>
      <c r="S325" s="148"/>
      <c r="T325" s="148"/>
      <c r="U325" s="148"/>
      <c r="V325" s="148"/>
      <c r="W325" s="148"/>
      <c r="X325" s="148"/>
      <c r="Y325" s="148"/>
    </row>
    <row r="326" ht="30.0" customHeight="1">
      <c r="A326" s="201"/>
      <c r="B326" s="186"/>
      <c r="C326" s="186"/>
      <c r="D326" s="186"/>
      <c r="E326" s="186"/>
      <c r="F326" s="186"/>
      <c r="G326" s="186"/>
      <c r="H326" s="201"/>
      <c r="I326" s="202"/>
      <c r="J326" s="202"/>
      <c r="K326" s="201"/>
      <c r="L326" s="201"/>
      <c r="M326" s="201"/>
      <c r="N326" s="189"/>
      <c r="O326" s="186"/>
      <c r="P326" s="201"/>
      <c r="Q326" s="148"/>
      <c r="R326" s="148"/>
      <c r="S326" s="148"/>
      <c r="T326" s="148"/>
      <c r="U326" s="148"/>
      <c r="V326" s="148"/>
      <c r="W326" s="148"/>
      <c r="X326" s="148"/>
      <c r="Y326" s="148"/>
    </row>
    <row r="327" ht="31.5" customHeight="1">
      <c r="A327" s="201"/>
      <c r="B327" s="186"/>
      <c r="C327" s="186"/>
      <c r="D327" s="186"/>
      <c r="E327" s="186"/>
      <c r="F327" s="186"/>
      <c r="G327" s="186"/>
      <c r="H327" s="201"/>
      <c r="I327" s="202"/>
      <c r="J327" s="202"/>
      <c r="K327" s="201"/>
      <c r="L327" s="201"/>
      <c r="M327" s="201"/>
      <c r="N327" s="189"/>
      <c r="O327" s="186"/>
      <c r="P327" s="201"/>
      <c r="Q327" s="148"/>
      <c r="R327" s="148"/>
      <c r="S327" s="148"/>
      <c r="T327" s="148"/>
      <c r="U327" s="148"/>
      <c r="V327" s="148"/>
      <c r="W327" s="148"/>
      <c r="X327" s="148"/>
      <c r="Y327" s="148"/>
    </row>
    <row r="328" ht="30.0" customHeight="1">
      <c r="A328" s="201"/>
      <c r="B328" s="186"/>
      <c r="C328" s="186"/>
      <c r="D328" s="186"/>
      <c r="E328" s="186"/>
      <c r="F328" s="186"/>
      <c r="G328" s="186"/>
      <c r="H328" s="201"/>
      <c r="I328" s="202"/>
      <c r="J328" s="202"/>
      <c r="K328" s="201"/>
      <c r="L328" s="201"/>
      <c r="M328" s="201"/>
      <c r="N328" s="189"/>
      <c r="O328" s="186"/>
      <c r="P328" s="201"/>
      <c r="Q328" s="148"/>
      <c r="R328" s="148"/>
      <c r="S328" s="148"/>
      <c r="T328" s="148"/>
      <c r="U328" s="148"/>
      <c r="V328" s="148"/>
      <c r="W328" s="148"/>
      <c r="X328" s="148"/>
      <c r="Y328" s="148"/>
    </row>
    <row r="329" ht="30.0" customHeight="1">
      <c r="A329" s="201"/>
      <c r="B329" s="186"/>
      <c r="C329" s="186"/>
      <c r="D329" s="186"/>
      <c r="E329" s="186"/>
      <c r="F329" s="186"/>
      <c r="G329" s="186"/>
      <c r="H329" s="201"/>
      <c r="I329" s="202"/>
      <c r="J329" s="202"/>
      <c r="K329" s="201"/>
      <c r="L329" s="201"/>
      <c r="M329" s="201"/>
      <c r="N329" s="189"/>
      <c r="O329" s="186"/>
      <c r="P329" s="201"/>
      <c r="Q329" s="148"/>
      <c r="R329" s="148"/>
      <c r="S329" s="148"/>
      <c r="T329" s="148"/>
      <c r="U329" s="148"/>
      <c r="V329" s="148"/>
      <c r="W329" s="148"/>
      <c r="X329" s="148"/>
      <c r="Y329" s="148"/>
    </row>
    <row r="330" ht="30.0" customHeight="1">
      <c r="A330" s="201"/>
      <c r="B330" s="186"/>
      <c r="C330" s="186"/>
      <c r="D330" s="186"/>
      <c r="E330" s="186"/>
      <c r="F330" s="186"/>
      <c r="G330" s="186"/>
      <c r="H330" s="201"/>
      <c r="I330" s="202"/>
      <c r="J330" s="202"/>
      <c r="K330" s="201"/>
      <c r="L330" s="201"/>
      <c r="M330" s="201"/>
      <c r="N330" s="189"/>
      <c r="O330" s="186"/>
      <c r="P330" s="201"/>
      <c r="Q330" s="148"/>
      <c r="R330" s="148"/>
      <c r="S330" s="148"/>
      <c r="T330" s="148"/>
      <c r="U330" s="148"/>
      <c r="V330" s="148"/>
      <c r="W330" s="148"/>
      <c r="X330" s="148"/>
      <c r="Y330" s="148"/>
    </row>
    <row r="331" ht="31.5" customHeight="1">
      <c r="A331" s="201"/>
      <c r="B331" s="186"/>
      <c r="C331" s="186"/>
      <c r="D331" s="186"/>
      <c r="E331" s="186"/>
      <c r="F331" s="186"/>
      <c r="G331" s="186"/>
      <c r="H331" s="201"/>
      <c r="I331" s="202"/>
      <c r="J331" s="202"/>
      <c r="K331" s="201"/>
      <c r="L331" s="201"/>
      <c r="M331" s="201"/>
      <c r="N331" s="189"/>
      <c r="O331" s="186"/>
      <c r="P331" s="201"/>
      <c r="Q331" s="148"/>
      <c r="R331" s="148"/>
      <c r="S331" s="148"/>
      <c r="T331" s="148"/>
      <c r="U331" s="148"/>
      <c r="V331" s="148"/>
      <c r="W331" s="148"/>
      <c r="X331" s="148"/>
      <c r="Y331" s="148"/>
    </row>
    <row r="332" ht="31.5" customHeight="1">
      <c r="A332" s="201"/>
      <c r="B332" s="186"/>
      <c r="C332" s="186"/>
      <c r="D332" s="186"/>
      <c r="E332" s="186"/>
      <c r="F332" s="186"/>
      <c r="G332" s="186"/>
      <c r="H332" s="201"/>
      <c r="I332" s="202"/>
      <c r="J332" s="202"/>
      <c r="K332" s="201"/>
      <c r="L332" s="201"/>
      <c r="M332" s="201"/>
      <c r="N332" s="189"/>
      <c r="O332" s="186"/>
      <c r="P332" s="201"/>
      <c r="Q332" s="148"/>
      <c r="R332" s="148"/>
      <c r="S332" s="148"/>
      <c r="T332" s="148"/>
      <c r="U332" s="148"/>
      <c r="V332" s="148"/>
      <c r="W332" s="148"/>
      <c r="X332" s="148"/>
      <c r="Y332" s="148"/>
    </row>
    <row r="333" ht="31.5" customHeight="1">
      <c r="A333" s="201"/>
      <c r="B333" s="186"/>
      <c r="C333" s="186"/>
      <c r="D333" s="186"/>
      <c r="E333" s="186"/>
      <c r="F333" s="186"/>
      <c r="G333" s="186"/>
      <c r="H333" s="201"/>
      <c r="I333" s="202"/>
      <c r="J333" s="202"/>
      <c r="K333" s="201"/>
      <c r="L333" s="201"/>
      <c r="M333" s="186"/>
      <c r="N333" s="189"/>
      <c r="O333" s="186"/>
      <c r="P333" s="201"/>
      <c r="Q333" s="148"/>
      <c r="R333" s="148"/>
      <c r="S333" s="148"/>
      <c r="T333" s="148"/>
      <c r="U333" s="148"/>
      <c r="V333" s="148"/>
      <c r="W333" s="148"/>
      <c r="X333" s="148"/>
      <c r="Y333" s="148"/>
    </row>
    <row r="334" ht="31.5" customHeight="1">
      <c r="A334" s="201"/>
      <c r="B334" s="186"/>
      <c r="C334" s="186"/>
      <c r="D334" s="186"/>
      <c r="E334" s="186"/>
      <c r="F334" s="186"/>
      <c r="G334" s="186"/>
      <c r="H334" s="201"/>
      <c r="I334" s="202"/>
      <c r="J334" s="202"/>
      <c r="K334" s="201"/>
      <c r="L334" s="201"/>
      <c r="M334" s="186"/>
      <c r="N334" s="189"/>
      <c r="O334" s="186"/>
      <c r="P334" s="201"/>
      <c r="Q334" s="148"/>
      <c r="R334" s="148"/>
      <c r="S334" s="148"/>
      <c r="T334" s="148"/>
      <c r="U334" s="148"/>
      <c r="V334" s="148"/>
      <c r="W334" s="148"/>
      <c r="X334" s="148"/>
      <c r="Y334" s="148"/>
    </row>
    <row r="335" ht="31.5" customHeight="1">
      <c r="A335" s="201"/>
      <c r="B335" s="186"/>
      <c r="C335" s="186"/>
      <c r="D335" s="186"/>
      <c r="E335" s="186"/>
      <c r="F335" s="186"/>
      <c r="G335" s="186"/>
      <c r="H335" s="201"/>
      <c r="I335" s="202"/>
      <c r="J335" s="202"/>
      <c r="K335" s="201"/>
      <c r="L335" s="201"/>
      <c r="M335" s="201"/>
      <c r="N335" s="189"/>
      <c r="O335" s="186"/>
      <c r="P335" s="201"/>
      <c r="Q335" s="148"/>
      <c r="R335" s="148"/>
      <c r="S335" s="148"/>
      <c r="T335" s="148"/>
      <c r="U335" s="148"/>
      <c r="V335" s="148"/>
      <c r="W335" s="148"/>
      <c r="X335" s="148"/>
      <c r="Y335" s="148"/>
    </row>
    <row r="336" ht="30.0" customHeight="1">
      <c r="A336" s="201"/>
      <c r="B336" s="186"/>
      <c r="C336" s="186"/>
      <c r="D336" s="186"/>
      <c r="E336" s="186"/>
      <c r="F336" s="186"/>
      <c r="G336" s="186"/>
      <c r="H336" s="201"/>
      <c r="I336" s="202"/>
      <c r="J336" s="202"/>
      <c r="K336" s="201"/>
      <c r="L336" s="201"/>
      <c r="M336" s="201"/>
      <c r="N336" s="189"/>
      <c r="O336" s="186"/>
      <c r="P336" s="201"/>
      <c r="Q336" s="148"/>
      <c r="R336" s="148"/>
      <c r="S336" s="148"/>
      <c r="T336" s="148"/>
      <c r="U336" s="148"/>
      <c r="V336" s="148"/>
      <c r="W336" s="148"/>
      <c r="X336" s="148"/>
      <c r="Y336" s="148"/>
    </row>
    <row r="337" ht="30.0" customHeight="1">
      <c r="A337" s="201"/>
      <c r="B337" s="186"/>
      <c r="C337" s="186"/>
      <c r="D337" s="186"/>
      <c r="E337" s="186"/>
      <c r="F337" s="186"/>
      <c r="G337" s="186"/>
      <c r="H337" s="201"/>
      <c r="I337" s="202"/>
      <c r="J337" s="202"/>
      <c r="K337" s="201"/>
      <c r="L337" s="201"/>
      <c r="M337" s="201"/>
      <c r="N337" s="189"/>
      <c r="O337" s="186"/>
      <c r="P337" s="201"/>
      <c r="Q337" s="148"/>
      <c r="R337" s="148"/>
      <c r="S337" s="148"/>
      <c r="T337" s="148"/>
      <c r="U337" s="148"/>
      <c r="V337" s="148"/>
      <c r="W337" s="148"/>
      <c r="X337" s="148"/>
      <c r="Y337" s="148"/>
    </row>
    <row r="338" ht="30.0" customHeight="1">
      <c r="A338" s="201"/>
      <c r="B338" s="186"/>
      <c r="C338" s="186"/>
      <c r="D338" s="186"/>
      <c r="E338" s="186"/>
      <c r="F338" s="186"/>
      <c r="G338" s="186"/>
      <c r="H338" s="201"/>
      <c r="I338" s="202"/>
      <c r="J338" s="202"/>
      <c r="K338" s="201"/>
      <c r="L338" s="201"/>
      <c r="M338" s="201"/>
      <c r="N338" s="189"/>
      <c r="O338" s="186"/>
      <c r="P338" s="201"/>
      <c r="Q338" s="148"/>
      <c r="R338" s="148"/>
      <c r="S338" s="148"/>
      <c r="T338" s="148"/>
      <c r="U338" s="148"/>
      <c r="V338" s="148"/>
      <c r="W338" s="148"/>
      <c r="X338" s="148"/>
      <c r="Y338" s="148"/>
    </row>
    <row r="339" ht="30.0" customHeight="1">
      <c r="A339" s="201"/>
      <c r="B339" s="186"/>
      <c r="C339" s="186"/>
      <c r="D339" s="186"/>
      <c r="E339" s="186"/>
      <c r="F339" s="186"/>
      <c r="G339" s="186"/>
      <c r="H339" s="186"/>
      <c r="I339" s="202"/>
      <c r="J339" s="202"/>
      <c r="K339" s="201"/>
      <c r="L339" s="201"/>
      <c r="M339" s="201"/>
      <c r="N339" s="189"/>
      <c r="O339" s="186"/>
      <c r="P339" s="201"/>
      <c r="Q339" s="148"/>
      <c r="R339" s="148"/>
      <c r="S339" s="148"/>
      <c r="T339" s="148"/>
      <c r="U339" s="148"/>
      <c r="V339" s="148"/>
      <c r="W339" s="148"/>
      <c r="X339" s="148"/>
      <c r="Y339" s="148"/>
    </row>
    <row r="340" ht="30.0" customHeight="1">
      <c r="A340" s="201"/>
      <c r="B340" s="186"/>
      <c r="C340" s="186"/>
      <c r="D340" s="186"/>
      <c r="E340" s="186"/>
      <c r="F340" s="186"/>
      <c r="G340" s="186"/>
      <c r="H340" s="186"/>
      <c r="I340" s="202"/>
      <c r="J340" s="202"/>
      <c r="K340" s="201"/>
      <c r="L340" s="201"/>
      <c r="M340" s="186"/>
      <c r="N340" s="189"/>
      <c r="O340" s="186"/>
      <c r="P340" s="201"/>
      <c r="Q340" s="148"/>
      <c r="R340" s="148"/>
      <c r="S340" s="148"/>
      <c r="T340" s="148"/>
      <c r="U340" s="148"/>
      <c r="V340" s="148"/>
      <c r="W340" s="148"/>
      <c r="X340" s="148"/>
      <c r="Y340" s="148"/>
    </row>
    <row r="341" ht="30.0" customHeight="1">
      <c r="A341" s="201"/>
      <c r="B341" s="186"/>
      <c r="C341" s="186"/>
      <c r="D341" s="168"/>
      <c r="E341" s="186"/>
      <c r="F341" s="186"/>
      <c r="G341" s="186"/>
      <c r="H341" s="186"/>
      <c r="I341" s="202"/>
      <c r="J341" s="202"/>
      <c r="K341" s="201"/>
      <c r="L341" s="201"/>
      <c r="M341" s="186"/>
      <c r="N341" s="189"/>
      <c r="O341" s="186"/>
      <c r="P341" s="201"/>
      <c r="Q341" s="148"/>
      <c r="R341" s="148"/>
      <c r="S341" s="148"/>
      <c r="T341" s="148"/>
      <c r="U341" s="148"/>
      <c r="V341" s="148"/>
      <c r="W341" s="148"/>
      <c r="X341" s="148"/>
      <c r="Y341" s="148"/>
    </row>
    <row r="342" ht="30.0" customHeight="1">
      <c r="A342" s="201"/>
      <c r="B342" s="186"/>
      <c r="C342" s="186"/>
      <c r="D342" s="186"/>
      <c r="E342" s="186"/>
      <c r="F342" s="186"/>
      <c r="G342" s="186"/>
      <c r="H342" s="186"/>
      <c r="I342" s="202"/>
      <c r="J342" s="202"/>
      <c r="K342" s="201"/>
      <c r="L342" s="201"/>
      <c r="M342" s="201"/>
      <c r="N342" s="189"/>
      <c r="O342" s="186"/>
      <c r="P342" s="201"/>
      <c r="Q342" s="148"/>
      <c r="R342" s="148"/>
      <c r="S342" s="148"/>
      <c r="T342" s="148"/>
      <c r="U342" s="148"/>
      <c r="V342" s="148"/>
      <c r="W342" s="148"/>
      <c r="X342" s="148"/>
      <c r="Y342" s="148"/>
    </row>
    <row r="343" ht="30.0" customHeight="1">
      <c r="A343" s="201"/>
      <c r="B343" s="186"/>
      <c r="C343" s="186"/>
      <c r="D343" s="168"/>
      <c r="E343" s="186"/>
      <c r="F343" s="186"/>
      <c r="G343" s="186"/>
      <c r="H343" s="186"/>
      <c r="I343" s="202"/>
      <c r="J343" s="202"/>
      <c r="K343" s="201"/>
      <c r="L343" s="201"/>
      <c r="M343" s="201"/>
      <c r="N343" s="189"/>
      <c r="O343" s="186"/>
      <c r="P343" s="201"/>
      <c r="Q343" s="148"/>
      <c r="R343" s="148"/>
      <c r="S343" s="148"/>
      <c r="T343" s="148"/>
      <c r="U343" s="148"/>
      <c r="V343" s="148"/>
      <c r="W343" s="148"/>
      <c r="X343" s="148"/>
      <c r="Y343" s="148"/>
    </row>
    <row r="344" ht="30.0" customHeight="1">
      <c r="A344" s="201"/>
      <c r="B344" s="186"/>
      <c r="C344" s="186"/>
      <c r="D344" s="168"/>
      <c r="E344" s="186"/>
      <c r="F344" s="186"/>
      <c r="G344" s="186"/>
      <c r="H344" s="186"/>
      <c r="I344" s="202"/>
      <c r="J344" s="202"/>
      <c r="K344" s="201"/>
      <c r="L344" s="201"/>
      <c r="M344" s="201"/>
      <c r="N344" s="189"/>
      <c r="O344" s="186"/>
      <c r="P344" s="201"/>
      <c r="Q344" s="148"/>
      <c r="R344" s="148"/>
      <c r="S344" s="148"/>
      <c r="T344" s="148"/>
      <c r="U344" s="148"/>
      <c r="V344" s="148"/>
      <c r="W344" s="148"/>
      <c r="X344" s="148"/>
      <c r="Y344" s="148"/>
    </row>
    <row r="345" ht="30.0" customHeight="1">
      <c r="A345" s="201"/>
      <c r="B345" s="186"/>
      <c r="C345" s="186"/>
      <c r="D345" s="168"/>
      <c r="E345" s="186"/>
      <c r="F345" s="186"/>
      <c r="G345" s="186"/>
      <c r="H345" s="186"/>
      <c r="I345" s="202"/>
      <c r="J345" s="202"/>
      <c r="K345" s="201"/>
      <c r="L345" s="201"/>
      <c r="M345" s="201"/>
      <c r="N345" s="189"/>
      <c r="O345" s="186"/>
      <c r="P345" s="201"/>
      <c r="Q345" s="148"/>
      <c r="R345" s="148"/>
      <c r="S345" s="148"/>
      <c r="T345" s="148"/>
      <c r="U345" s="148"/>
      <c r="V345" s="148"/>
      <c r="W345" s="148"/>
      <c r="X345" s="148"/>
      <c r="Y345" s="148"/>
    </row>
    <row r="346" ht="30.0" customHeight="1">
      <c r="A346" s="201"/>
      <c r="B346" s="186"/>
      <c r="C346" s="186"/>
      <c r="D346" s="186"/>
      <c r="E346" s="189"/>
      <c r="F346" s="186"/>
      <c r="G346" s="186"/>
      <c r="H346" s="189"/>
      <c r="I346" s="225"/>
      <c r="J346" s="191"/>
      <c r="K346" s="186"/>
      <c r="L346" s="189"/>
      <c r="M346" s="186"/>
      <c r="N346" s="189"/>
      <c r="O346" s="186"/>
      <c r="P346" s="186"/>
      <c r="Q346" s="168"/>
      <c r="R346" s="168"/>
      <c r="S346" s="168"/>
      <c r="T346" s="168"/>
      <c r="U346" s="168"/>
      <c r="V346" s="168"/>
      <c r="W346" s="168"/>
      <c r="X346" s="168"/>
      <c r="Y346" s="168"/>
    </row>
    <row r="347" ht="30.0" customHeight="1">
      <c r="A347" s="201"/>
      <c r="B347" s="226"/>
      <c r="C347" s="227"/>
      <c r="D347" s="186"/>
      <c r="E347" s="186"/>
      <c r="F347" s="186"/>
      <c r="G347" s="186"/>
      <c r="H347" s="186"/>
      <c r="I347" s="188"/>
      <c r="J347" s="188"/>
      <c r="K347" s="186"/>
      <c r="L347" s="186"/>
      <c r="M347" s="186"/>
      <c r="N347" s="189"/>
      <c r="O347" s="186"/>
      <c r="P347" s="186"/>
      <c r="Q347" s="168"/>
      <c r="R347" s="168"/>
      <c r="S347" s="168"/>
      <c r="T347" s="168"/>
      <c r="U347" s="168"/>
      <c r="V347" s="168"/>
      <c r="W347" s="168"/>
      <c r="X347" s="168"/>
      <c r="Y347" s="168"/>
    </row>
    <row r="348" ht="30.0" customHeight="1">
      <c r="A348" s="201"/>
      <c r="B348" s="187"/>
      <c r="C348" s="186"/>
      <c r="D348" s="186"/>
      <c r="E348" s="186"/>
      <c r="F348" s="186"/>
      <c r="G348" s="186"/>
      <c r="H348" s="186"/>
      <c r="I348" s="188"/>
      <c r="J348" s="188"/>
      <c r="K348" s="186"/>
      <c r="L348" s="186"/>
      <c r="M348" s="186"/>
      <c r="N348" s="190"/>
      <c r="O348" s="186"/>
      <c r="P348" s="186"/>
      <c r="Q348" s="168"/>
      <c r="R348" s="168"/>
      <c r="S348" s="168"/>
      <c r="T348" s="168"/>
      <c r="U348" s="168"/>
      <c r="V348" s="168"/>
      <c r="W348" s="168"/>
      <c r="X348" s="168"/>
      <c r="Y348" s="168"/>
    </row>
    <row r="349" ht="31.5" customHeight="1">
      <c r="A349" s="201"/>
      <c r="B349" s="186"/>
      <c r="C349" s="186"/>
      <c r="D349" s="186"/>
      <c r="E349" s="186"/>
      <c r="F349" s="186"/>
      <c r="G349" s="186"/>
      <c r="H349" s="201"/>
      <c r="I349" s="202"/>
      <c r="J349" s="202"/>
      <c r="K349" s="201"/>
      <c r="L349" s="201"/>
      <c r="M349" s="201"/>
      <c r="N349" s="189"/>
      <c r="O349" s="186"/>
      <c r="P349" s="201"/>
      <c r="Q349" s="148"/>
      <c r="R349" s="148"/>
      <c r="S349" s="148"/>
      <c r="T349" s="148"/>
      <c r="U349" s="148"/>
      <c r="V349" s="148"/>
      <c r="W349" s="148"/>
      <c r="X349" s="148"/>
      <c r="Y349" s="148"/>
    </row>
    <row r="350" ht="30.0" customHeight="1">
      <c r="A350" s="186"/>
      <c r="B350" s="187"/>
      <c r="C350" s="186"/>
      <c r="D350" s="186"/>
      <c r="E350" s="186"/>
      <c r="F350" s="186"/>
      <c r="G350" s="186"/>
      <c r="H350" s="186"/>
      <c r="I350" s="188"/>
      <c r="J350" s="188"/>
      <c r="K350" s="186"/>
      <c r="L350" s="186"/>
      <c r="M350" s="186"/>
      <c r="N350" s="190"/>
      <c r="O350" s="186"/>
      <c r="P350" s="186"/>
      <c r="Q350" s="168"/>
      <c r="R350" s="168"/>
      <c r="S350" s="168"/>
      <c r="T350" s="168"/>
      <c r="U350" s="168"/>
      <c r="V350" s="168"/>
      <c r="W350" s="168"/>
      <c r="X350" s="168"/>
      <c r="Y350" s="168"/>
    </row>
    <row r="351" ht="30.0" customHeight="1">
      <c r="A351" s="228"/>
      <c r="B351" s="186"/>
      <c r="C351" s="186"/>
      <c r="D351" s="186"/>
      <c r="E351" s="189"/>
      <c r="F351" s="186"/>
      <c r="G351" s="186"/>
      <c r="H351" s="189"/>
      <c r="I351" s="225"/>
      <c r="J351" s="191"/>
      <c r="K351" s="186"/>
      <c r="L351" s="189"/>
      <c r="M351" s="186"/>
      <c r="N351" s="189"/>
      <c r="O351" s="186"/>
      <c r="P351" s="186"/>
      <c r="Q351" s="168"/>
      <c r="R351" s="168"/>
      <c r="S351" s="168"/>
      <c r="T351" s="168"/>
      <c r="U351" s="168"/>
      <c r="V351" s="168"/>
      <c r="W351" s="168"/>
      <c r="X351" s="168"/>
      <c r="Y351" s="168"/>
    </row>
    <row r="352" ht="30.0" customHeight="1">
      <c r="A352" s="186"/>
      <c r="B352" s="187"/>
      <c r="C352" s="186"/>
      <c r="D352" s="186"/>
      <c r="E352" s="186"/>
      <c r="F352" s="186"/>
      <c r="G352" s="186"/>
      <c r="H352" s="186"/>
      <c r="I352" s="188"/>
      <c r="J352" s="188"/>
      <c r="K352" s="186"/>
      <c r="L352" s="186"/>
      <c r="M352" s="186"/>
      <c r="N352" s="190"/>
      <c r="O352" s="186"/>
      <c r="P352" s="201"/>
      <c r="Q352" s="148"/>
      <c r="R352" s="148"/>
      <c r="S352" s="148"/>
      <c r="T352" s="148"/>
      <c r="U352" s="148"/>
      <c r="V352" s="148"/>
      <c r="W352" s="148"/>
      <c r="X352" s="148"/>
      <c r="Y352" s="148"/>
    </row>
    <row r="353" ht="30.0" customHeight="1">
      <c r="A353" s="228"/>
      <c r="B353" s="186"/>
      <c r="C353" s="186"/>
      <c r="D353" s="186"/>
      <c r="E353" s="189"/>
      <c r="F353" s="186"/>
      <c r="G353" s="186"/>
      <c r="H353" s="189"/>
      <c r="I353" s="225"/>
      <c r="J353" s="191"/>
      <c r="K353" s="186"/>
      <c r="L353" s="189"/>
      <c r="M353" s="186"/>
      <c r="N353" s="189"/>
      <c r="O353" s="186"/>
      <c r="P353" s="186"/>
      <c r="Q353" s="168"/>
      <c r="R353" s="168"/>
      <c r="S353" s="168"/>
      <c r="T353" s="168"/>
      <c r="U353" s="168"/>
      <c r="V353" s="168"/>
      <c r="W353" s="168"/>
      <c r="X353" s="168"/>
      <c r="Y353" s="168"/>
    </row>
    <row r="354" ht="30.0" customHeight="1">
      <c r="A354" s="186"/>
      <c r="B354" s="187"/>
      <c r="C354" s="186"/>
      <c r="D354" s="186"/>
      <c r="E354" s="186"/>
      <c r="F354" s="186"/>
      <c r="G354" s="186"/>
      <c r="H354" s="186"/>
      <c r="I354" s="188"/>
      <c r="J354" s="188"/>
      <c r="K354" s="186"/>
      <c r="L354" s="186"/>
      <c r="M354" s="186"/>
      <c r="N354" s="190"/>
      <c r="O354" s="186"/>
      <c r="P354" s="186"/>
      <c r="Q354" s="168"/>
      <c r="R354" s="168"/>
      <c r="S354" s="168"/>
      <c r="T354" s="168"/>
      <c r="U354" s="168"/>
      <c r="V354" s="168"/>
      <c r="W354" s="168"/>
      <c r="X354" s="168"/>
      <c r="Y354" s="168"/>
    </row>
    <row r="355" ht="30.0" customHeight="1">
      <c r="A355" s="228"/>
      <c r="B355" s="187"/>
      <c r="C355" s="186"/>
      <c r="D355" s="186"/>
      <c r="E355" s="186"/>
      <c r="F355" s="186"/>
      <c r="G355" s="186"/>
      <c r="H355" s="186"/>
      <c r="I355" s="188"/>
      <c r="J355" s="188"/>
      <c r="K355" s="186"/>
      <c r="L355" s="186"/>
      <c r="M355" s="186"/>
      <c r="N355" s="190"/>
      <c r="O355" s="186"/>
      <c r="P355" s="186"/>
      <c r="Q355" s="168"/>
      <c r="R355" s="168"/>
      <c r="S355" s="168"/>
      <c r="T355" s="168"/>
      <c r="U355" s="168"/>
      <c r="V355" s="168"/>
      <c r="W355" s="168"/>
      <c r="X355" s="168"/>
      <c r="Y355" s="168"/>
    </row>
    <row r="356" ht="30.0" customHeight="1">
      <c r="A356" s="186"/>
      <c r="B356" s="187"/>
      <c r="C356" s="186"/>
      <c r="D356" s="186"/>
      <c r="E356" s="186"/>
      <c r="F356" s="186"/>
      <c r="G356" s="186"/>
      <c r="H356" s="186"/>
      <c r="I356" s="188"/>
      <c r="J356" s="188"/>
      <c r="K356" s="186"/>
      <c r="L356" s="186"/>
      <c r="M356" s="186"/>
      <c r="N356" s="190"/>
      <c r="O356" s="186"/>
      <c r="P356" s="186"/>
      <c r="Q356" s="168"/>
      <c r="R356" s="168"/>
      <c r="S356" s="168"/>
      <c r="T356" s="168"/>
      <c r="U356" s="168"/>
      <c r="V356" s="168"/>
      <c r="W356" s="168"/>
      <c r="X356" s="168"/>
      <c r="Y356" s="168"/>
    </row>
    <row r="357" ht="31.5" customHeight="1">
      <c r="A357" s="186"/>
      <c r="B357" s="186"/>
      <c r="C357" s="186"/>
      <c r="D357" s="186"/>
      <c r="E357" s="189"/>
      <c r="F357" s="186"/>
      <c r="G357" s="186"/>
      <c r="H357" s="189"/>
      <c r="I357" s="191"/>
      <c r="J357" s="191"/>
      <c r="K357" s="186"/>
      <c r="L357" s="189"/>
      <c r="M357" s="186"/>
      <c r="N357" s="189"/>
      <c r="O357" s="186"/>
      <c r="P357" s="186"/>
      <c r="Q357" s="168"/>
      <c r="R357" s="168"/>
      <c r="S357" s="168"/>
      <c r="T357" s="168"/>
      <c r="U357" s="168"/>
      <c r="V357" s="168"/>
      <c r="W357" s="168"/>
      <c r="X357" s="168"/>
      <c r="Y357" s="168"/>
    </row>
    <row r="358" ht="30.0" customHeight="1">
      <c r="A358" s="228"/>
      <c r="B358" s="187"/>
      <c r="C358" s="186"/>
      <c r="D358" s="186"/>
      <c r="E358" s="186"/>
      <c r="F358" s="186"/>
      <c r="G358" s="186"/>
      <c r="H358" s="186"/>
      <c r="I358" s="188"/>
      <c r="J358" s="188"/>
      <c r="K358" s="186"/>
      <c r="L358" s="190"/>
      <c r="M358" s="186"/>
      <c r="N358" s="189"/>
      <c r="O358" s="186"/>
      <c r="P358" s="186"/>
      <c r="Q358" s="168"/>
      <c r="R358" s="168"/>
      <c r="S358" s="168"/>
      <c r="T358" s="168"/>
      <c r="U358" s="168"/>
      <c r="V358" s="168"/>
      <c r="W358" s="168"/>
      <c r="X358" s="168"/>
      <c r="Y358" s="168"/>
    </row>
    <row r="359" ht="30.0" customHeight="1">
      <c r="A359" s="186"/>
      <c r="B359" s="190"/>
      <c r="C359" s="186"/>
      <c r="D359" s="186"/>
      <c r="E359" s="190"/>
      <c r="F359" s="186"/>
      <c r="G359" s="186"/>
      <c r="H359" s="190"/>
      <c r="I359" s="191"/>
      <c r="J359" s="191"/>
      <c r="K359" s="186"/>
      <c r="L359" s="190"/>
      <c r="M359" s="186"/>
      <c r="N359" s="190"/>
      <c r="O359" s="186"/>
      <c r="P359" s="186"/>
      <c r="Q359" s="168"/>
      <c r="R359" s="168"/>
      <c r="S359" s="168"/>
      <c r="T359" s="168"/>
      <c r="U359" s="168"/>
      <c r="V359" s="168"/>
      <c r="W359" s="168"/>
      <c r="X359" s="168"/>
      <c r="Y359" s="168"/>
    </row>
    <row r="360" ht="30.0" customHeight="1">
      <c r="A360" s="228"/>
      <c r="B360" s="186"/>
      <c r="C360" s="186"/>
      <c r="D360" s="186"/>
      <c r="E360" s="189"/>
      <c r="F360" s="186"/>
      <c r="G360" s="186"/>
      <c r="H360" s="189"/>
      <c r="I360" s="225"/>
      <c r="J360" s="191"/>
      <c r="K360" s="186"/>
      <c r="L360" s="189"/>
      <c r="M360" s="186"/>
      <c r="N360" s="189"/>
      <c r="O360" s="186"/>
      <c r="P360" s="186"/>
      <c r="Q360" s="168"/>
      <c r="R360" s="168"/>
      <c r="S360" s="168"/>
      <c r="T360" s="168"/>
      <c r="U360" s="168"/>
      <c r="V360" s="168"/>
      <c r="W360" s="168"/>
      <c r="X360" s="168"/>
      <c r="Y360" s="168"/>
    </row>
    <row r="361" ht="30.0" customHeight="1">
      <c r="A361" s="186"/>
      <c r="B361" s="187"/>
      <c r="C361" s="186"/>
      <c r="D361" s="186"/>
      <c r="E361" s="186"/>
      <c r="F361" s="186"/>
      <c r="G361" s="186"/>
      <c r="H361" s="186"/>
      <c r="I361" s="188"/>
      <c r="J361" s="188"/>
      <c r="K361" s="186"/>
      <c r="L361" s="190"/>
      <c r="M361" s="186"/>
      <c r="N361" s="189"/>
      <c r="O361" s="186"/>
      <c r="P361" s="186"/>
      <c r="Q361" s="168"/>
      <c r="R361" s="168"/>
      <c r="S361" s="168"/>
      <c r="T361" s="168"/>
      <c r="U361" s="168"/>
      <c r="V361" s="168"/>
      <c r="W361" s="168"/>
      <c r="X361" s="168"/>
      <c r="Y361" s="168"/>
    </row>
    <row r="362" ht="30.0" customHeight="1">
      <c r="A362" s="228"/>
      <c r="B362" s="187"/>
      <c r="C362" s="186"/>
      <c r="D362" s="186"/>
      <c r="E362" s="186"/>
      <c r="F362" s="186"/>
      <c r="G362" s="186"/>
      <c r="H362" s="186"/>
      <c r="I362" s="188"/>
      <c r="J362" s="188"/>
      <c r="K362" s="186"/>
      <c r="L362" s="186"/>
      <c r="M362" s="186"/>
      <c r="N362" s="189"/>
      <c r="O362" s="186"/>
      <c r="P362" s="201"/>
      <c r="Q362" s="148"/>
      <c r="R362" s="148"/>
      <c r="S362" s="148"/>
      <c r="T362" s="148"/>
      <c r="U362" s="148"/>
      <c r="V362" s="148"/>
      <c r="W362" s="148"/>
      <c r="X362" s="148"/>
      <c r="Y362" s="148"/>
    </row>
    <row r="363" ht="30.0" customHeight="1">
      <c r="A363" s="186"/>
      <c r="B363" s="186"/>
      <c r="C363" s="186"/>
      <c r="D363" s="186"/>
      <c r="E363" s="190"/>
      <c r="F363" s="186"/>
      <c r="G363" s="186"/>
      <c r="H363" s="190"/>
      <c r="I363" s="191"/>
      <c r="J363" s="191"/>
      <c r="K363" s="186"/>
      <c r="L363" s="189"/>
      <c r="M363" s="186"/>
      <c r="N363" s="190"/>
      <c r="O363" s="186"/>
      <c r="P363" s="186"/>
      <c r="Q363" s="168"/>
      <c r="R363" s="168"/>
      <c r="S363" s="168"/>
      <c r="T363" s="168"/>
      <c r="U363" s="168"/>
      <c r="V363" s="168"/>
      <c r="W363" s="168"/>
      <c r="X363" s="168"/>
      <c r="Y363" s="168"/>
    </row>
    <row r="364" ht="30.0" customHeight="1">
      <c r="A364" s="228"/>
      <c r="B364" s="190"/>
      <c r="C364" s="186"/>
      <c r="D364" s="190"/>
      <c r="E364" s="190"/>
      <c r="F364" s="186"/>
      <c r="G364" s="190"/>
      <c r="H364" s="190"/>
      <c r="I364" s="191"/>
      <c r="J364" s="191"/>
      <c r="K364" s="190"/>
      <c r="L364" s="190"/>
      <c r="M364" s="186"/>
      <c r="N364" s="190"/>
      <c r="O364" s="186"/>
      <c r="P364" s="186"/>
      <c r="Q364" s="168"/>
      <c r="R364" s="168"/>
      <c r="S364" s="168"/>
      <c r="T364" s="168"/>
      <c r="U364" s="168"/>
      <c r="V364" s="168"/>
      <c r="W364" s="168"/>
      <c r="X364" s="168"/>
      <c r="Y364" s="168"/>
    </row>
    <row r="365" ht="30.0" customHeight="1">
      <c r="A365" s="186"/>
      <c r="B365" s="190"/>
      <c r="C365" s="186"/>
      <c r="D365" s="186"/>
      <c r="E365" s="190"/>
      <c r="F365" s="186"/>
      <c r="G365" s="190"/>
      <c r="H365" s="190"/>
      <c r="I365" s="191"/>
      <c r="J365" s="191"/>
      <c r="K365" s="190"/>
      <c r="L365" s="190"/>
      <c r="M365" s="186"/>
      <c r="N365" s="190"/>
      <c r="O365" s="186"/>
      <c r="P365" s="186"/>
      <c r="Q365" s="168"/>
      <c r="R365" s="168"/>
      <c r="S365" s="168"/>
      <c r="T365" s="168"/>
      <c r="U365" s="168"/>
      <c r="V365" s="168"/>
      <c r="W365" s="168"/>
      <c r="X365" s="168"/>
      <c r="Y365" s="168"/>
    </row>
    <row r="366" ht="30.0" customHeight="1">
      <c r="A366" s="228"/>
      <c r="B366" s="190"/>
      <c r="C366" s="186"/>
      <c r="D366" s="190"/>
      <c r="E366" s="190"/>
      <c r="F366" s="186"/>
      <c r="G366" s="190"/>
      <c r="H366" s="190"/>
      <c r="I366" s="191"/>
      <c r="J366" s="191"/>
      <c r="K366" s="190"/>
      <c r="L366" s="189"/>
      <c r="M366" s="186"/>
      <c r="N366" s="190"/>
      <c r="O366" s="186"/>
      <c r="P366" s="186"/>
      <c r="Q366" s="168"/>
      <c r="R366" s="168"/>
      <c r="S366" s="168"/>
      <c r="T366" s="168"/>
      <c r="U366" s="168"/>
      <c r="V366" s="168"/>
      <c r="W366" s="168"/>
      <c r="X366" s="168"/>
      <c r="Y366" s="168"/>
    </row>
    <row r="367" ht="30.0" customHeight="1">
      <c r="A367" s="186"/>
      <c r="B367" s="186"/>
      <c r="C367" s="186"/>
      <c r="D367" s="186"/>
      <c r="E367" s="189"/>
      <c r="F367" s="186"/>
      <c r="G367" s="186"/>
      <c r="H367" s="189"/>
      <c r="I367" s="225"/>
      <c r="J367" s="191"/>
      <c r="K367" s="186"/>
      <c r="L367" s="189"/>
      <c r="M367" s="186"/>
      <c r="N367" s="189"/>
      <c r="O367" s="186"/>
      <c r="P367" s="186"/>
      <c r="Q367" s="168"/>
      <c r="R367" s="168"/>
      <c r="S367" s="168"/>
      <c r="T367" s="168"/>
      <c r="U367" s="168"/>
      <c r="V367" s="168"/>
      <c r="W367" s="168"/>
      <c r="X367" s="168"/>
      <c r="Y367" s="168"/>
    </row>
    <row r="368">
      <c r="A368" s="186"/>
      <c r="B368" s="186"/>
      <c r="C368" s="186"/>
      <c r="D368" s="186"/>
      <c r="E368" s="189"/>
      <c r="F368" s="186"/>
      <c r="G368" s="186"/>
      <c r="H368" s="189"/>
      <c r="I368" s="191"/>
      <c r="J368" s="191"/>
      <c r="K368" s="186"/>
      <c r="L368" s="189"/>
      <c r="M368" s="186"/>
      <c r="N368" s="189"/>
      <c r="O368" s="189"/>
      <c r="P368" s="201"/>
      <c r="Q368" s="148"/>
      <c r="R368" s="148"/>
      <c r="S368" s="148"/>
      <c r="T368" s="148"/>
      <c r="U368" s="148"/>
      <c r="V368" s="148"/>
      <c r="W368" s="148"/>
      <c r="X368" s="148"/>
      <c r="Y368" s="148"/>
    </row>
    <row r="369" ht="30.0" customHeight="1">
      <c r="A369" s="228"/>
      <c r="B369" s="187"/>
      <c r="C369" s="186"/>
      <c r="D369" s="186"/>
      <c r="E369" s="186"/>
      <c r="F369" s="186"/>
      <c r="G369" s="186"/>
      <c r="H369" s="186"/>
      <c r="I369" s="188"/>
      <c r="J369" s="188"/>
      <c r="K369" s="186"/>
      <c r="L369" s="190"/>
      <c r="M369" s="186"/>
      <c r="N369" s="189"/>
      <c r="O369" s="186"/>
      <c r="P369" s="186"/>
      <c r="Q369" s="168"/>
      <c r="R369" s="168"/>
      <c r="S369" s="168"/>
      <c r="T369" s="168"/>
      <c r="U369" s="168"/>
      <c r="V369" s="168"/>
      <c r="W369" s="168"/>
      <c r="X369" s="168"/>
      <c r="Y369" s="168"/>
    </row>
    <row r="370" ht="30.0" customHeight="1">
      <c r="A370" s="186"/>
      <c r="B370" s="187"/>
      <c r="C370" s="186"/>
      <c r="D370" s="186"/>
      <c r="E370" s="186"/>
      <c r="F370" s="186"/>
      <c r="G370" s="186"/>
      <c r="H370" s="186"/>
      <c r="I370" s="188"/>
      <c r="J370" s="188"/>
      <c r="K370" s="186"/>
      <c r="L370" s="190"/>
      <c r="M370" s="186"/>
      <c r="N370" s="189"/>
      <c r="O370" s="186"/>
      <c r="P370" s="186"/>
      <c r="Q370" s="168"/>
      <c r="R370" s="168"/>
      <c r="S370" s="168"/>
      <c r="T370" s="168"/>
      <c r="U370" s="168"/>
      <c r="V370" s="168"/>
      <c r="W370" s="168"/>
      <c r="X370" s="168"/>
      <c r="Y370" s="168"/>
    </row>
    <row r="371" ht="30.0" customHeight="1">
      <c r="A371" s="228"/>
      <c r="B371" s="190"/>
      <c r="C371" s="186"/>
      <c r="D371" s="190"/>
      <c r="E371" s="190"/>
      <c r="F371" s="186"/>
      <c r="G371" s="190"/>
      <c r="H371" s="190"/>
      <c r="I371" s="191"/>
      <c r="J371" s="191"/>
      <c r="K371" s="190"/>
      <c r="L371" s="190"/>
      <c r="M371" s="186"/>
      <c r="N371" s="190"/>
      <c r="O371" s="186"/>
      <c r="P371" s="186"/>
      <c r="Q371" s="168"/>
      <c r="R371" s="168"/>
      <c r="S371" s="168"/>
      <c r="T371" s="168"/>
      <c r="U371" s="168"/>
      <c r="V371" s="168"/>
      <c r="W371" s="168"/>
      <c r="X371" s="168"/>
      <c r="Y371" s="168"/>
    </row>
    <row r="372" ht="30.0" customHeight="1">
      <c r="A372" s="186"/>
      <c r="B372" s="187"/>
      <c r="C372" s="186"/>
      <c r="D372" s="186"/>
      <c r="E372" s="186"/>
      <c r="F372" s="186"/>
      <c r="G372" s="186"/>
      <c r="H372" s="186"/>
      <c r="I372" s="188"/>
      <c r="J372" s="188"/>
      <c r="K372" s="186"/>
      <c r="L372" s="190"/>
      <c r="M372" s="186"/>
      <c r="N372" s="189"/>
      <c r="O372" s="186"/>
      <c r="P372" s="186"/>
      <c r="Q372" s="168"/>
      <c r="R372" s="168"/>
      <c r="S372" s="168"/>
      <c r="T372" s="168"/>
      <c r="U372" s="168"/>
      <c r="V372" s="168"/>
      <c r="W372" s="168"/>
      <c r="X372" s="168"/>
      <c r="Y372" s="168"/>
    </row>
    <row r="373" ht="31.5" customHeight="1">
      <c r="A373" s="186"/>
      <c r="B373" s="187"/>
      <c r="C373" s="186"/>
      <c r="D373" s="186"/>
      <c r="E373" s="186"/>
      <c r="F373" s="186"/>
      <c r="G373" s="186"/>
      <c r="H373" s="186"/>
      <c r="I373" s="188"/>
      <c r="J373" s="188"/>
      <c r="K373" s="186"/>
      <c r="L373" s="186"/>
      <c r="M373" s="186"/>
      <c r="N373" s="189"/>
      <c r="O373" s="186"/>
      <c r="P373" s="186"/>
      <c r="Q373" s="168"/>
      <c r="R373" s="168"/>
      <c r="S373" s="168"/>
      <c r="T373" s="168"/>
      <c r="U373" s="168"/>
      <c r="V373" s="168"/>
      <c r="W373" s="168"/>
      <c r="X373" s="168"/>
      <c r="Y373" s="168"/>
    </row>
    <row r="374" ht="30.0" customHeight="1">
      <c r="A374" s="228"/>
      <c r="B374" s="190"/>
      <c r="C374" s="186"/>
      <c r="D374" s="190"/>
      <c r="E374" s="190"/>
      <c r="F374" s="186"/>
      <c r="G374" s="190"/>
      <c r="H374" s="190"/>
      <c r="I374" s="191"/>
      <c r="J374" s="191"/>
      <c r="K374" s="190"/>
      <c r="L374" s="189"/>
      <c r="M374" s="186"/>
      <c r="N374" s="190"/>
      <c r="O374" s="186"/>
      <c r="P374" s="186"/>
      <c r="Q374" s="168"/>
      <c r="R374" s="168"/>
      <c r="S374" s="168"/>
      <c r="T374" s="168"/>
      <c r="U374" s="168"/>
      <c r="V374" s="168"/>
      <c r="W374" s="168"/>
      <c r="X374" s="168"/>
      <c r="Y374" s="168"/>
    </row>
    <row r="375" ht="30.0" customHeight="1">
      <c r="A375" s="186"/>
      <c r="B375" s="187"/>
      <c r="C375" s="186"/>
      <c r="D375" s="186"/>
      <c r="E375" s="186"/>
      <c r="F375" s="186"/>
      <c r="G375" s="186"/>
      <c r="H375" s="186"/>
      <c r="I375" s="188"/>
      <c r="J375" s="188"/>
      <c r="K375" s="186"/>
      <c r="L375" s="186"/>
      <c r="M375" s="186"/>
      <c r="N375" s="189"/>
      <c r="O375" s="186"/>
      <c r="P375" s="186"/>
      <c r="Q375" s="168"/>
      <c r="R375" s="168"/>
      <c r="S375" s="168"/>
      <c r="T375" s="168"/>
      <c r="U375" s="168"/>
      <c r="V375" s="168"/>
      <c r="W375" s="168"/>
      <c r="X375" s="168"/>
      <c r="Y375" s="168"/>
    </row>
    <row r="376" ht="31.5" customHeight="1">
      <c r="A376" s="186"/>
      <c r="B376" s="186"/>
      <c r="C376" s="186"/>
      <c r="D376" s="186"/>
      <c r="E376" s="189"/>
      <c r="F376" s="186"/>
      <c r="G376" s="186"/>
      <c r="H376" s="189"/>
      <c r="I376" s="191"/>
      <c r="J376" s="191"/>
      <c r="K376" s="186"/>
      <c r="L376" s="189"/>
      <c r="M376" s="186"/>
      <c r="N376" s="189"/>
      <c r="O376" s="186"/>
      <c r="P376" s="186"/>
      <c r="Q376" s="168"/>
      <c r="R376" s="168"/>
      <c r="S376" s="168"/>
      <c r="T376" s="168"/>
      <c r="U376" s="168"/>
      <c r="V376" s="168"/>
      <c r="W376" s="168"/>
      <c r="X376" s="168"/>
      <c r="Y376" s="168"/>
    </row>
    <row r="377" ht="30.0" customHeight="1">
      <c r="A377" s="228"/>
      <c r="B377" s="187"/>
      <c r="C377" s="186"/>
      <c r="D377" s="186"/>
      <c r="E377" s="186"/>
      <c r="F377" s="186"/>
      <c r="G377" s="186"/>
      <c r="H377" s="186"/>
      <c r="I377" s="188"/>
      <c r="J377" s="188"/>
      <c r="K377" s="186"/>
      <c r="L377" s="186"/>
      <c r="M377" s="186"/>
      <c r="N377" s="189"/>
      <c r="O377" s="186"/>
      <c r="P377" s="186"/>
      <c r="Q377" s="168"/>
      <c r="R377" s="168"/>
      <c r="S377" s="168"/>
      <c r="T377" s="168"/>
      <c r="U377" s="168"/>
      <c r="V377" s="168"/>
      <c r="W377" s="168"/>
      <c r="X377" s="168"/>
      <c r="Y377" s="168"/>
    </row>
    <row r="378" ht="28.5" customHeight="1">
      <c r="A378" s="186"/>
      <c r="B378" s="186"/>
      <c r="C378" s="186"/>
      <c r="D378" s="186"/>
      <c r="E378" s="186"/>
      <c r="F378" s="186"/>
      <c r="G378" s="186"/>
      <c r="H378" s="186"/>
      <c r="I378" s="191"/>
      <c r="J378" s="191"/>
      <c r="K378" s="186"/>
      <c r="L378" s="186"/>
      <c r="M378" s="186"/>
      <c r="N378" s="189"/>
      <c r="O378" s="186"/>
      <c r="P378" s="186"/>
      <c r="Q378" s="168"/>
      <c r="R378" s="168"/>
      <c r="S378" s="168"/>
      <c r="T378" s="168"/>
      <c r="U378" s="168"/>
      <c r="V378" s="168"/>
      <c r="W378" s="168"/>
      <c r="X378" s="168"/>
      <c r="Y378" s="168"/>
    </row>
    <row r="379" ht="28.5" customHeight="1">
      <c r="A379" s="186"/>
      <c r="B379" s="186"/>
      <c r="C379" s="186"/>
      <c r="D379" s="186"/>
      <c r="E379" s="186"/>
      <c r="F379" s="186"/>
      <c r="G379" s="186"/>
      <c r="H379" s="186"/>
      <c r="I379" s="188"/>
      <c r="J379" s="188"/>
      <c r="K379" s="186"/>
      <c r="L379" s="186"/>
      <c r="M379" s="186"/>
      <c r="N379" s="189"/>
      <c r="O379" s="186"/>
      <c r="P379" s="186"/>
      <c r="Q379" s="168"/>
      <c r="R379" s="168"/>
      <c r="S379" s="168"/>
      <c r="T379" s="168"/>
      <c r="U379" s="168"/>
      <c r="V379" s="168"/>
      <c r="W379" s="168"/>
      <c r="X379" s="168"/>
      <c r="Y379" s="168"/>
    </row>
    <row r="380" ht="30.0" customHeight="1">
      <c r="A380" s="186"/>
      <c r="B380" s="217"/>
      <c r="C380" s="227"/>
      <c r="D380" s="186"/>
      <c r="E380" s="186"/>
      <c r="F380" s="186"/>
      <c r="G380" s="186"/>
      <c r="H380" s="186"/>
      <c r="I380" s="191"/>
      <c r="J380" s="191"/>
      <c r="K380" s="186"/>
      <c r="L380" s="186"/>
      <c r="M380" s="186"/>
      <c r="N380" s="189"/>
      <c r="O380" s="186"/>
      <c r="P380" s="186"/>
      <c r="Q380" s="168"/>
      <c r="R380" s="168"/>
      <c r="S380" s="168"/>
      <c r="T380" s="168"/>
      <c r="U380" s="168"/>
      <c r="V380" s="168"/>
      <c r="W380" s="168"/>
      <c r="X380" s="168"/>
      <c r="Y380" s="168"/>
    </row>
    <row r="381" ht="30.0" customHeight="1">
      <c r="A381" s="228"/>
      <c r="B381" s="186"/>
      <c r="C381" s="186"/>
      <c r="D381" s="186"/>
      <c r="E381" s="186"/>
      <c r="F381" s="186"/>
      <c r="G381" s="186"/>
      <c r="H381" s="186"/>
      <c r="I381" s="225"/>
      <c r="J381" s="191"/>
      <c r="K381" s="186"/>
      <c r="L381" s="186"/>
      <c r="M381" s="186"/>
      <c r="N381" s="189"/>
      <c r="O381" s="186"/>
      <c r="P381" s="186"/>
      <c r="Q381" s="168"/>
      <c r="R381" s="168"/>
      <c r="S381" s="168"/>
      <c r="T381" s="168"/>
      <c r="U381" s="168"/>
      <c r="V381" s="168"/>
      <c r="W381" s="168"/>
      <c r="X381" s="168"/>
      <c r="Y381" s="168"/>
    </row>
    <row r="382" ht="30.0" customHeight="1">
      <c r="A382" s="186"/>
      <c r="B382" s="186"/>
      <c r="C382" s="186"/>
      <c r="D382" s="186"/>
      <c r="E382" s="189"/>
      <c r="F382" s="186"/>
      <c r="G382" s="186"/>
      <c r="H382" s="189"/>
      <c r="I382" s="225"/>
      <c r="J382" s="191"/>
      <c r="K382" s="186"/>
      <c r="L382" s="189"/>
      <c r="M382" s="186"/>
      <c r="N382" s="189"/>
      <c r="O382" s="186"/>
      <c r="P382" s="186"/>
      <c r="Q382" s="168"/>
      <c r="R382" s="168"/>
      <c r="S382" s="168"/>
      <c r="T382" s="168"/>
      <c r="U382" s="168"/>
      <c r="V382" s="168"/>
      <c r="W382" s="168"/>
      <c r="X382" s="168"/>
      <c r="Y382" s="168"/>
    </row>
    <row r="383" ht="31.5" customHeight="1">
      <c r="A383" s="186"/>
      <c r="B383" s="187"/>
      <c r="C383" s="186"/>
      <c r="D383" s="186"/>
      <c r="E383" s="186"/>
      <c r="F383" s="186"/>
      <c r="G383" s="186"/>
      <c r="H383" s="186"/>
      <c r="I383" s="188"/>
      <c r="J383" s="188"/>
      <c r="K383" s="186"/>
      <c r="L383" s="186"/>
      <c r="M383" s="186"/>
      <c r="N383" s="189"/>
      <c r="O383" s="186"/>
      <c r="P383" s="186"/>
      <c r="Q383" s="168"/>
      <c r="R383" s="168"/>
      <c r="S383" s="168"/>
      <c r="T383" s="168"/>
      <c r="U383" s="168"/>
      <c r="V383" s="168"/>
      <c r="W383" s="168"/>
      <c r="X383" s="168"/>
      <c r="Y383" s="168"/>
    </row>
    <row r="384" ht="30.0" customHeight="1">
      <c r="A384" s="228"/>
      <c r="B384" s="186"/>
      <c r="C384" s="186"/>
      <c r="D384" s="186"/>
      <c r="E384" s="189"/>
      <c r="F384" s="186"/>
      <c r="G384" s="186"/>
      <c r="H384" s="189"/>
      <c r="I384" s="225"/>
      <c r="J384" s="191"/>
      <c r="K384" s="186"/>
      <c r="L384" s="189"/>
      <c r="M384" s="186"/>
      <c r="N384" s="189"/>
      <c r="O384" s="186"/>
      <c r="P384" s="186"/>
      <c r="Q384" s="168"/>
      <c r="R384" s="168"/>
      <c r="S384" s="168"/>
      <c r="T384" s="168"/>
      <c r="U384" s="168"/>
      <c r="V384" s="168"/>
      <c r="W384" s="168"/>
      <c r="X384" s="168"/>
      <c r="Y384" s="168"/>
    </row>
    <row r="385" ht="30.0" customHeight="1">
      <c r="A385" s="186"/>
      <c r="B385" s="187"/>
      <c r="C385" s="186"/>
      <c r="D385" s="186"/>
      <c r="E385" s="186"/>
      <c r="F385" s="186"/>
      <c r="G385" s="186"/>
      <c r="H385" s="186"/>
      <c r="I385" s="188"/>
      <c r="J385" s="188"/>
      <c r="K385" s="186"/>
      <c r="L385" s="190"/>
      <c r="M385" s="186"/>
      <c r="N385" s="189"/>
      <c r="O385" s="186"/>
      <c r="P385" s="186"/>
      <c r="Q385" s="168"/>
      <c r="R385" s="168"/>
      <c r="S385" s="168"/>
      <c r="T385" s="168"/>
      <c r="U385" s="168"/>
      <c r="V385" s="168"/>
      <c r="W385" s="168"/>
      <c r="X385" s="168"/>
      <c r="Y385" s="168"/>
    </row>
    <row r="386" ht="30.0" customHeight="1">
      <c r="A386" s="228"/>
      <c r="B386" s="186"/>
      <c r="C386" s="186"/>
      <c r="D386" s="186"/>
      <c r="E386" s="189"/>
      <c r="F386" s="186"/>
      <c r="G386" s="186"/>
      <c r="H386" s="189"/>
      <c r="I386" s="225"/>
      <c r="J386" s="191"/>
      <c r="K386" s="186"/>
      <c r="L386" s="189"/>
      <c r="M386" s="186"/>
      <c r="N386" s="189"/>
      <c r="O386" s="186"/>
      <c r="P386" s="186"/>
      <c r="Q386" s="168"/>
      <c r="R386" s="168"/>
      <c r="S386" s="168"/>
      <c r="T386" s="168"/>
      <c r="U386" s="168"/>
      <c r="V386" s="168"/>
      <c r="W386" s="168"/>
      <c r="X386" s="168"/>
      <c r="Y386" s="168"/>
    </row>
    <row r="387" ht="30.0" customHeight="1">
      <c r="A387" s="186"/>
      <c r="B387" s="186"/>
      <c r="C387" s="186"/>
      <c r="D387" s="186"/>
      <c r="E387" s="189"/>
      <c r="F387" s="186"/>
      <c r="G387" s="186"/>
      <c r="H387" s="189"/>
      <c r="I387" s="225"/>
      <c r="J387" s="191"/>
      <c r="K387" s="186"/>
      <c r="L387" s="189"/>
      <c r="M387" s="186"/>
      <c r="N387" s="189"/>
      <c r="O387" s="186"/>
      <c r="P387" s="186"/>
      <c r="Q387" s="168"/>
      <c r="R387" s="168"/>
      <c r="S387" s="168"/>
      <c r="T387" s="168"/>
      <c r="U387" s="168"/>
      <c r="V387" s="168"/>
      <c r="W387" s="168"/>
      <c r="X387" s="168"/>
      <c r="Y387" s="168"/>
    </row>
    <row r="388" ht="30.0" customHeight="1">
      <c r="A388" s="189"/>
      <c r="B388" s="189"/>
      <c r="C388" s="186"/>
      <c r="D388" s="186"/>
      <c r="E388" s="189"/>
      <c r="F388" s="189"/>
      <c r="G388" s="186"/>
      <c r="H388" s="189"/>
      <c r="I388" s="191"/>
      <c r="J388" s="191"/>
      <c r="K388" s="186"/>
      <c r="L388" s="189"/>
      <c r="M388" s="186"/>
      <c r="N388" s="189"/>
      <c r="O388" s="186"/>
      <c r="P388" s="186"/>
      <c r="Q388" s="168"/>
      <c r="R388" s="168"/>
      <c r="S388" s="168"/>
      <c r="T388" s="168"/>
      <c r="U388" s="168"/>
      <c r="V388" s="168"/>
      <c r="W388" s="168"/>
      <c r="X388" s="168"/>
      <c r="Y388" s="168"/>
    </row>
    <row r="389" ht="31.5" customHeight="1">
      <c r="A389" s="186"/>
      <c r="B389" s="186"/>
      <c r="C389" s="186"/>
      <c r="D389" s="186"/>
      <c r="E389" s="189"/>
      <c r="F389" s="186"/>
      <c r="G389" s="186"/>
      <c r="H389" s="189"/>
      <c r="I389" s="191"/>
      <c r="J389" s="191"/>
      <c r="K389" s="186"/>
      <c r="L389" s="189"/>
      <c r="M389" s="186"/>
      <c r="N389" s="189"/>
      <c r="O389" s="186"/>
      <c r="P389" s="186"/>
      <c r="Q389" s="168"/>
      <c r="R389" s="168"/>
      <c r="S389" s="168"/>
      <c r="T389" s="168"/>
      <c r="U389" s="168"/>
      <c r="V389" s="168"/>
      <c r="W389" s="168"/>
      <c r="X389" s="168"/>
      <c r="Y389" s="168"/>
    </row>
    <row r="390" ht="31.5" customHeight="1">
      <c r="A390" s="186"/>
      <c r="B390" s="186"/>
      <c r="C390" s="186"/>
      <c r="D390" s="186"/>
      <c r="E390" s="190"/>
      <c r="F390" s="186"/>
      <c r="G390" s="186"/>
      <c r="H390" s="186"/>
      <c r="I390" s="188"/>
      <c r="J390" s="188"/>
      <c r="K390" s="186"/>
      <c r="L390" s="189"/>
      <c r="M390" s="186"/>
      <c r="N390" s="190"/>
      <c r="O390" s="186"/>
      <c r="P390" s="186"/>
      <c r="Q390" s="168"/>
      <c r="R390" s="168"/>
      <c r="S390" s="168"/>
      <c r="T390" s="168"/>
      <c r="U390" s="168"/>
      <c r="V390" s="168"/>
      <c r="W390" s="168"/>
      <c r="X390" s="168"/>
      <c r="Y390" s="168"/>
    </row>
    <row r="391" ht="31.5" customHeight="1">
      <c r="A391" s="186"/>
      <c r="B391" s="187"/>
      <c r="C391" s="186"/>
      <c r="D391" s="186"/>
      <c r="E391" s="186"/>
      <c r="F391" s="186"/>
      <c r="G391" s="186"/>
      <c r="H391" s="186"/>
      <c r="I391" s="188"/>
      <c r="J391" s="188"/>
      <c r="K391" s="186"/>
      <c r="L391" s="190"/>
      <c r="M391" s="186"/>
      <c r="N391" s="189"/>
      <c r="O391" s="186"/>
      <c r="P391" s="186"/>
      <c r="Q391" s="168"/>
      <c r="R391" s="168"/>
      <c r="S391" s="168"/>
      <c r="T391" s="168"/>
      <c r="U391" s="168"/>
      <c r="V391" s="168"/>
      <c r="W391" s="168"/>
      <c r="X391" s="168"/>
      <c r="Y391" s="168"/>
    </row>
    <row r="392" ht="31.5" customHeight="1">
      <c r="A392" s="186"/>
      <c r="B392" s="187"/>
      <c r="C392" s="186"/>
      <c r="D392" s="186"/>
      <c r="E392" s="186"/>
      <c r="F392" s="186"/>
      <c r="G392" s="186"/>
      <c r="H392" s="186"/>
      <c r="I392" s="188"/>
      <c r="J392" s="188"/>
      <c r="K392" s="186"/>
      <c r="L392" s="186"/>
      <c r="M392" s="186"/>
      <c r="N392" s="186"/>
      <c r="O392" s="186"/>
      <c r="P392" s="186"/>
      <c r="Q392" s="168"/>
      <c r="R392" s="168"/>
      <c r="S392" s="168"/>
      <c r="T392" s="168"/>
      <c r="U392" s="168"/>
      <c r="V392" s="168"/>
      <c r="W392" s="168"/>
      <c r="X392" s="168"/>
      <c r="Y392" s="168"/>
    </row>
    <row r="393" ht="31.5" customHeight="1">
      <c r="A393" s="186"/>
      <c r="B393" s="187"/>
      <c r="C393" s="186"/>
      <c r="D393" s="186"/>
      <c r="E393" s="186"/>
      <c r="F393" s="186"/>
      <c r="G393" s="186"/>
      <c r="H393" s="186"/>
      <c r="I393" s="188"/>
      <c r="J393" s="188"/>
      <c r="K393" s="186"/>
      <c r="L393" s="190"/>
      <c r="M393" s="186"/>
      <c r="N393" s="189"/>
      <c r="O393" s="186"/>
      <c r="P393" s="186"/>
      <c r="Q393" s="168"/>
      <c r="R393" s="168"/>
      <c r="S393" s="168"/>
      <c r="T393" s="168"/>
      <c r="U393" s="168"/>
      <c r="V393" s="168"/>
      <c r="W393" s="168"/>
      <c r="X393" s="168"/>
      <c r="Y393" s="168"/>
    </row>
    <row r="394" ht="31.5" customHeight="1">
      <c r="A394" s="186"/>
      <c r="B394" s="186"/>
      <c r="C394" s="186"/>
      <c r="D394" s="186"/>
      <c r="E394" s="189"/>
      <c r="F394" s="186"/>
      <c r="G394" s="186"/>
      <c r="H394" s="189"/>
      <c r="I394" s="191"/>
      <c r="J394" s="191"/>
      <c r="K394" s="186"/>
      <c r="L394" s="189"/>
      <c r="M394" s="186"/>
      <c r="N394" s="189"/>
      <c r="O394" s="189"/>
      <c r="P394" s="201"/>
      <c r="Q394" s="148"/>
      <c r="R394" s="148"/>
      <c r="S394" s="148"/>
      <c r="T394" s="148"/>
      <c r="U394" s="148"/>
      <c r="V394" s="148"/>
      <c r="W394" s="148"/>
      <c r="X394" s="148"/>
      <c r="Y394" s="148"/>
    </row>
    <row r="395" ht="31.5" customHeight="1">
      <c r="A395" s="186"/>
      <c r="B395" s="186"/>
      <c r="C395" s="186"/>
      <c r="D395" s="186"/>
      <c r="E395" s="186"/>
      <c r="F395" s="186"/>
      <c r="G395" s="186"/>
      <c r="H395" s="186"/>
      <c r="I395" s="188"/>
      <c r="J395" s="188"/>
      <c r="K395" s="186"/>
      <c r="L395" s="189"/>
      <c r="M395" s="186"/>
      <c r="N395" s="189"/>
      <c r="O395" s="186"/>
      <c r="P395" s="186"/>
      <c r="Q395" s="168"/>
      <c r="R395" s="168"/>
      <c r="S395" s="168"/>
      <c r="T395" s="168"/>
      <c r="U395" s="168"/>
      <c r="V395" s="168"/>
      <c r="W395" s="168"/>
      <c r="X395" s="168"/>
      <c r="Y395" s="168"/>
    </row>
    <row r="396" ht="31.5" customHeight="1">
      <c r="A396" s="186"/>
      <c r="B396" s="187"/>
      <c r="C396" s="186"/>
      <c r="D396" s="186"/>
      <c r="E396" s="186"/>
      <c r="F396" s="186"/>
      <c r="G396" s="186"/>
      <c r="H396" s="186"/>
      <c r="I396" s="188"/>
      <c r="J396" s="188"/>
      <c r="K396" s="186"/>
      <c r="L396" s="190"/>
      <c r="M396" s="186"/>
      <c r="N396" s="189"/>
      <c r="O396" s="186"/>
      <c r="P396" s="186"/>
      <c r="Q396" s="168"/>
      <c r="R396" s="168"/>
      <c r="S396" s="168"/>
      <c r="T396" s="168"/>
      <c r="U396" s="168"/>
      <c r="V396" s="168"/>
      <c r="W396" s="168"/>
      <c r="X396" s="168"/>
      <c r="Y396" s="168"/>
    </row>
    <row r="397" ht="31.5" customHeight="1">
      <c r="A397" s="186"/>
      <c r="B397" s="186"/>
      <c r="C397" s="186"/>
      <c r="D397" s="186"/>
      <c r="E397" s="186"/>
      <c r="F397" s="186"/>
      <c r="G397" s="186"/>
      <c r="H397" s="186"/>
      <c r="I397" s="191"/>
      <c r="J397" s="191"/>
      <c r="K397" s="186"/>
      <c r="L397" s="186"/>
      <c r="M397" s="186"/>
      <c r="N397" s="186"/>
      <c r="O397" s="186"/>
      <c r="P397" s="186"/>
      <c r="Q397" s="168"/>
      <c r="R397" s="168"/>
      <c r="S397" s="168"/>
      <c r="T397" s="168"/>
      <c r="U397" s="168"/>
      <c r="V397" s="168"/>
      <c r="W397" s="168"/>
      <c r="X397" s="168"/>
      <c r="Y397" s="168"/>
    </row>
    <row r="398" ht="31.5" customHeight="1">
      <c r="A398" s="186"/>
      <c r="B398" s="186"/>
      <c r="C398" s="186"/>
      <c r="D398" s="186"/>
      <c r="E398" s="189"/>
      <c r="F398" s="186"/>
      <c r="G398" s="186"/>
      <c r="H398" s="189"/>
      <c r="I398" s="191"/>
      <c r="J398" s="191"/>
      <c r="K398" s="186"/>
      <c r="L398" s="189"/>
      <c r="M398" s="186"/>
      <c r="N398" s="189"/>
      <c r="O398" s="186"/>
      <c r="P398" s="186"/>
      <c r="Q398" s="168"/>
      <c r="R398" s="168"/>
      <c r="S398" s="168"/>
      <c r="T398" s="168"/>
      <c r="U398" s="168"/>
      <c r="V398" s="168"/>
      <c r="W398" s="168"/>
      <c r="X398" s="168"/>
      <c r="Y398" s="168"/>
    </row>
    <row r="399" ht="31.5" customHeight="1">
      <c r="A399" s="186"/>
      <c r="B399" s="187"/>
      <c r="C399" s="186"/>
      <c r="D399" s="186"/>
      <c r="E399" s="186"/>
      <c r="F399" s="186"/>
      <c r="G399" s="186"/>
      <c r="H399" s="186"/>
      <c r="I399" s="188"/>
      <c r="J399" s="188"/>
      <c r="K399" s="186"/>
      <c r="L399" s="190"/>
      <c r="M399" s="186"/>
      <c r="N399" s="189"/>
      <c r="O399" s="186"/>
      <c r="P399" s="186"/>
      <c r="Q399" s="168"/>
      <c r="R399" s="168"/>
      <c r="S399" s="168"/>
      <c r="T399" s="168"/>
      <c r="U399" s="168"/>
      <c r="V399" s="168"/>
      <c r="W399" s="168"/>
      <c r="X399" s="168"/>
      <c r="Y399" s="168"/>
    </row>
    <row r="400" ht="31.5" customHeight="1">
      <c r="A400" s="186"/>
      <c r="B400" s="186"/>
      <c r="C400" s="186"/>
      <c r="D400" s="186"/>
      <c r="E400" s="189"/>
      <c r="F400" s="186"/>
      <c r="G400" s="186"/>
      <c r="H400" s="189"/>
      <c r="I400" s="191"/>
      <c r="J400" s="191"/>
      <c r="K400" s="186"/>
      <c r="L400" s="189"/>
      <c r="M400" s="189"/>
      <c r="N400" s="189"/>
      <c r="O400" s="186"/>
      <c r="P400" s="186"/>
      <c r="Q400" s="168"/>
      <c r="R400" s="168"/>
      <c r="S400" s="168"/>
      <c r="T400" s="168"/>
      <c r="U400" s="168"/>
      <c r="V400" s="168"/>
      <c r="W400" s="168"/>
      <c r="X400" s="168"/>
      <c r="Y400" s="168"/>
    </row>
    <row r="401" ht="31.5" customHeight="1">
      <c r="A401" s="186"/>
      <c r="B401" s="187"/>
      <c r="C401" s="186"/>
      <c r="D401" s="186"/>
      <c r="E401" s="186"/>
      <c r="F401" s="186"/>
      <c r="G401" s="186"/>
      <c r="H401" s="186"/>
      <c r="I401" s="188"/>
      <c r="J401" s="188"/>
      <c r="K401" s="186"/>
      <c r="L401" s="186"/>
      <c r="M401" s="186"/>
      <c r="N401" s="189"/>
      <c r="O401" s="206"/>
      <c r="P401" s="186"/>
      <c r="Q401" s="168"/>
      <c r="R401" s="168"/>
      <c r="S401" s="168"/>
      <c r="T401" s="168"/>
      <c r="U401" s="168"/>
      <c r="V401" s="168"/>
      <c r="W401" s="168"/>
      <c r="X401" s="168"/>
      <c r="Y401" s="168"/>
    </row>
    <row r="402" ht="31.5" customHeight="1">
      <c r="A402" s="186"/>
      <c r="B402" s="186"/>
      <c r="C402" s="186"/>
      <c r="D402" s="186"/>
      <c r="E402" s="189"/>
      <c r="F402" s="186"/>
      <c r="G402" s="186"/>
      <c r="H402" s="189"/>
      <c r="I402" s="191"/>
      <c r="J402" s="191"/>
      <c r="K402" s="186"/>
      <c r="L402" s="189"/>
      <c r="M402" s="186"/>
      <c r="N402" s="189"/>
      <c r="O402" s="189"/>
      <c r="P402" s="186"/>
      <c r="Q402" s="168"/>
      <c r="R402" s="168"/>
      <c r="S402" s="168"/>
      <c r="T402" s="168"/>
      <c r="U402" s="168"/>
      <c r="V402" s="168"/>
      <c r="W402" s="168"/>
      <c r="X402" s="168"/>
      <c r="Y402" s="168"/>
    </row>
    <row r="403" ht="31.5" customHeight="1">
      <c r="A403" s="186"/>
      <c r="B403" s="186"/>
      <c r="C403" s="186"/>
      <c r="D403" s="186"/>
      <c r="E403" s="189"/>
      <c r="F403" s="186"/>
      <c r="G403" s="186"/>
      <c r="H403" s="189"/>
      <c r="I403" s="191"/>
      <c r="J403" s="191"/>
      <c r="K403" s="186"/>
      <c r="L403" s="189"/>
      <c r="M403" s="189"/>
      <c r="N403" s="189"/>
      <c r="O403" s="189"/>
      <c r="P403" s="186"/>
      <c r="Q403" s="168"/>
      <c r="R403" s="168"/>
      <c r="S403" s="168"/>
      <c r="T403" s="168"/>
      <c r="U403" s="168"/>
      <c r="V403" s="168"/>
      <c r="W403" s="168"/>
      <c r="X403" s="168"/>
      <c r="Y403" s="168"/>
    </row>
    <row r="404" ht="31.5" customHeight="1">
      <c r="A404" s="207"/>
      <c r="B404" s="207"/>
      <c r="C404" s="207"/>
      <c r="D404" s="207"/>
      <c r="E404" s="207"/>
      <c r="F404" s="207"/>
      <c r="G404" s="207"/>
      <c r="H404" s="207"/>
      <c r="I404" s="211"/>
      <c r="J404" s="211"/>
      <c r="K404" s="207"/>
      <c r="L404" s="212"/>
      <c r="M404" s="206"/>
      <c r="N404" s="212"/>
      <c r="O404" s="207"/>
      <c r="P404" s="206"/>
      <c r="Q404" s="229"/>
      <c r="R404" s="229"/>
      <c r="S404" s="229"/>
      <c r="T404" s="229"/>
      <c r="U404" s="229"/>
      <c r="V404" s="229"/>
      <c r="W404" s="229"/>
      <c r="X404" s="229"/>
      <c r="Y404" s="229"/>
    </row>
    <row r="405" ht="31.5" customHeight="1">
      <c r="A405" s="186"/>
      <c r="B405" s="186"/>
      <c r="C405" s="186"/>
      <c r="D405" s="186"/>
      <c r="E405" s="189"/>
      <c r="F405" s="186"/>
      <c r="G405" s="186"/>
      <c r="H405" s="189"/>
      <c r="I405" s="191"/>
      <c r="J405" s="191"/>
      <c r="K405" s="186"/>
      <c r="L405" s="189"/>
      <c r="M405" s="186"/>
      <c r="N405" s="189"/>
      <c r="O405" s="186"/>
      <c r="P405" s="186"/>
      <c r="Q405" s="168"/>
      <c r="R405" s="168"/>
      <c r="S405" s="168"/>
      <c r="T405" s="168"/>
      <c r="U405" s="168"/>
      <c r="V405" s="168"/>
      <c r="W405" s="168"/>
      <c r="X405" s="168"/>
      <c r="Y405" s="168"/>
    </row>
    <row r="406" ht="31.5" customHeight="1">
      <c r="A406" s="186"/>
      <c r="B406" s="186"/>
      <c r="C406" s="186"/>
      <c r="D406" s="186"/>
      <c r="E406" s="186"/>
      <c r="F406" s="186"/>
      <c r="G406" s="186"/>
      <c r="H406" s="186"/>
      <c r="I406" s="188"/>
      <c r="J406" s="188"/>
      <c r="K406" s="186"/>
      <c r="L406" s="189"/>
      <c r="M406" s="189"/>
      <c r="N406" s="189"/>
      <c r="O406" s="186"/>
      <c r="P406" s="186"/>
      <c r="Q406" s="168"/>
      <c r="R406" s="168"/>
      <c r="S406" s="168"/>
      <c r="T406" s="168"/>
      <c r="U406" s="168"/>
      <c r="V406" s="168"/>
      <c r="W406" s="168"/>
      <c r="X406" s="168"/>
      <c r="Y406" s="168"/>
    </row>
    <row r="407" ht="31.5" customHeight="1">
      <c r="A407" s="186"/>
      <c r="B407" s="186"/>
      <c r="C407" s="186"/>
      <c r="D407" s="186"/>
      <c r="E407" s="189"/>
      <c r="F407" s="186"/>
      <c r="G407" s="186"/>
      <c r="H407" s="189"/>
      <c r="I407" s="191"/>
      <c r="J407" s="191"/>
      <c r="K407" s="186"/>
      <c r="L407" s="189"/>
      <c r="M407" s="186"/>
      <c r="N407" s="189"/>
      <c r="O407" s="186"/>
      <c r="P407" s="186"/>
      <c r="Q407" s="168"/>
      <c r="R407" s="168"/>
      <c r="S407" s="168"/>
      <c r="T407" s="168"/>
      <c r="U407" s="168"/>
      <c r="V407" s="168"/>
      <c r="W407" s="168"/>
      <c r="X407" s="168"/>
      <c r="Y407" s="168"/>
    </row>
    <row r="408" ht="31.5" customHeight="1">
      <c r="A408" s="186"/>
      <c r="B408" s="187"/>
      <c r="C408" s="186"/>
      <c r="D408" s="186"/>
      <c r="E408" s="186"/>
      <c r="F408" s="186"/>
      <c r="G408" s="186"/>
      <c r="H408" s="186"/>
      <c r="I408" s="188"/>
      <c r="J408" s="188"/>
      <c r="K408" s="186"/>
      <c r="L408" s="186"/>
      <c r="M408" s="186"/>
      <c r="N408" s="189"/>
      <c r="O408" s="186"/>
      <c r="P408" s="186"/>
      <c r="Q408" s="168"/>
      <c r="R408" s="168"/>
      <c r="S408" s="168"/>
      <c r="T408" s="168"/>
      <c r="U408" s="168"/>
      <c r="V408" s="168"/>
      <c r="W408" s="168"/>
      <c r="X408" s="168"/>
      <c r="Y408" s="168"/>
    </row>
    <row r="409" ht="31.5" customHeight="1">
      <c r="A409" s="186"/>
      <c r="B409" s="186"/>
      <c r="C409" s="186"/>
      <c r="D409" s="186"/>
      <c r="E409" s="189"/>
      <c r="F409" s="186"/>
      <c r="G409" s="186"/>
      <c r="H409" s="189"/>
      <c r="I409" s="191"/>
      <c r="J409" s="191"/>
      <c r="K409" s="186"/>
      <c r="L409" s="189"/>
      <c r="M409" s="186"/>
      <c r="N409" s="189"/>
      <c r="O409" s="186"/>
      <c r="P409" s="186"/>
      <c r="Q409" s="168"/>
      <c r="R409" s="168"/>
      <c r="S409" s="168"/>
      <c r="T409" s="168"/>
      <c r="U409" s="168"/>
      <c r="V409" s="168"/>
      <c r="W409" s="168"/>
      <c r="X409" s="168"/>
      <c r="Y409" s="168"/>
    </row>
    <row r="410" ht="31.5" customHeight="1">
      <c r="A410" s="186"/>
      <c r="B410" s="186"/>
      <c r="C410" s="186"/>
      <c r="D410" s="186"/>
      <c r="E410" s="189"/>
      <c r="F410" s="186"/>
      <c r="G410" s="186"/>
      <c r="H410" s="189"/>
      <c r="I410" s="191"/>
      <c r="J410" s="191"/>
      <c r="K410" s="186"/>
      <c r="L410" s="189"/>
      <c r="M410" s="186"/>
      <c r="N410" s="189"/>
      <c r="O410" s="189"/>
      <c r="P410" s="201"/>
      <c r="Q410" s="148"/>
      <c r="R410" s="148"/>
      <c r="S410" s="148"/>
      <c r="T410" s="148"/>
      <c r="U410" s="148"/>
      <c r="V410" s="148"/>
      <c r="W410" s="148"/>
      <c r="X410" s="148"/>
      <c r="Y410" s="148"/>
    </row>
    <row r="411" ht="30.0" customHeight="1">
      <c r="A411" s="228"/>
      <c r="B411" s="190"/>
      <c r="C411" s="186"/>
      <c r="D411" s="186"/>
      <c r="E411" s="190"/>
      <c r="F411" s="186"/>
      <c r="G411" s="186"/>
      <c r="H411" s="190"/>
      <c r="I411" s="191"/>
      <c r="J411" s="191"/>
      <c r="K411" s="186"/>
      <c r="L411" s="190"/>
      <c r="M411" s="186"/>
      <c r="N411" s="190"/>
      <c r="O411" s="186"/>
      <c r="P411" s="186"/>
      <c r="Q411" s="168"/>
      <c r="R411" s="168"/>
      <c r="S411" s="168"/>
      <c r="T411" s="168"/>
      <c r="U411" s="168"/>
      <c r="V411" s="168"/>
      <c r="W411" s="168"/>
      <c r="X411" s="168"/>
      <c r="Y411" s="168"/>
    </row>
    <row r="412" ht="31.5" customHeight="1">
      <c r="A412" s="186"/>
      <c r="B412" s="187"/>
      <c r="C412" s="186"/>
      <c r="D412" s="186"/>
      <c r="E412" s="186"/>
      <c r="F412" s="186"/>
      <c r="G412" s="186"/>
      <c r="H412" s="186"/>
      <c r="I412" s="188"/>
      <c r="J412" s="188"/>
      <c r="K412" s="186"/>
      <c r="L412" s="190"/>
      <c r="M412" s="186"/>
      <c r="N412" s="189"/>
      <c r="O412" s="186"/>
      <c r="P412" s="186"/>
      <c r="Q412" s="168"/>
      <c r="R412" s="168"/>
      <c r="S412" s="168"/>
      <c r="T412" s="168"/>
      <c r="U412" s="168"/>
      <c r="V412" s="168"/>
      <c r="W412" s="168"/>
      <c r="X412" s="168"/>
      <c r="Y412" s="168"/>
    </row>
    <row r="413" ht="31.5" customHeight="1">
      <c r="A413" s="186"/>
      <c r="B413" s="187"/>
      <c r="C413" s="186"/>
      <c r="D413" s="186"/>
      <c r="E413" s="186"/>
      <c r="F413" s="186"/>
      <c r="G413" s="186"/>
      <c r="H413" s="186"/>
      <c r="I413" s="188"/>
      <c r="J413" s="188"/>
      <c r="K413" s="186"/>
      <c r="L413" s="190"/>
      <c r="M413" s="186"/>
      <c r="N413" s="189"/>
      <c r="O413" s="186"/>
      <c r="P413" s="186"/>
      <c r="Q413" s="168"/>
      <c r="R413" s="168"/>
      <c r="S413" s="168"/>
      <c r="T413" s="168"/>
      <c r="U413" s="168"/>
      <c r="V413" s="168"/>
      <c r="W413" s="168"/>
      <c r="X413" s="168"/>
      <c r="Y413" s="168"/>
    </row>
    <row r="414" ht="30.0" customHeight="1">
      <c r="A414" s="186"/>
      <c r="B414" s="187"/>
      <c r="C414" s="186"/>
      <c r="D414" s="186"/>
      <c r="E414" s="186"/>
      <c r="F414" s="186"/>
      <c r="G414" s="186"/>
      <c r="H414" s="186"/>
      <c r="I414" s="188"/>
      <c r="J414" s="188"/>
      <c r="K414" s="186"/>
      <c r="L414" s="190"/>
      <c r="M414" s="186"/>
      <c r="N414" s="189"/>
      <c r="O414" s="186"/>
      <c r="P414" s="186"/>
      <c r="Q414" s="168"/>
      <c r="R414" s="168"/>
      <c r="S414" s="168"/>
      <c r="T414" s="168"/>
      <c r="U414" s="168"/>
      <c r="V414" s="168"/>
      <c r="W414" s="168"/>
      <c r="X414" s="168"/>
      <c r="Y414" s="168"/>
    </row>
    <row r="415" ht="30.0" customHeight="1">
      <c r="A415" s="228"/>
      <c r="B415" s="187"/>
      <c r="C415" s="186"/>
      <c r="D415" s="186"/>
      <c r="E415" s="186"/>
      <c r="F415" s="186"/>
      <c r="G415" s="186"/>
      <c r="H415" s="186"/>
      <c r="I415" s="188"/>
      <c r="J415" s="188"/>
      <c r="K415" s="186"/>
      <c r="L415" s="190"/>
      <c r="M415" s="186"/>
      <c r="N415" s="189"/>
      <c r="O415" s="186"/>
      <c r="P415" s="186"/>
      <c r="Q415" s="168"/>
      <c r="R415" s="168"/>
      <c r="S415" s="168"/>
      <c r="T415" s="168"/>
      <c r="U415" s="168"/>
      <c r="V415" s="168"/>
      <c r="W415" s="168"/>
      <c r="X415" s="168"/>
      <c r="Y415" s="168"/>
    </row>
    <row r="416" ht="30.0" customHeight="1">
      <c r="A416" s="186"/>
      <c r="B416" s="186"/>
      <c r="C416" s="186"/>
      <c r="D416" s="186"/>
      <c r="E416" s="186"/>
      <c r="F416" s="186"/>
      <c r="G416" s="186"/>
      <c r="H416" s="186"/>
      <c r="I416" s="230"/>
      <c r="J416" s="188"/>
      <c r="K416" s="186"/>
      <c r="L416" s="186"/>
      <c r="M416" s="186"/>
      <c r="N416" s="189"/>
      <c r="O416" s="186"/>
      <c r="P416" s="186"/>
      <c r="Q416" s="168"/>
      <c r="R416" s="168"/>
      <c r="S416" s="168"/>
      <c r="T416" s="168"/>
      <c r="U416" s="168"/>
      <c r="V416" s="168"/>
      <c r="W416" s="168"/>
      <c r="X416" s="168"/>
      <c r="Y416" s="168"/>
    </row>
    <row r="417" ht="30.0" customHeight="1">
      <c r="A417" s="228"/>
      <c r="B417" s="226"/>
      <c r="C417" s="227"/>
      <c r="D417" s="186"/>
      <c r="E417" s="186"/>
      <c r="F417" s="186"/>
      <c r="G417" s="186"/>
      <c r="H417" s="186"/>
      <c r="I417" s="188"/>
      <c r="J417" s="188"/>
      <c r="K417" s="186"/>
      <c r="L417" s="186"/>
      <c r="M417" s="186"/>
      <c r="N417" s="189"/>
      <c r="O417" s="186"/>
      <c r="P417" s="186"/>
      <c r="Q417" s="168"/>
      <c r="R417" s="168"/>
      <c r="S417" s="168"/>
      <c r="T417" s="168"/>
      <c r="U417" s="168"/>
      <c r="V417" s="168"/>
      <c r="W417" s="168"/>
      <c r="X417" s="168"/>
      <c r="Y417" s="168"/>
    </row>
    <row r="418" ht="30.0" customHeight="1">
      <c r="A418" s="186"/>
      <c r="B418" s="186"/>
      <c r="C418" s="186"/>
      <c r="D418" s="186"/>
      <c r="E418" s="189"/>
      <c r="F418" s="186"/>
      <c r="G418" s="186"/>
      <c r="H418" s="189"/>
      <c r="I418" s="225"/>
      <c r="J418" s="191"/>
      <c r="K418" s="186"/>
      <c r="L418" s="189"/>
      <c r="M418" s="186"/>
      <c r="N418" s="189"/>
      <c r="O418" s="186"/>
      <c r="P418" s="186"/>
      <c r="Q418" s="168"/>
      <c r="R418" s="168"/>
      <c r="S418" s="168"/>
      <c r="T418" s="168"/>
      <c r="U418" s="168"/>
      <c r="V418" s="168"/>
      <c r="W418" s="168"/>
      <c r="X418" s="168"/>
      <c r="Y418" s="168"/>
    </row>
    <row r="419" ht="30.0" customHeight="1">
      <c r="A419" s="228"/>
      <c r="B419" s="187"/>
      <c r="C419" s="186"/>
      <c r="D419" s="186"/>
      <c r="E419" s="186"/>
      <c r="F419" s="186"/>
      <c r="G419" s="186"/>
      <c r="H419" s="186"/>
      <c r="I419" s="188"/>
      <c r="J419" s="188"/>
      <c r="K419" s="186"/>
      <c r="L419" s="190"/>
      <c r="M419" s="186"/>
      <c r="N419" s="189"/>
      <c r="O419" s="186"/>
      <c r="P419" s="186"/>
      <c r="Q419" s="168"/>
      <c r="R419" s="168"/>
      <c r="S419" s="168"/>
      <c r="T419" s="168"/>
      <c r="U419" s="168"/>
      <c r="V419" s="168"/>
      <c r="W419" s="168"/>
      <c r="X419" s="168"/>
      <c r="Y419" s="168"/>
    </row>
    <row r="420" ht="30.0" customHeight="1">
      <c r="A420" s="186"/>
      <c r="B420" s="186"/>
      <c r="C420" s="186"/>
      <c r="D420" s="186"/>
      <c r="E420" s="189"/>
      <c r="F420" s="186"/>
      <c r="G420" s="186"/>
      <c r="H420" s="189"/>
      <c r="I420" s="225"/>
      <c r="J420" s="191"/>
      <c r="K420" s="186"/>
      <c r="L420" s="189"/>
      <c r="M420" s="186"/>
      <c r="N420" s="189"/>
      <c r="O420" s="186"/>
      <c r="P420" s="186"/>
      <c r="Q420" s="168"/>
      <c r="R420" s="168"/>
      <c r="S420" s="168"/>
      <c r="T420" s="168"/>
      <c r="U420" s="168"/>
      <c r="V420" s="168"/>
      <c r="W420" s="168"/>
      <c r="X420" s="168"/>
      <c r="Y420" s="168"/>
    </row>
    <row r="421" ht="30.0" customHeight="1">
      <c r="A421" s="228"/>
      <c r="B421" s="187"/>
      <c r="C421" s="186"/>
      <c r="D421" s="186"/>
      <c r="E421" s="186"/>
      <c r="F421" s="186"/>
      <c r="G421" s="186"/>
      <c r="H421" s="186"/>
      <c r="I421" s="188"/>
      <c r="J421" s="188"/>
      <c r="K421" s="186"/>
      <c r="L421" s="186"/>
      <c r="M421" s="186"/>
      <c r="N421" s="189"/>
      <c r="O421" s="186"/>
      <c r="P421" s="201"/>
      <c r="Q421" s="148"/>
      <c r="R421" s="148"/>
      <c r="S421" s="148"/>
      <c r="T421" s="148"/>
      <c r="U421" s="148"/>
      <c r="V421" s="148"/>
      <c r="W421" s="148"/>
      <c r="X421" s="148"/>
      <c r="Y421" s="148"/>
    </row>
    <row r="422" ht="30.0" customHeight="1"/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</row>
    <row r="1050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</row>
    <row r="105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</row>
    <row r="105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</row>
    <row r="1053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</row>
    <row r="1054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</row>
    <row r="105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</row>
    <row r="105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</row>
    <row r="1057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</row>
    <row r="1058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</row>
    <row r="1059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</row>
    <row r="1060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</row>
    <row r="106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</row>
    <row r="1062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</row>
    <row r="1063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</row>
    <row r="1064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</row>
    <row r="106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</row>
    <row r="106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</row>
    <row r="1067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</row>
    <row r="1068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</row>
    <row r="1069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</row>
    <row r="1070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</row>
    <row r="107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</row>
    <row r="1072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</row>
    <row r="1073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</row>
    <row r="1074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</row>
    <row r="1075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</row>
    <row r="1076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</row>
    <row r="1077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</row>
    <row r="1078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</row>
    <row r="1079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</row>
    <row r="1080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</row>
    <row r="1081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</row>
    <row r="1082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</row>
    <row r="1083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</row>
    <row r="1084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</row>
    <row r="1085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</row>
    <row r="1086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</row>
    <row r="1087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</row>
    <row r="1088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</row>
    <row r="1089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</row>
    <row r="1090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</row>
    <row r="1091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</row>
    <row r="1092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</row>
    <row r="1093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</row>
    <row r="1094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</row>
    <row r="1095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</row>
    <row r="1096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</row>
    <row r="1097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</row>
    <row r="1098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</row>
    <row r="1099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</row>
    <row r="1100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</row>
    <row r="110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</row>
    <row r="1102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</row>
    <row r="1103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</row>
    <row r="1104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</row>
    <row r="1105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</row>
    <row r="1106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</row>
    <row r="1107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</row>
    <row r="1108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</row>
    <row r="1109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</row>
    <row r="1110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</row>
    <row r="1111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</row>
    <row r="1112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</row>
    <row r="1113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</row>
    <row r="1114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</row>
    <row r="1115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</row>
    <row r="1116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</row>
    <row r="1117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</row>
    <row r="1118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</row>
    <row r="1119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</row>
    <row r="1120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</row>
    <row r="1121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</row>
    <row r="1122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</row>
    <row r="1123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</row>
    <row r="1124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</row>
    <row r="1125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</row>
    <row r="1126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</row>
    <row r="1127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</row>
    <row r="1128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</row>
    <row r="1129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</row>
    <row r="1130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</row>
    <row r="1131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</row>
    <row r="1132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</row>
    <row r="1133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</row>
    <row r="1134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</row>
    <row r="1135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</row>
    <row r="1136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</row>
    <row r="1137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</row>
    <row r="1138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</row>
    <row r="1139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</row>
    <row r="1140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</row>
    <row r="1141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</row>
    <row r="1142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</row>
    <row r="1143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</row>
    <row r="1144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</row>
    <row r="1145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</row>
    <row r="1146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</row>
    <row r="1147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</row>
    <row r="1148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</row>
    <row r="1149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</row>
    <row r="1150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</row>
    <row r="115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</row>
    <row r="1152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</row>
    <row r="1153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</row>
    <row r="1154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</row>
    <row r="1155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</row>
    <row r="1156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</row>
    <row r="1157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</row>
    <row r="1158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</row>
    <row r="1159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</row>
    <row r="1160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</row>
    <row r="116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</row>
    <row r="1162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</row>
    <row r="1163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</row>
    <row r="1164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</row>
    <row r="1165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</row>
    <row r="1166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</row>
    <row r="1167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</row>
    <row r="1168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</row>
    <row r="1169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</row>
    <row r="1170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</row>
    <row r="1171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</row>
    <row r="1172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</row>
    <row r="1173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</row>
    <row r="1174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</row>
    <row r="1175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</row>
    <row r="1176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</row>
    <row r="1177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</row>
    <row r="1178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</row>
    <row r="1179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</row>
    <row r="1180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</row>
    <row r="1181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</row>
    <row r="1182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</row>
    <row r="1183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</row>
    <row r="1184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</row>
    <row r="1185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</row>
    <row r="1186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</row>
    <row r="1187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</row>
    <row r="1188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</row>
    <row r="1189">
      <c r="A1189" s="192"/>
      <c r="B1189" s="192"/>
      <c r="C1189" s="192"/>
      <c r="D1189" s="192"/>
      <c r="E1189" s="192"/>
      <c r="F1189" s="192"/>
      <c r="G1189" s="192"/>
      <c r="H1189" s="192"/>
      <c r="I1189" s="192"/>
      <c r="J1189" s="192"/>
      <c r="K1189" s="192"/>
      <c r="L1189" s="192"/>
      <c r="M1189" s="192"/>
      <c r="N1189" s="192"/>
      <c r="O1189" s="192"/>
      <c r="P1189" s="192"/>
      <c r="Q1189" s="192"/>
      <c r="R1189" s="192"/>
      <c r="S1189" s="192"/>
      <c r="T1189" s="192"/>
      <c r="U1189" s="192"/>
      <c r="V1189" s="192"/>
      <c r="W1189" s="192"/>
      <c r="X1189" s="192"/>
      <c r="Y1189" s="192"/>
    </row>
    <row r="1190">
      <c r="A1190" s="192"/>
      <c r="B1190" s="192"/>
      <c r="C1190" s="192"/>
      <c r="D1190" s="192"/>
      <c r="E1190" s="192"/>
      <c r="F1190" s="192"/>
      <c r="G1190" s="192"/>
      <c r="H1190" s="192"/>
      <c r="I1190" s="192"/>
      <c r="J1190" s="192"/>
      <c r="K1190" s="192"/>
      <c r="L1190" s="192"/>
      <c r="M1190" s="192"/>
      <c r="N1190" s="192"/>
      <c r="O1190" s="192"/>
      <c r="P1190" s="192"/>
      <c r="Q1190" s="192"/>
      <c r="R1190" s="192"/>
      <c r="S1190" s="192"/>
      <c r="T1190" s="192"/>
      <c r="U1190" s="192"/>
      <c r="V1190" s="192"/>
      <c r="W1190" s="192"/>
      <c r="X1190" s="192"/>
      <c r="Y1190" s="192"/>
    </row>
    <row r="1191">
      <c r="A1191" s="192"/>
      <c r="B1191" s="192"/>
      <c r="C1191" s="192"/>
      <c r="D1191" s="192"/>
      <c r="E1191" s="192"/>
      <c r="F1191" s="192"/>
      <c r="G1191" s="192"/>
      <c r="H1191" s="192"/>
      <c r="I1191" s="192"/>
      <c r="J1191" s="192"/>
      <c r="K1191" s="192"/>
      <c r="L1191" s="192"/>
      <c r="M1191" s="192"/>
      <c r="N1191" s="192"/>
      <c r="O1191" s="192"/>
      <c r="P1191" s="192"/>
      <c r="Q1191" s="192"/>
      <c r="R1191" s="192"/>
      <c r="S1191" s="192"/>
      <c r="T1191" s="192"/>
      <c r="U1191" s="192"/>
      <c r="V1191" s="192"/>
      <c r="W1191" s="192"/>
      <c r="X1191" s="192"/>
      <c r="Y1191" s="192"/>
    </row>
    <row r="1192">
      <c r="A1192" s="192"/>
      <c r="B1192" s="192"/>
      <c r="C1192" s="192"/>
      <c r="D1192" s="192"/>
      <c r="E1192" s="192"/>
      <c r="F1192" s="192"/>
      <c r="G1192" s="192"/>
      <c r="H1192" s="192"/>
      <c r="I1192" s="192"/>
      <c r="J1192" s="192"/>
      <c r="K1192" s="192"/>
      <c r="L1192" s="192"/>
      <c r="M1192" s="192"/>
      <c r="N1192" s="192"/>
      <c r="O1192" s="192"/>
      <c r="P1192" s="192"/>
      <c r="Q1192" s="192"/>
      <c r="R1192" s="192"/>
      <c r="S1192" s="192"/>
      <c r="T1192" s="192"/>
      <c r="U1192" s="192"/>
      <c r="V1192" s="192"/>
      <c r="W1192" s="192"/>
      <c r="X1192" s="192"/>
      <c r="Y1192" s="192"/>
    </row>
    <row r="1193">
      <c r="A1193" s="192"/>
      <c r="B1193" s="192"/>
      <c r="C1193" s="192"/>
      <c r="D1193" s="192"/>
      <c r="E1193" s="192"/>
      <c r="F1193" s="192"/>
      <c r="G1193" s="192"/>
      <c r="H1193" s="192"/>
      <c r="I1193" s="192"/>
      <c r="J1193" s="192"/>
      <c r="K1193" s="192"/>
      <c r="L1193" s="192"/>
      <c r="M1193" s="192"/>
      <c r="N1193" s="192"/>
      <c r="O1193" s="192"/>
      <c r="P1193" s="192"/>
      <c r="Q1193" s="192"/>
      <c r="R1193" s="192"/>
      <c r="S1193" s="192"/>
      <c r="T1193" s="192"/>
      <c r="U1193" s="192"/>
      <c r="V1193" s="192"/>
      <c r="W1193" s="192"/>
      <c r="X1193" s="192"/>
      <c r="Y1193" s="192"/>
    </row>
    <row r="1194">
      <c r="A1194" s="192"/>
      <c r="B1194" s="192"/>
      <c r="C1194" s="192"/>
      <c r="D1194" s="192"/>
      <c r="E1194" s="192"/>
      <c r="F1194" s="192"/>
      <c r="G1194" s="192"/>
      <c r="H1194" s="192"/>
      <c r="I1194" s="192"/>
      <c r="J1194" s="192"/>
      <c r="K1194" s="192"/>
      <c r="L1194" s="192"/>
      <c r="M1194" s="192"/>
      <c r="N1194" s="192"/>
      <c r="O1194" s="192"/>
      <c r="P1194" s="192"/>
      <c r="Q1194" s="192"/>
      <c r="R1194" s="192"/>
      <c r="S1194" s="192"/>
      <c r="T1194" s="192"/>
      <c r="U1194" s="192"/>
      <c r="V1194" s="192"/>
      <c r="W1194" s="192"/>
      <c r="X1194" s="192"/>
      <c r="Y1194" s="192"/>
    </row>
    <row r="1195">
      <c r="A1195" s="192"/>
      <c r="B1195" s="192"/>
      <c r="C1195" s="192"/>
      <c r="D1195" s="192"/>
      <c r="E1195" s="192"/>
      <c r="F1195" s="192"/>
      <c r="G1195" s="192"/>
      <c r="H1195" s="192"/>
      <c r="I1195" s="192"/>
      <c r="J1195" s="192"/>
      <c r="K1195" s="192"/>
      <c r="L1195" s="192"/>
      <c r="M1195" s="192"/>
      <c r="N1195" s="192"/>
      <c r="O1195" s="192"/>
      <c r="P1195" s="192"/>
      <c r="Q1195" s="192"/>
      <c r="R1195" s="192"/>
      <c r="S1195" s="192"/>
      <c r="T1195" s="192"/>
      <c r="U1195" s="192"/>
      <c r="V1195" s="192"/>
      <c r="W1195" s="192"/>
      <c r="X1195" s="192"/>
      <c r="Y1195" s="192"/>
    </row>
    <row r="1196">
      <c r="A1196" s="192"/>
      <c r="B1196" s="192"/>
      <c r="C1196" s="192"/>
      <c r="D1196" s="192"/>
      <c r="E1196" s="192"/>
      <c r="F1196" s="192"/>
      <c r="G1196" s="192"/>
      <c r="H1196" s="192"/>
      <c r="I1196" s="192"/>
      <c r="J1196" s="192"/>
      <c r="K1196" s="192"/>
      <c r="L1196" s="192"/>
      <c r="M1196" s="192"/>
      <c r="N1196" s="192"/>
      <c r="O1196" s="192"/>
      <c r="P1196" s="192"/>
      <c r="Q1196" s="192"/>
      <c r="R1196" s="192"/>
      <c r="S1196" s="192"/>
      <c r="T1196" s="192"/>
      <c r="U1196" s="192"/>
      <c r="V1196" s="192"/>
      <c r="W1196" s="192"/>
      <c r="X1196" s="192"/>
      <c r="Y1196" s="192"/>
    </row>
    <row r="1197">
      <c r="A1197" s="192"/>
      <c r="B1197" s="192"/>
      <c r="C1197" s="192"/>
      <c r="D1197" s="192"/>
      <c r="E1197" s="192"/>
      <c r="F1197" s="192"/>
      <c r="G1197" s="192"/>
      <c r="H1197" s="192"/>
      <c r="I1197" s="192"/>
      <c r="J1197" s="192"/>
      <c r="K1197" s="192"/>
      <c r="L1197" s="192"/>
      <c r="M1197" s="192"/>
      <c r="N1197" s="192"/>
      <c r="O1197" s="192"/>
      <c r="P1197" s="192"/>
      <c r="Q1197" s="192"/>
      <c r="R1197" s="192"/>
      <c r="S1197" s="192"/>
      <c r="T1197" s="192"/>
      <c r="U1197" s="192"/>
      <c r="V1197" s="192"/>
      <c r="W1197" s="192"/>
      <c r="X1197" s="192"/>
      <c r="Y1197" s="192"/>
    </row>
    <row r="1198">
      <c r="A1198" s="192"/>
      <c r="B1198" s="192"/>
      <c r="C1198" s="192"/>
      <c r="D1198" s="192"/>
      <c r="E1198" s="192"/>
      <c r="F1198" s="192"/>
      <c r="G1198" s="192"/>
      <c r="H1198" s="192"/>
      <c r="I1198" s="192"/>
      <c r="J1198" s="192"/>
      <c r="K1198" s="192"/>
      <c r="L1198" s="192"/>
      <c r="M1198" s="192"/>
      <c r="N1198" s="192"/>
      <c r="O1198" s="192"/>
      <c r="P1198" s="192"/>
      <c r="Q1198" s="192"/>
      <c r="R1198" s="192"/>
      <c r="S1198" s="192"/>
      <c r="T1198" s="192"/>
      <c r="U1198" s="192"/>
      <c r="V1198" s="192"/>
      <c r="W1198" s="192"/>
      <c r="X1198" s="192"/>
      <c r="Y1198" s="192"/>
    </row>
    <row r="1199">
      <c r="A1199" s="192"/>
      <c r="B1199" s="192"/>
      <c r="C1199" s="192"/>
      <c r="D1199" s="192"/>
      <c r="E1199" s="192"/>
      <c r="F1199" s="192"/>
      <c r="G1199" s="192"/>
      <c r="H1199" s="192"/>
      <c r="I1199" s="192"/>
      <c r="J1199" s="192"/>
      <c r="K1199" s="192"/>
      <c r="L1199" s="192"/>
      <c r="M1199" s="192"/>
      <c r="N1199" s="192"/>
      <c r="O1199" s="192"/>
      <c r="P1199" s="192"/>
      <c r="Q1199" s="192"/>
      <c r="R1199" s="192"/>
      <c r="S1199" s="192"/>
      <c r="T1199" s="192"/>
      <c r="U1199" s="192"/>
      <c r="V1199" s="192"/>
      <c r="W1199" s="192"/>
      <c r="X1199" s="192"/>
      <c r="Y1199" s="192"/>
    </row>
    <row r="1200">
      <c r="A1200" s="192"/>
      <c r="B1200" s="192"/>
      <c r="C1200" s="192"/>
      <c r="D1200" s="192"/>
      <c r="E1200" s="192"/>
      <c r="F1200" s="192"/>
      <c r="G1200" s="192"/>
      <c r="H1200" s="192"/>
      <c r="I1200" s="192"/>
      <c r="J1200" s="192"/>
      <c r="K1200" s="192"/>
      <c r="L1200" s="192"/>
      <c r="M1200" s="192"/>
      <c r="N1200" s="192"/>
      <c r="O1200" s="192"/>
      <c r="P1200" s="192"/>
      <c r="Q1200" s="192"/>
      <c r="R1200" s="192"/>
      <c r="S1200" s="192"/>
      <c r="T1200" s="192"/>
      <c r="U1200" s="192"/>
      <c r="V1200" s="192"/>
      <c r="W1200" s="192"/>
      <c r="X1200" s="192"/>
      <c r="Y1200" s="192"/>
    </row>
    <row r="1201">
      <c r="A1201" s="192"/>
      <c r="B1201" s="192"/>
      <c r="C1201" s="192"/>
      <c r="D1201" s="192"/>
      <c r="E1201" s="192"/>
      <c r="F1201" s="192"/>
      <c r="G1201" s="192"/>
      <c r="H1201" s="192"/>
      <c r="I1201" s="192"/>
      <c r="J1201" s="192"/>
      <c r="K1201" s="192"/>
      <c r="L1201" s="192"/>
      <c r="M1201" s="192"/>
      <c r="N1201" s="192"/>
      <c r="O1201" s="192"/>
      <c r="P1201" s="192"/>
      <c r="Q1201" s="192"/>
      <c r="R1201" s="192"/>
      <c r="S1201" s="192"/>
      <c r="T1201" s="192"/>
      <c r="U1201" s="192"/>
      <c r="V1201" s="192"/>
      <c r="W1201" s="192"/>
      <c r="X1201" s="192"/>
      <c r="Y1201" s="192"/>
    </row>
    <row r="1202">
      <c r="A1202" s="192"/>
      <c r="B1202" s="192"/>
      <c r="C1202" s="192"/>
      <c r="D1202" s="192"/>
      <c r="E1202" s="192"/>
      <c r="F1202" s="192"/>
      <c r="G1202" s="192"/>
      <c r="H1202" s="192"/>
      <c r="I1202" s="192"/>
      <c r="J1202" s="192"/>
      <c r="K1202" s="192"/>
      <c r="L1202" s="192"/>
      <c r="M1202" s="192"/>
      <c r="N1202" s="192"/>
      <c r="O1202" s="192"/>
      <c r="P1202" s="192"/>
      <c r="Q1202" s="192"/>
      <c r="R1202" s="192"/>
      <c r="S1202" s="192"/>
      <c r="T1202" s="192"/>
      <c r="U1202" s="192"/>
      <c r="V1202" s="192"/>
      <c r="W1202" s="192"/>
      <c r="X1202" s="192"/>
      <c r="Y1202" s="192"/>
    </row>
    <row r="1203">
      <c r="A1203" s="192"/>
      <c r="B1203" s="192"/>
      <c r="C1203" s="192"/>
      <c r="D1203" s="192"/>
      <c r="E1203" s="192"/>
      <c r="F1203" s="192"/>
      <c r="G1203" s="192"/>
      <c r="H1203" s="192"/>
      <c r="I1203" s="192"/>
      <c r="J1203" s="192"/>
      <c r="K1203" s="192"/>
      <c r="L1203" s="192"/>
      <c r="M1203" s="192"/>
      <c r="N1203" s="192"/>
      <c r="O1203" s="192"/>
      <c r="P1203" s="192"/>
      <c r="Q1203" s="192"/>
      <c r="R1203" s="192"/>
      <c r="S1203" s="192"/>
      <c r="T1203" s="192"/>
      <c r="U1203" s="192"/>
      <c r="V1203" s="192"/>
      <c r="W1203" s="192"/>
      <c r="X1203" s="192"/>
      <c r="Y1203" s="192"/>
    </row>
    <row r="1204">
      <c r="A1204" s="192"/>
      <c r="B1204" s="192"/>
      <c r="C1204" s="192"/>
      <c r="D1204" s="192"/>
      <c r="E1204" s="192"/>
      <c r="F1204" s="192"/>
      <c r="G1204" s="192"/>
      <c r="H1204" s="192"/>
      <c r="I1204" s="192"/>
      <c r="J1204" s="192"/>
      <c r="K1204" s="192"/>
      <c r="L1204" s="192"/>
      <c r="M1204" s="192"/>
      <c r="N1204" s="192"/>
      <c r="O1204" s="192"/>
      <c r="P1204" s="192"/>
      <c r="Q1204" s="192"/>
      <c r="R1204" s="192"/>
      <c r="S1204" s="192"/>
      <c r="T1204" s="192"/>
      <c r="U1204" s="192"/>
      <c r="V1204" s="192"/>
      <c r="W1204" s="192"/>
      <c r="X1204" s="192"/>
      <c r="Y1204" s="192"/>
    </row>
    <row r="1205">
      <c r="A1205" s="192"/>
      <c r="B1205" s="192"/>
      <c r="C1205" s="192"/>
      <c r="D1205" s="192"/>
      <c r="E1205" s="192"/>
      <c r="F1205" s="192"/>
      <c r="G1205" s="192"/>
      <c r="H1205" s="192"/>
      <c r="I1205" s="192"/>
      <c r="J1205" s="192"/>
      <c r="K1205" s="192"/>
      <c r="L1205" s="192"/>
      <c r="M1205" s="192"/>
      <c r="N1205" s="192"/>
      <c r="O1205" s="192"/>
      <c r="P1205" s="192"/>
      <c r="Q1205" s="192"/>
      <c r="R1205" s="192"/>
      <c r="S1205" s="192"/>
      <c r="T1205" s="192"/>
      <c r="U1205" s="192"/>
      <c r="V1205" s="192"/>
      <c r="W1205" s="192"/>
      <c r="X1205" s="192"/>
      <c r="Y1205" s="192"/>
    </row>
    <row r="1206">
      <c r="A1206" s="192"/>
      <c r="B1206" s="192"/>
      <c r="C1206" s="192"/>
      <c r="D1206" s="192"/>
      <c r="E1206" s="192"/>
      <c r="F1206" s="192"/>
      <c r="G1206" s="192"/>
      <c r="H1206" s="192"/>
      <c r="I1206" s="192"/>
      <c r="J1206" s="192"/>
      <c r="K1206" s="192"/>
      <c r="L1206" s="192"/>
      <c r="M1206" s="192"/>
      <c r="N1206" s="192"/>
      <c r="O1206" s="192"/>
      <c r="P1206" s="192"/>
      <c r="Q1206" s="192"/>
      <c r="R1206" s="192"/>
      <c r="S1206" s="192"/>
      <c r="T1206" s="192"/>
      <c r="U1206" s="192"/>
      <c r="V1206" s="192"/>
      <c r="W1206" s="192"/>
      <c r="X1206" s="192"/>
      <c r="Y1206" s="192"/>
    </row>
    <row r="1207">
      <c r="A1207" s="192"/>
      <c r="B1207" s="192"/>
      <c r="C1207" s="192"/>
      <c r="D1207" s="192"/>
      <c r="E1207" s="192"/>
      <c r="F1207" s="192"/>
      <c r="G1207" s="192"/>
      <c r="H1207" s="192"/>
      <c r="I1207" s="192"/>
      <c r="J1207" s="192"/>
      <c r="K1207" s="192"/>
      <c r="L1207" s="192"/>
      <c r="M1207" s="192"/>
      <c r="N1207" s="192"/>
      <c r="O1207" s="192"/>
      <c r="P1207" s="192"/>
      <c r="Q1207" s="192"/>
      <c r="R1207" s="192"/>
      <c r="S1207" s="192"/>
      <c r="T1207" s="192"/>
      <c r="U1207" s="192"/>
      <c r="V1207" s="192"/>
      <c r="W1207" s="192"/>
      <c r="X1207" s="192"/>
      <c r="Y1207" s="192"/>
    </row>
    <row r="1208">
      <c r="A1208" s="192"/>
      <c r="B1208" s="192"/>
      <c r="C1208" s="192"/>
      <c r="D1208" s="192"/>
      <c r="E1208" s="192"/>
      <c r="F1208" s="192"/>
      <c r="G1208" s="192"/>
      <c r="H1208" s="192"/>
      <c r="I1208" s="192"/>
      <c r="J1208" s="192"/>
      <c r="K1208" s="192"/>
      <c r="L1208" s="192"/>
      <c r="M1208" s="192"/>
      <c r="N1208" s="192"/>
      <c r="O1208" s="192"/>
      <c r="P1208" s="192"/>
      <c r="Q1208" s="192"/>
      <c r="R1208" s="192"/>
      <c r="S1208" s="192"/>
      <c r="T1208" s="192"/>
      <c r="U1208" s="192"/>
      <c r="V1208" s="192"/>
      <c r="W1208" s="192"/>
      <c r="X1208" s="192"/>
      <c r="Y1208" s="192"/>
    </row>
    <row r="1209">
      <c r="A1209" s="192"/>
      <c r="B1209" s="192"/>
      <c r="C1209" s="192"/>
      <c r="D1209" s="192"/>
      <c r="E1209" s="192"/>
      <c r="F1209" s="192"/>
      <c r="G1209" s="192"/>
      <c r="H1209" s="192"/>
      <c r="I1209" s="192"/>
      <c r="J1209" s="192"/>
      <c r="K1209" s="192"/>
      <c r="L1209" s="192"/>
      <c r="M1209" s="192"/>
      <c r="N1209" s="192"/>
      <c r="O1209" s="192"/>
      <c r="P1209" s="192"/>
      <c r="Q1209" s="192"/>
      <c r="R1209" s="192"/>
      <c r="S1209" s="192"/>
      <c r="T1209" s="192"/>
      <c r="U1209" s="192"/>
      <c r="V1209" s="192"/>
      <c r="W1209" s="192"/>
      <c r="X1209" s="192"/>
      <c r="Y1209" s="192"/>
    </row>
    <row r="1210">
      <c r="A1210" s="192"/>
      <c r="B1210" s="192"/>
      <c r="C1210" s="192"/>
      <c r="D1210" s="192"/>
      <c r="E1210" s="192"/>
      <c r="F1210" s="192"/>
      <c r="G1210" s="192"/>
      <c r="H1210" s="192"/>
      <c r="I1210" s="192"/>
      <c r="J1210" s="192"/>
      <c r="K1210" s="192"/>
      <c r="L1210" s="192"/>
      <c r="M1210" s="192"/>
      <c r="N1210" s="192"/>
      <c r="O1210" s="192"/>
      <c r="P1210" s="192"/>
      <c r="Q1210" s="192"/>
      <c r="R1210" s="192"/>
      <c r="S1210" s="192"/>
      <c r="T1210" s="192"/>
      <c r="U1210" s="192"/>
      <c r="V1210" s="192"/>
      <c r="W1210" s="192"/>
      <c r="X1210" s="192"/>
      <c r="Y1210" s="192"/>
    </row>
    <row r="1211">
      <c r="A1211" s="192"/>
      <c r="B1211" s="192"/>
      <c r="C1211" s="192"/>
      <c r="D1211" s="192"/>
      <c r="E1211" s="192"/>
      <c r="F1211" s="192"/>
      <c r="G1211" s="192"/>
      <c r="H1211" s="192"/>
      <c r="I1211" s="192"/>
      <c r="J1211" s="192"/>
      <c r="K1211" s="192"/>
      <c r="L1211" s="192"/>
      <c r="M1211" s="192"/>
      <c r="N1211" s="192"/>
      <c r="O1211" s="192"/>
      <c r="P1211" s="192"/>
      <c r="Q1211" s="192"/>
      <c r="R1211" s="192"/>
      <c r="S1211" s="192"/>
      <c r="T1211" s="192"/>
      <c r="U1211" s="192"/>
      <c r="V1211" s="192"/>
      <c r="W1211" s="192"/>
      <c r="X1211" s="192"/>
      <c r="Y1211" s="192"/>
    </row>
    <row r="1212">
      <c r="A1212" s="192"/>
      <c r="B1212" s="192"/>
      <c r="C1212" s="192"/>
      <c r="D1212" s="192"/>
      <c r="E1212" s="192"/>
      <c r="F1212" s="192"/>
      <c r="G1212" s="192"/>
      <c r="H1212" s="192"/>
      <c r="I1212" s="192"/>
      <c r="J1212" s="192"/>
      <c r="K1212" s="192"/>
      <c r="L1212" s="192"/>
      <c r="M1212" s="192"/>
      <c r="N1212" s="192"/>
      <c r="O1212" s="192"/>
      <c r="P1212" s="192"/>
      <c r="Q1212" s="192"/>
      <c r="R1212" s="192"/>
      <c r="S1212" s="192"/>
      <c r="T1212" s="192"/>
      <c r="U1212" s="192"/>
      <c r="V1212" s="192"/>
      <c r="W1212" s="192"/>
      <c r="X1212" s="192"/>
      <c r="Y1212" s="192"/>
    </row>
    <row r="1213">
      <c r="A1213" s="192"/>
      <c r="B1213" s="192"/>
      <c r="C1213" s="192"/>
      <c r="D1213" s="192"/>
      <c r="E1213" s="192"/>
      <c r="F1213" s="192"/>
      <c r="G1213" s="192"/>
      <c r="H1213" s="192"/>
      <c r="I1213" s="192"/>
      <c r="J1213" s="192"/>
      <c r="K1213" s="192"/>
      <c r="L1213" s="192"/>
      <c r="M1213" s="192"/>
      <c r="N1213" s="192"/>
      <c r="O1213" s="192"/>
      <c r="P1213" s="192"/>
      <c r="Q1213" s="192"/>
      <c r="R1213" s="192"/>
      <c r="S1213" s="192"/>
      <c r="T1213" s="192"/>
      <c r="U1213" s="192"/>
      <c r="V1213" s="192"/>
      <c r="W1213" s="192"/>
      <c r="X1213" s="192"/>
      <c r="Y1213" s="192"/>
    </row>
    <row r="1214">
      <c r="A1214" s="192"/>
      <c r="B1214" s="192"/>
      <c r="C1214" s="192"/>
      <c r="D1214" s="192"/>
      <c r="E1214" s="192"/>
      <c r="F1214" s="192"/>
      <c r="G1214" s="192"/>
      <c r="H1214" s="192"/>
      <c r="I1214" s="192"/>
      <c r="J1214" s="192"/>
      <c r="K1214" s="192"/>
      <c r="L1214" s="192"/>
      <c r="M1214" s="192"/>
      <c r="N1214" s="192"/>
      <c r="O1214" s="192"/>
      <c r="P1214" s="192"/>
      <c r="Q1214" s="192"/>
      <c r="R1214" s="192"/>
      <c r="S1214" s="192"/>
      <c r="T1214" s="192"/>
      <c r="U1214" s="192"/>
      <c r="V1214" s="192"/>
      <c r="W1214" s="192"/>
      <c r="X1214" s="192"/>
      <c r="Y1214" s="192"/>
    </row>
  </sheetData>
  <mergeCells count="19">
    <mergeCell ref="A1:P1"/>
    <mergeCell ref="A2:P2"/>
    <mergeCell ref="A3:D3"/>
    <mergeCell ref="E3:G3"/>
    <mergeCell ref="H3:P3"/>
    <mergeCell ref="A4:P4"/>
    <mergeCell ref="A5:P5"/>
    <mergeCell ref="H6:J6"/>
    <mergeCell ref="K6:N6"/>
    <mergeCell ref="O6:O7"/>
    <mergeCell ref="P6:P7"/>
    <mergeCell ref="A6:A7"/>
    <mergeCell ref="B6:B7"/>
    <mergeCell ref="C6:C7"/>
    <mergeCell ref="D6:D7"/>
    <mergeCell ref="E6:E7"/>
    <mergeCell ref="F6:F7"/>
    <mergeCell ref="G6:G7"/>
    <mergeCell ref="A18:O18"/>
  </mergeCells>
  <dataValidations>
    <dataValidation type="list" allowBlank="1" showErrorMessage="1" sqref="P60:Y60 P197:Y197 P258:Y258">
      <formula1>"SERVED,ONGOING,CLEARED OUT,HOLDING CENTER"</formula1>
    </dataValidation>
    <dataValidation type="list" allowBlank="1" sqref="F8:F17 F19:F345 F349">
      <formula1>SUMMARY!$E$10:$E$19</formula1>
    </dataValidation>
    <dataValidation type="list" allowBlank="1" showErrorMessage="1" sqref="B8:B17 B19:B421">
      <formula1>"1CL,2CL,3CL,4CL,2LT"</formula1>
    </dataValidation>
    <dataValidation type="custom" allowBlank="1" showDropDown="1" sqref="E3 H3 Q3:Y3 I8:J17 I19:J163 I165:J421">
      <formula1>OR(NOT(ISERROR(DATEVALUE(E3))), AND(ISNUMBER(E3), LEFT(CELL("format", E3))="D"))</formula1>
    </dataValidation>
    <dataValidation type="list" allowBlank="1" showErrorMessage="1" sqref="E8:E17 E19:E421">
      <formula1>"I,II,III,IV"</formula1>
    </dataValidation>
    <dataValidation type="list" allowBlank="1" showDropDown="1" showErrorMessage="1" sqref="H8:H17 H19:H421">
      <formula1>"Yes,No"</formula1>
    </dataValidation>
    <dataValidation type="list" allowBlank="1" showErrorMessage="1" sqref="P8:Y17 P19:Y59 P61:Y196 P198:Y257 P259:Y345 P349:Y349">
      <formula1>"SERVED,ONGOING,CONFINED,ONGOING/CONFINED,CLEARED OUT"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9.13"/>
    <col customWidth="1" min="3" max="3" width="13.0"/>
    <col customWidth="1" hidden="1" min="4" max="4" width="101.5"/>
    <col customWidth="1" hidden="1" min="5" max="5" width="10.25"/>
    <col customWidth="1" hidden="1" min="6" max="6" width="33.13"/>
    <col hidden="1" min="7" max="7" width="12.63"/>
    <col customWidth="1" min="15" max="15" width="16.5"/>
    <col customWidth="1" min="16" max="26" width="16.25"/>
  </cols>
  <sheetData>
    <row r="1">
      <c r="A1" s="231" t="s">
        <v>227</v>
      </c>
      <c r="Q1" s="231"/>
      <c r="R1" s="231"/>
      <c r="S1" s="231"/>
      <c r="T1" s="231"/>
      <c r="U1" s="231"/>
      <c r="V1" s="231"/>
      <c r="W1" s="231"/>
      <c r="X1" s="231"/>
      <c r="Y1" s="231"/>
      <c r="Z1" s="231"/>
    </row>
    <row r="2">
      <c r="A2" s="232" t="s">
        <v>228</v>
      </c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>
      <c r="A3" s="234" t="s">
        <v>72</v>
      </c>
      <c r="E3" s="235">
        <v>46146.0</v>
      </c>
      <c r="Q3" s="235"/>
      <c r="R3" s="235"/>
      <c r="S3" s="235"/>
      <c r="T3" s="235"/>
      <c r="U3" s="235"/>
      <c r="V3" s="235"/>
      <c r="W3" s="235"/>
      <c r="X3" s="235"/>
      <c r="Y3" s="235"/>
      <c r="Z3" s="235"/>
    </row>
    <row r="4" ht="34.5" customHeight="1">
      <c r="A4" s="233" t="s">
        <v>229</v>
      </c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>
      <c r="A5" s="236" t="s">
        <v>54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>
      <c r="A6" s="238" t="s">
        <v>55</v>
      </c>
      <c r="B6" s="239" t="s">
        <v>56</v>
      </c>
      <c r="C6" s="238" t="s">
        <v>57</v>
      </c>
      <c r="D6" s="238" t="s">
        <v>58</v>
      </c>
      <c r="E6" s="238" t="s">
        <v>59</v>
      </c>
      <c r="F6" s="238" t="s">
        <v>60</v>
      </c>
      <c r="G6" s="238" t="s">
        <v>61</v>
      </c>
      <c r="H6" s="240" t="s">
        <v>62</v>
      </c>
      <c r="I6" s="8"/>
      <c r="J6" s="9"/>
      <c r="K6" s="240" t="s">
        <v>63</v>
      </c>
      <c r="L6" s="8"/>
      <c r="M6" s="8"/>
      <c r="N6" s="9"/>
      <c r="O6" s="238" t="s">
        <v>64</v>
      </c>
      <c r="P6" s="238" t="s">
        <v>65</v>
      </c>
      <c r="Q6" s="241"/>
      <c r="R6" s="241"/>
      <c r="S6" s="241"/>
      <c r="T6" s="241"/>
      <c r="U6" s="241"/>
      <c r="V6" s="241"/>
      <c r="W6" s="241"/>
      <c r="X6" s="241"/>
      <c r="Y6" s="241"/>
      <c r="Z6" s="241"/>
    </row>
    <row r="7">
      <c r="A7" s="68"/>
      <c r="B7" s="68"/>
      <c r="C7" s="68"/>
      <c r="D7" s="68"/>
      <c r="E7" s="68"/>
      <c r="F7" s="68"/>
      <c r="G7" s="68"/>
      <c r="H7" s="242" t="s">
        <v>66</v>
      </c>
      <c r="I7" s="243" t="s">
        <v>67</v>
      </c>
      <c r="J7" s="243" t="s">
        <v>68</v>
      </c>
      <c r="K7" s="243" t="s">
        <v>30</v>
      </c>
      <c r="L7" s="243" t="s">
        <v>69</v>
      </c>
      <c r="M7" s="243" t="s">
        <v>70</v>
      </c>
      <c r="N7" s="243" t="s">
        <v>71</v>
      </c>
      <c r="O7" s="68"/>
      <c r="P7" s="68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ht="35.25" customHeight="1">
      <c r="A8" s="186">
        <v>1.0</v>
      </c>
      <c r="B8" s="244" t="s">
        <v>15</v>
      </c>
      <c r="C8" s="244" t="s">
        <v>230</v>
      </c>
      <c r="D8" s="244" t="s">
        <v>231</v>
      </c>
      <c r="E8" s="244" t="s">
        <v>34</v>
      </c>
      <c r="F8" s="244" t="s">
        <v>19</v>
      </c>
      <c r="G8" s="244">
        <v>30.0</v>
      </c>
      <c r="H8" s="244" t="s">
        <v>76</v>
      </c>
      <c r="I8" s="245">
        <v>46055.0</v>
      </c>
      <c r="J8" s="245">
        <v>46104.0</v>
      </c>
      <c r="K8" s="244">
        <v>65.0</v>
      </c>
      <c r="L8" s="246">
        <v>0.0</v>
      </c>
      <c r="M8" s="201">
        <v>65.0</v>
      </c>
      <c r="N8" s="201">
        <f>K8-L8-M8</f>
        <v>0</v>
      </c>
      <c r="O8" s="186" t="s">
        <v>232</v>
      </c>
      <c r="P8" s="201" t="s">
        <v>70</v>
      </c>
      <c r="Q8" s="241"/>
      <c r="R8" s="241"/>
      <c r="S8" s="241"/>
      <c r="T8" s="241"/>
      <c r="U8" s="241"/>
      <c r="V8" s="241"/>
      <c r="W8" s="241"/>
      <c r="X8" s="241"/>
      <c r="Y8" s="241"/>
      <c r="Z8" s="241"/>
    </row>
    <row r="9" ht="35.25" customHeight="1">
      <c r="A9" s="201">
        <v>3.0</v>
      </c>
      <c r="B9" s="244" t="s">
        <v>17</v>
      </c>
      <c r="C9" s="244" t="s">
        <v>233</v>
      </c>
      <c r="D9" s="247" t="s">
        <v>234</v>
      </c>
      <c r="E9" s="244" t="s">
        <v>34</v>
      </c>
      <c r="F9" s="244" t="s">
        <v>22</v>
      </c>
      <c r="G9" s="244">
        <v>30.0</v>
      </c>
      <c r="H9" s="244" t="s">
        <v>76</v>
      </c>
      <c r="I9" s="245">
        <v>46031.0</v>
      </c>
      <c r="J9" s="245">
        <v>46080.0</v>
      </c>
      <c r="K9" s="244">
        <v>65.0</v>
      </c>
      <c r="L9" s="244">
        <v>0.0</v>
      </c>
      <c r="M9" s="248">
        <v>65.0</v>
      </c>
      <c r="N9" s="201">
        <v>0.0</v>
      </c>
      <c r="O9" s="186" t="s">
        <v>235</v>
      </c>
      <c r="P9" s="249" t="s">
        <v>70</v>
      </c>
      <c r="Q9" s="241"/>
      <c r="R9" s="241"/>
      <c r="S9" s="241"/>
      <c r="T9" s="241"/>
      <c r="U9" s="241"/>
      <c r="V9" s="241"/>
      <c r="W9" s="241"/>
      <c r="X9" s="241"/>
      <c r="Y9" s="241"/>
      <c r="Z9" s="241"/>
    </row>
    <row r="10" ht="35.25" customHeight="1">
      <c r="A10" s="201">
        <v>4.0</v>
      </c>
      <c r="B10" s="244" t="s">
        <v>17</v>
      </c>
      <c r="C10" s="244" t="s">
        <v>236</v>
      </c>
      <c r="D10" s="247" t="s">
        <v>237</v>
      </c>
      <c r="E10" s="244" t="s">
        <v>33</v>
      </c>
      <c r="F10" s="244" t="s">
        <v>22</v>
      </c>
      <c r="G10" s="244">
        <v>50.0</v>
      </c>
      <c r="H10" s="244" t="s">
        <v>76</v>
      </c>
      <c r="I10" s="245">
        <v>46031.0</v>
      </c>
      <c r="J10" s="245">
        <v>46210.0</v>
      </c>
      <c r="K10" s="244">
        <v>180.0</v>
      </c>
      <c r="L10" s="244">
        <v>0.0</v>
      </c>
      <c r="M10" s="248">
        <v>87.0</v>
      </c>
      <c r="N10" s="201">
        <v>93.0</v>
      </c>
      <c r="O10" s="186" t="s">
        <v>235</v>
      </c>
      <c r="P10" s="249" t="s">
        <v>78</v>
      </c>
      <c r="Q10" s="241"/>
      <c r="R10" s="241"/>
      <c r="S10" s="241"/>
      <c r="T10" s="241"/>
      <c r="U10" s="241"/>
      <c r="V10" s="241"/>
      <c r="W10" s="241"/>
      <c r="X10" s="241"/>
      <c r="Y10" s="241"/>
      <c r="Z10" s="241"/>
    </row>
    <row r="11" ht="35.25" customHeight="1">
      <c r="A11" s="201">
        <v>5.0</v>
      </c>
      <c r="B11" s="244" t="s">
        <v>17</v>
      </c>
      <c r="C11" s="244" t="s">
        <v>238</v>
      </c>
      <c r="D11" s="247" t="s">
        <v>239</v>
      </c>
      <c r="E11" s="244" t="s">
        <v>35</v>
      </c>
      <c r="F11" s="244" t="s">
        <v>23</v>
      </c>
      <c r="G11" s="244">
        <v>19.0</v>
      </c>
      <c r="H11" s="244" t="s">
        <v>92</v>
      </c>
      <c r="I11" s="245"/>
      <c r="J11" s="245"/>
      <c r="K11" s="244">
        <v>39.0</v>
      </c>
      <c r="L11" s="244"/>
      <c r="M11" s="248">
        <v>39.0</v>
      </c>
      <c r="N11" s="201">
        <v>0.0</v>
      </c>
      <c r="O11" s="186" t="s">
        <v>240</v>
      </c>
      <c r="P11" s="249" t="s">
        <v>70</v>
      </c>
      <c r="Q11" s="241"/>
      <c r="R11" s="241"/>
      <c r="S11" s="241"/>
      <c r="T11" s="241"/>
      <c r="U11" s="241"/>
      <c r="V11" s="241"/>
      <c r="W11" s="241"/>
      <c r="X11" s="241"/>
      <c r="Y11" s="241"/>
      <c r="Z11" s="241"/>
    </row>
    <row r="12" ht="35.25" customHeight="1">
      <c r="A12" s="201">
        <v>6.0</v>
      </c>
      <c r="B12" s="244" t="s">
        <v>17</v>
      </c>
      <c r="C12" s="244" t="s">
        <v>241</v>
      </c>
      <c r="D12" s="247" t="s">
        <v>242</v>
      </c>
      <c r="E12" s="244" t="s">
        <v>34</v>
      </c>
      <c r="F12" s="244" t="s">
        <v>23</v>
      </c>
      <c r="G12" s="244">
        <v>20.0</v>
      </c>
      <c r="H12" s="244" t="s">
        <v>76</v>
      </c>
      <c r="I12" s="245">
        <v>46128.0</v>
      </c>
      <c r="J12" s="245">
        <v>46142.0</v>
      </c>
      <c r="K12" s="244">
        <v>40.0</v>
      </c>
      <c r="L12" s="244"/>
      <c r="M12" s="248">
        <v>40.0</v>
      </c>
      <c r="N12" s="201">
        <v>0.0</v>
      </c>
      <c r="O12" s="186" t="s">
        <v>243</v>
      </c>
      <c r="P12" s="249" t="s">
        <v>78</v>
      </c>
      <c r="Q12" s="241"/>
      <c r="R12" s="241"/>
      <c r="S12" s="241"/>
      <c r="T12" s="241"/>
      <c r="U12" s="241"/>
      <c r="V12" s="241"/>
      <c r="W12" s="241"/>
      <c r="X12" s="241"/>
      <c r="Y12" s="241"/>
      <c r="Z12" s="241"/>
    </row>
    <row r="13" ht="35.25" customHeight="1">
      <c r="A13" s="201">
        <v>7.0</v>
      </c>
      <c r="B13" s="244" t="s">
        <v>17</v>
      </c>
      <c r="C13" s="244" t="s">
        <v>244</v>
      </c>
      <c r="D13" s="247" t="s">
        <v>245</v>
      </c>
      <c r="E13" s="244" t="s">
        <v>34</v>
      </c>
      <c r="F13" s="244" t="s">
        <v>23</v>
      </c>
      <c r="G13" s="244">
        <v>20.0</v>
      </c>
      <c r="H13" s="244" t="s">
        <v>76</v>
      </c>
      <c r="I13" s="245">
        <v>46128.0</v>
      </c>
      <c r="J13" s="245">
        <v>46142.0</v>
      </c>
      <c r="K13" s="244">
        <v>40.0</v>
      </c>
      <c r="L13" s="244"/>
      <c r="M13" s="248">
        <v>40.0</v>
      </c>
      <c r="N13" s="201">
        <v>0.0</v>
      </c>
      <c r="O13" s="186" t="s">
        <v>243</v>
      </c>
      <c r="P13" s="249" t="s">
        <v>78</v>
      </c>
      <c r="Q13" s="241"/>
      <c r="R13" s="241"/>
      <c r="S13" s="241"/>
      <c r="T13" s="241"/>
      <c r="U13" s="241"/>
      <c r="V13" s="241"/>
      <c r="W13" s="241"/>
      <c r="X13" s="241"/>
      <c r="Y13" s="241"/>
      <c r="Z13" s="241"/>
    </row>
    <row r="14" ht="35.25" customHeight="1">
      <c r="A14" s="201">
        <v>8.0</v>
      </c>
      <c r="B14" s="244" t="s">
        <v>18</v>
      </c>
      <c r="C14" s="244" t="s">
        <v>246</v>
      </c>
      <c r="D14" s="247" t="s">
        <v>247</v>
      </c>
      <c r="E14" s="244" t="s">
        <v>34</v>
      </c>
      <c r="F14" s="244" t="s">
        <v>19</v>
      </c>
      <c r="G14" s="244">
        <v>30.0</v>
      </c>
      <c r="H14" s="244" t="s">
        <v>76</v>
      </c>
      <c r="I14" s="245">
        <v>46031.0</v>
      </c>
      <c r="J14" s="245">
        <v>46080.0</v>
      </c>
      <c r="K14" s="244">
        <v>65.0</v>
      </c>
      <c r="L14" s="244">
        <v>0.0</v>
      </c>
      <c r="M14" s="248">
        <v>65.0</v>
      </c>
      <c r="N14" s="201">
        <v>0.0</v>
      </c>
      <c r="O14" s="186" t="s">
        <v>235</v>
      </c>
      <c r="P14" s="249" t="s">
        <v>70</v>
      </c>
      <c r="Q14" s="241"/>
      <c r="R14" s="241"/>
      <c r="S14" s="241"/>
      <c r="T14" s="241"/>
      <c r="U14" s="241"/>
      <c r="V14" s="241"/>
      <c r="W14" s="241"/>
      <c r="X14" s="241"/>
      <c r="Y14" s="241"/>
      <c r="Z14" s="241"/>
    </row>
    <row r="15" ht="35.25" customHeight="1">
      <c r="A15" s="201">
        <v>8.0</v>
      </c>
      <c r="B15" s="244" t="s">
        <v>18</v>
      </c>
      <c r="C15" s="244" t="s">
        <v>248</v>
      </c>
      <c r="D15" s="247" t="s">
        <v>249</v>
      </c>
      <c r="E15" s="244" t="s">
        <v>35</v>
      </c>
      <c r="F15" s="244" t="s">
        <v>19</v>
      </c>
      <c r="G15" s="244">
        <v>10.0</v>
      </c>
      <c r="H15" s="244" t="s">
        <v>92</v>
      </c>
      <c r="I15" s="245"/>
      <c r="J15" s="245"/>
      <c r="K15" s="244">
        <v>10.0</v>
      </c>
      <c r="L15" s="244"/>
      <c r="M15" s="248">
        <v>10.0</v>
      </c>
      <c r="N15" s="201">
        <v>0.0</v>
      </c>
      <c r="O15" s="186" t="s">
        <v>240</v>
      </c>
      <c r="P15" s="249" t="s">
        <v>70</v>
      </c>
      <c r="Q15" s="241"/>
      <c r="R15" s="241"/>
      <c r="S15" s="241"/>
      <c r="T15" s="241"/>
      <c r="U15" s="241"/>
      <c r="V15" s="241"/>
      <c r="W15" s="241"/>
      <c r="X15" s="241"/>
      <c r="Y15" s="241"/>
      <c r="Z15" s="241"/>
    </row>
    <row r="16" ht="35.25" customHeight="1">
      <c r="A16" s="148">
        <v>11.0</v>
      </c>
      <c r="B16" s="250" t="s">
        <v>18</v>
      </c>
      <c r="C16" s="250" t="s">
        <v>250</v>
      </c>
      <c r="D16" s="247" t="s">
        <v>251</v>
      </c>
      <c r="E16" s="250" t="s">
        <v>34</v>
      </c>
      <c r="F16" s="250" t="s">
        <v>21</v>
      </c>
      <c r="G16" s="250">
        <v>30.0</v>
      </c>
      <c r="H16" s="250" t="s">
        <v>76</v>
      </c>
      <c r="I16" s="251">
        <v>46073.0</v>
      </c>
      <c r="J16" s="251">
        <v>46122.0</v>
      </c>
      <c r="K16" s="250">
        <v>65.0</v>
      </c>
      <c r="L16" s="250">
        <v>0.0</v>
      </c>
      <c r="M16" s="252">
        <v>65.0</v>
      </c>
      <c r="N16" s="201">
        <f t="shared" ref="N16:N17" si="1">K16-L16-M16</f>
        <v>0</v>
      </c>
      <c r="O16" s="168" t="s">
        <v>252</v>
      </c>
      <c r="P16" s="253" t="s">
        <v>70</v>
      </c>
      <c r="Q16" s="241"/>
      <c r="R16" s="241"/>
      <c r="S16" s="241"/>
      <c r="T16" s="241"/>
      <c r="U16" s="241"/>
      <c r="V16" s="241"/>
      <c r="W16" s="241"/>
      <c r="X16" s="241"/>
      <c r="Y16" s="241"/>
      <c r="Z16" s="241"/>
    </row>
    <row r="17" ht="35.25" customHeight="1">
      <c r="A17" s="186">
        <v>12.0</v>
      </c>
      <c r="B17" s="244" t="s">
        <v>18</v>
      </c>
      <c r="C17" s="244" t="s">
        <v>253</v>
      </c>
      <c r="D17" s="244" t="s">
        <v>254</v>
      </c>
      <c r="E17" s="244" t="s">
        <v>34</v>
      </c>
      <c r="F17" s="244" t="s">
        <v>22</v>
      </c>
      <c r="G17" s="244">
        <v>50.0</v>
      </c>
      <c r="H17" s="244" t="s">
        <v>76</v>
      </c>
      <c r="I17" s="245">
        <v>46055.0</v>
      </c>
      <c r="J17" s="245">
        <v>46234.0</v>
      </c>
      <c r="K17" s="244">
        <v>180.0</v>
      </c>
      <c r="L17" s="246">
        <v>0.0</v>
      </c>
      <c r="M17" s="201">
        <v>149.0</v>
      </c>
      <c r="N17" s="201">
        <f t="shared" si="1"/>
        <v>31</v>
      </c>
      <c r="O17" s="186" t="s">
        <v>232</v>
      </c>
      <c r="P17" s="201" t="s">
        <v>78</v>
      </c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 ht="35.25" customHeight="1">
      <c r="A18" s="186">
        <v>13.0</v>
      </c>
      <c r="B18" s="244" t="s">
        <v>18</v>
      </c>
      <c r="C18" s="244" t="s">
        <v>255</v>
      </c>
      <c r="D18" s="244" t="s">
        <v>254</v>
      </c>
      <c r="E18" s="244" t="s">
        <v>34</v>
      </c>
      <c r="F18" s="244" t="s">
        <v>22</v>
      </c>
      <c r="G18" s="244">
        <v>50.0</v>
      </c>
      <c r="H18" s="244" t="s">
        <v>76</v>
      </c>
      <c r="I18" s="245">
        <v>46055.0</v>
      </c>
      <c r="J18" s="245">
        <v>46234.0</v>
      </c>
      <c r="K18" s="244">
        <v>180.0</v>
      </c>
      <c r="L18" s="246">
        <v>0.0</v>
      </c>
      <c r="M18" s="201">
        <v>122.0</v>
      </c>
      <c r="N18" s="201">
        <v>58.0</v>
      </c>
      <c r="O18" s="186" t="s">
        <v>232</v>
      </c>
      <c r="P18" s="201" t="s">
        <v>78</v>
      </c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ht="35.25" customHeight="1">
      <c r="A19" s="148">
        <v>14.0</v>
      </c>
      <c r="B19" s="250" t="s">
        <v>18</v>
      </c>
      <c r="C19" s="250" t="s">
        <v>256</v>
      </c>
      <c r="D19" s="247" t="s">
        <v>257</v>
      </c>
      <c r="E19" s="250" t="s">
        <v>34</v>
      </c>
      <c r="F19" s="250" t="s">
        <v>21</v>
      </c>
      <c r="G19" s="250">
        <v>20.0</v>
      </c>
      <c r="H19" s="250" t="s">
        <v>76</v>
      </c>
      <c r="I19" s="251">
        <v>46083.0</v>
      </c>
      <c r="J19" s="251">
        <v>46097.0</v>
      </c>
      <c r="K19" s="250">
        <v>40.0</v>
      </c>
      <c r="L19" s="250">
        <v>0.0</v>
      </c>
      <c r="M19" s="252">
        <v>40.0</v>
      </c>
      <c r="N19" s="201">
        <v>0.0</v>
      </c>
      <c r="O19" s="168" t="s">
        <v>258</v>
      </c>
      <c r="P19" s="253" t="s">
        <v>70</v>
      </c>
      <c r="Q19" s="241"/>
      <c r="R19" s="241"/>
      <c r="S19" s="241"/>
      <c r="T19" s="241"/>
      <c r="U19" s="241"/>
      <c r="V19" s="241"/>
      <c r="W19" s="241"/>
      <c r="X19" s="241"/>
      <c r="Y19" s="241"/>
      <c r="Z19" s="241"/>
    </row>
    <row r="20" ht="35.25" customHeight="1">
      <c r="A20" s="186">
        <v>15.0</v>
      </c>
      <c r="B20" s="244" t="s">
        <v>18</v>
      </c>
      <c r="C20" s="244" t="s">
        <v>259</v>
      </c>
      <c r="D20" s="244" t="s">
        <v>260</v>
      </c>
      <c r="E20" s="244" t="s">
        <v>34</v>
      </c>
      <c r="F20" s="244" t="s">
        <v>19</v>
      </c>
      <c r="G20" s="244">
        <v>30.0</v>
      </c>
      <c r="H20" s="244" t="s">
        <v>76</v>
      </c>
      <c r="I20" s="245">
        <v>46128.0</v>
      </c>
      <c r="J20" s="245">
        <v>46177.0</v>
      </c>
      <c r="K20" s="244">
        <v>65.0</v>
      </c>
      <c r="L20" s="246">
        <v>0.0</v>
      </c>
      <c r="M20" s="201">
        <v>65.0</v>
      </c>
      <c r="N20" s="201">
        <v>0.0</v>
      </c>
      <c r="O20" s="186" t="s">
        <v>261</v>
      </c>
      <c r="P20" s="201" t="s">
        <v>78</v>
      </c>
      <c r="Q20" s="241"/>
      <c r="R20" s="241"/>
      <c r="S20" s="241"/>
      <c r="T20" s="241"/>
      <c r="U20" s="241"/>
      <c r="V20" s="241"/>
      <c r="W20" s="241"/>
      <c r="X20" s="241"/>
      <c r="Y20" s="241"/>
      <c r="Z20" s="241"/>
    </row>
    <row r="21" ht="35.25" customHeight="1">
      <c r="A21" s="186">
        <v>16.0</v>
      </c>
      <c r="B21" s="244" t="s">
        <v>18</v>
      </c>
      <c r="C21" s="244" t="s">
        <v>262</v>
      </c>
      <c r="D21" s="244" t="s">
        <v>260</v>
      </c>
      <c r="E21" s="244" t="s">
        <v>34</v>
      </c>
      <c r="F21" s="244" t="s">
        <v>19</v>
      </c>
      <c r="G21" s="244">
        <v>30.0</v>
      </c>
      <c r="H21" s="244" t="s">
        <v>76</v>
      </c>
      <c r="I21" s="245">
        <v>46128.0</v>
      </c>
      <c r="J21" s="245">
        <v>46177.0</v>
      </c>
      <c r="K21" s="244">
        <v>65.0</v>
      </c>
      <c r="L21" s="246">
        <v>0.0</v>
      </c>
      <c r="M21" s="201">
        <v>50.0</v>
      </c>
      <c r="N21" s="201">
        <v>15.0</v>
      </c>
      <c r="O21" s="186" t="s">
        <v>261</v>
      </c>
      <c r="P21" s="201" t="s">
        <v>78</v>
      </c>
      <c r="Q21" s="241"/>
      <c r="R21" s="241"/>
      <c r="S21" s="241"/>
      <c r="T21" s="241"/>
      <c r="U21" s="241"/>
      <c r="V21" s="241"/>
      <c r="W21" s="241"/>
      <c r="X21" s="241"/>
      <c r="Y21" s="241"/>
      <c r="Z21" s="241"/>
    </row>
    <row r="22" ht="35.25" customHeight="1">
      <c r="A22" s="186">
        <v>16.0</v>
      </c>
      <c r="B22" s="244" t="s">
        <v>18</v>
      </c>
      <c r="C22" s="244" t="s">
        <v>262</v>
      </c>
      <c r="D22" s="244" t="s">
        <v>263</v>
      </c>
      <c r="E22" s="244" t="s">
        <v>34</v>
      </c>
      <c r="F22" s="244" t="s">
        <v>23</v>
      </c>
      <c r="G22" s="244">
        <v>20.0</v>
      </c>
      <c r="H22" s="244" t="s">
        <v>76</v>
      </c>
      <c r="I22" s="245">
        <v>46178.0</v>
      </c>
      <c r="J22" s="245">
        <v>46192.0</v>
      </c>
      <c r="K22" s="244">
        <v>40.0</v>
      </c>
      <c r="L22" s="246">
        <v>0.0</v>
      </c>
      <c r="M22" s="201">
        <v>0.0</v>
      </c>
      <c r="N22" s="201">
        <v>40.0</v>
      </c>
      <c r="O22" s="186" t="s">
        <v>261</v>
      </c>
      <c r="P22" s="201" t="s">
        <v>78</v>
      </c>
      <c r="Q22" s="241"/>
      <c r="R22" s="241"/>
      <c r="S22" s="241"/>
      <c r="T22" s="241"/>
      <c r="U22" s="241"/>
      <c r="V22" s="241"/>
      <c r="W22" s="241"/>
      <c r="X22" s="241"/>
      <c r="Y22" s="241"/>
      <c r="Z22" s="241"/>
    </row>
    <row r="23" ht="32.25" customHeight="1">
      <c r="A23" s="236" t="s">
        <v>144</v>
      </c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7"/>
      <c r="Q23" s="241"/>
      <c r="R23" s="241"/>
      <c r="S23" s="241"/>
      <c r="T23" s="241"/>
      <c r="U23" s="241"/>
      <c r="V23" s="241"/>
      <c r="W23" s="241"/>
      <c r="X23" s="241"/>
      <c r="Y23" s="241"/>
      <c r="Z23" s="241"/>
    </row>
    <row r="24" ht="35.25" customHeight="1">
      <c r="A24" s="186">
        <v>2.0</v>
      </c>
      <c r="B24" s="244" t="s">
        <v>15</v>
      </c>
      <c r="C24" s="244" t="s">
        <v>264</v>
      </c>
      <c r="D24" s="244" t="s">
        <v>231</v>
      </c>
      <c r="E24" s="244" t="s">
        <v>34</v>
      </c>
      <c r="F24" s="244" t="s">
        <v>19</v>
      </c>
      <c r="G24" s="244">
        <v>30.0</v>
      </c>
      <c r="H24" s="244" t="s">
        <v>76</v>
      </c>
      <c r="I24" s="245">
        <v>46055.0</v>
      </c>
      <c r="J24" s="245">
        <v>46104.0</v>
      </c>
      <c r="K24" s="244">
        <v>65.0</v>
      </c>
      <c r="L24" s="246">
        <v>0.0</v>
      </c>
      <c r="M24" s="201">
        <v>65.0</v>
      </c>
      <c r="N24" s="201">
        <v>0.0</v>
      </c>
      <c r="O24" s="186" t="s">
        <v>232</v>
      </c>
      <c r="P24" s="201" t="s">
        <v>70</v>
      </c>
      <c r="Q24" s="241"/>
      <c r="R24" s="241"/>
      <c r="S24" s="241"/>
      <c r="T24" s="241"/>
      <c r="U24" s="241"/>
      <c r="V24" s="241"/>
      <c r="W24" s="241"/>
      <c r="X24" s="241"/>
      <c r="Y24" s="241"/>
      <c r="Z24" s="241"/>
    </row>
    <row r="25" ht="35.25" customHeight="1">
      <c r="A25" s="186">
        <v>1.0</v>
      </c>
      <c r="B25" s="244" t="s">
        <v>15</v>
      </c>
      <c r="C25" s="244" t="s">
        <v>265</v>
      </c>
      <c r="D25" s="244" t="s">
        <v>266</v>
      </c>
      <c r="E25" s="244" t="s">
        <v>34</v>
      </c>
      <c r="F25" s="244" t="s">
        <v>19</v>
      </c>
      <c r="G25" s="244">
        <v>30.0</v>
      </c>
      <c r="H25" s="244" t="s">
        <v>76</v>
      </c>
      <c r="I25" s="245">
        <v>46055.0</v>
      </c>
      <c r="J25" s="245">
        <v>46104.0</v>
      </c>
      <c r="K25" s="244">
        <v>65.0</v>
      </c>
      <c r="L25" s="246">
        <v>0.0</v>
      </c>
      <c r="M25" s="201">
        <v>65.0</v>
      </c>
      <c r="N25" s="201">
        <f>K25-L25-M25</f>
        <v>0</v>
      </c>
      <c r="O25" s="186" t="s">
        <v>232</v>
      </c>
      <c r="P25" s="201" t="s">
        <v>70</v>
      </c>
      <c r="Q25" s="241"/>
      <c r="R25" s="241"/>
      <c r="S25" s="241"/>
      <c r="T25" s="241"/>
      <c r="U25" s="241"/>
      <c r="V25" s="241"/>
      <c r="W25" s="241"/>
      <c r="X25" s="241"/>
      <c r="Y25" s="241"/>
      <c r="Z25" s="241"/>
    </row>
    <row r="26" ht="35.25" customHeight="1">
      <c r="A26" s="186">
        <v>1.0</v>
      </c>
      <c r="B26" s="244" t="s">
        <v>15</v>
      </c>
      <c r="C26" s="244" t="s">
        <v>267</v>
      </c>
      <c r="D26" s="244" t="s">
        <v>268</v>
      </c>
      <c r="E26" s="244" t="s">
        <v>34</v>
      </c>
      <c r="F26" s="244" t="s">
        <v>23</v>
      </c>
      <c r="G26" s="244">
        <v>20.0</v>
      </c>
      <c r="H26" s="244" t="s">
        <v>76</v>
      </c>
      <c r="I26" s="245">
        <v>46031.0</v>
      </c>
      <c r="J26" s="245">
        <v>46045.0</v>
      </c>
      <c r="K26" s="244">
        <v>40.0</v>
      </c>
      <c r="L26" s="246">
        <v>0.0</v>
      </c>
      <c r="M26" s="201">
        <v>40.0</v>
      </c>
      <c r="N26" s="201">
        <v>0.0</v>
      </c>
      <c r="O26" s="186" t="s">
        <v>235</v>
      </c>
      <c r="P26" s="201" t="s">
        <v>70</v>
      </c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 ht="35.25" customHeight="1">
      <c r="A27" s="201">
        <v>1.0</v>
      </c>
      <c r="B27" s="244" t="s">
        <v>15</v>
      </c>
      <c r="C27" s="244" t="s">
        <v>269</v>
      </c>
      <c r="D27" s="244" t="s">
        <v>270</v>
      </c>
      <c r="E27" s="244" t="s">
        <v>35</v>
      </c>
      <c r="F27" s="244" t="s">
        <v>20</v>
      </c>
      <c r="G27" s="244">
        <v>8.0</v>
      </c>
      <c r="H27" s="206" t="s">
        <v>92</v>
      </c>
      <c r="I27" s="245"/>
      <c r="J27" s="245"/>
      <c r="K27" s="250">
        <v>8.0</v>
      </c>
      <c r="L27" s="244">
        <v>0.0</v>
      </c>
      <c r="M27" s="244">
        <v>8.0</v>
      </c>
      <c r="N27" s="244">
        <v>0.0</v>
      </c>
      <c r="O27" s="186" t="s">
        <v>271</v>
      </c>
      <c r="P27" s="201" t="s">
        <v>70</v>
      </c>
      <c r="Q27" s="241"/>
      <c r="R27" s="241"/>
      <c r="S27" s="241"/>
      <c r="T27" s="241"/>
      <c r="U27" s="241"/>
      <c r="V27" s="241"/>
      <c r="W27" s="241"/>
      <c r="X27" s="241"/>
      <c r="Y27" s="241"/>
      <c r="Z27" s="241"/>
    </row>
    <row r="28" ht="35.25" customHeight="1">
      <c r="A28" s="208">
        <v>1.0</v>
      </c>
      <c r="B28" s="207" t="s">
        <v>15</v>
      </c>
      <c r="C28" s="254" t="s">
        <v>272</v>
      </c>
      <c r="D28" s="254" t="s">
        <v>273</v>
      </c>
      <c r="E28" s="207" t="s">
        <v>35</v>
      </c>
      <c r="F28" s="254" t="s">
        <v>19</v>
      </c>
      <c r="G28" s="255">
        <v>10.0</v>
      </c>
      <c r="H28" s="141" t="s">
        <v>92</v>
      </c>
      <c r="I28" s="256"/>
      <c r="J28" s="256"/>
      <c r="K28" s="255">
        <v>10.0</v>
      </c>
      <c r="L28" s="255">
        <v>0.0</v>
      </c>
      <c r="M28" s="257">
        <v>0.0</v>
      </c>
      <c r="N28" s="208">
        <v>10.0</v>
      </c>
      <c r="O28" s="206" t="s">
        <v>274</v>
      </c>
      <c r="P28" s="205" t="s">
        <v>70</v>
      </c>
      <c r="Q28" s="258"/>
      <c r="R28" s="258"/>
      <c r="S28" s="258"/>
      <c r="T28" s="258"/>
      <c r="U28" s="258"/>
      <c r="V28" s="258"/>
      <c r="W28" s="258"/>
      <c r="X28" s="258"/>
      <c r="Y28" s="258"/>
      <c r="Z28" s="258"/>
    </row>
    <row r="29" ht="35.25" customHeight="1">
      <c r="A29" s="201">
        <v>1.0</v>
      </c>
      <c r="B29" s="244" t="s">
        <v>15</v>
      </c>
      <c r="C29" s="244" t="s">
        <v>265</v>
      </c>
      <c r="D29" s="244" t="s">
        <v>275</v>
      </c>
      <c r="E29" s="244" t="s">
        <v>35</v>
      </c>
      <c r="F29" s="244" t="s">
        <v>23</v>
      </c>
      <c r="G29" s="244">
        <v>10.0</v>
      </c>
      <c r="H29" s="206" t="s">
        <v>92</v>
      </c>
      <c r="I29" s="245"/>
      <c r="J29" s="245"/>
      <c r="K29" s="244">
        <v>10.0</v>
      </c>
      <c r="L29" s="244">
        <v>0.0</v>
      </c>
      <c r="M29" s="248">
        <v>0.0</v>
      </c>
      <c r="N29" s="201">
        <v>10.0</v>
      </c>
      <c r="O29" s="186" t="s">
        <v>271</v>
      </c>
      <c r="P29" s="201" t="s">
        <v>70</v>
      </c>
      <c r="Q29" s="241"/>
      <c r="R29" s="241"/>
      <c r="S29" s="241"/>
      <c r="T29" s="241"/>
      <c r="U29" s="241"/>
      <c r="V29" s="241"/>
      <c r="W29" s="241"/>
      <c r="X29" s="241"/>
      <c r="Y29" s="241"/>
      <c r="Z29" s="241"/>
    </row>
    <row r="30" ht="35.25" customHeight="1">
      <c r="A30" s="201">
        <v>1.0</v>
      </c>
      <c r="B30" s="244" t="s">
        <v>15</v>
      </c>
      <c r="C30" s="244" t="s">
        <v>269</v>
      </c>
      <c r="D30" s="244" t="s">
        <v>276</v>
      </c>
      <c r="E30" s="244" t="s">
        <v>35</v>
      </c>
      <c r="F30" s="244" t="s">
        <v>19</v>
      </c>
      <c r="G30" s="244">
        <v>10.0</v>
      </c>
      <c r="H30" s="206" t="s">
        <v>92</v>
      </c>
      <c r="I30" s="245"/>
      <c r="J30" s="245"/>
      <c r="K30" s="244">
        <v>10.0</v>
      </c>
      <c r="L30" s="244">
        <v>0.0</v>
      </c>
      <c r="M30" s="248">
        <v>0.0</v>
      </c>
      <c r="N30" s="201">
        <v>10.0</v>
      </c>
      <c r="O30" s="186" t="s">
        <v>271</v>
      </c>
      <c r="P30" s="201" t="s">
        <v>70</v>
      </c>
      <c r="Q30" s="241"/>
      <c r="R30" s="241"/>
      <c r="S30" s="241"/>
      <c r="T30" s="241"/>
      <c r="U30" s="241"/>
      <c r="V30" s="241"/>
      <c r="W30" s="241"/>
      <c r="X30" s="241"/>
      <c r="Y30" s="241"/>
      <c r="Z30" s="241"/>
    </row>
    <row r="31" ht="35.25" customHeight="1">
      <c r="A31" s="201">
        <v>1.0</v>
      </c>
      <c r="B31" s="244" t="s">
        <v>15</v>
      </c>
      <c r="C31" s="244" t="s">
        <v>277</v>
      </c>
      <c r="D31" s="244" t="s">
        <v>278</v>
      </c>
      <c r="E31" s="244" t="s">
        <v>34</v>
      </c>
      <c r="F31" s="244" t="s">
        <v>23</v>
      </c>
      <c r="G31" s="244">
        <v>20.0</v>
      </c>
      <c r="H31" s="207" t="s">
        <v>76</v>
      </c>
      <c r="I31" s="245">
        <v>45953.0</v>
      </c>
      <c r="J31" s="245">
        <v>45967.0</v>
      </c>
      <c r="K31" s="244">
        <v>40.0</v>
      </c>
      <c r="L31" s="244">
        <v>0.0</v>
      </c>
      <c r="M31" s="248">
        <v>40.0</v>
      </c>
      <c r="N31" s="201">
        <v>0.0</v>
      </c>
      <c r="O31" s="186" t="s">
        <v>279</v>
      </c>
      <c r="P31" s="201" t="s">
        <v>70</v>
      </c>
      <c r="Q31" s="241"/>
      <c r="R31" s="241"/>
      <c r="S31" s="241"/>
      <c r="T31" s="241"/>
      <c r="U31" s="241"/>
      <c r="V31" s="241"/>
      <c r="W31" s="241"/>
      <c r="X31" s="241"/>
      <c r="Y31" s="241"/>
      <c r="Z31" s="241"/>
    </row>
    <row r="32" ht="35.25" customHeight="1">
      <c r="A32" s="201">
        <v>1.0</v>
      </c>
      <c r="B32" s="244" t="s">
        <v>15</v>
      </c>
      <c r="C32" s="244" t="s">
        <v>264</v>
      </c>
      <c r="D32" s="244" t="s">
        <v>280</v>
      </c>
      <c r="E32" s="244" t="s">
        <v>35</v>
      </c>
      <c r="F32" s="244" t="s">
        <v>20</v>
      </c>
      <c r="G32" s="244">
        <v>8.0</v>
      </c>
      <c r="H32" s="244" t="s">
        <v>92</v>
      </c>
      <c r="I32" s="245"/>
      <c r="J32" s="245"/>
      <c r="K32" s="244">
        <v>8.0</v>
      </c>
      <c r="L32" s="244">
        <v>0.0</v>
      </c>
      <c r="M32" s="248">
        <v>8.0</v>
      </c>
      <c r="N32" s="201">
        <v>0.0</v>
      </c>
      <c r="O32" s="186" t="s">
        <v>281</v>
      </c>
      <c r="P32" s="201" t="s">
        <v>70</v>
      </c>
      <c r="Q32" s="241"/>
      <c r="R32" s="241"/>
      <c r="S32" s="241"/>
      <c r="T32" s="241"/>
      <c r="U32" s="241"/>
      <c r="V32" s="241"/>
      <c r="W32" s="241"/>
      <c r="X32" s="241"/>
      <c r="Y32" s="241"/>
      <c r="Z32" s="241"/>
    </row>
    <row r="33" ht="35.25" customHeight="1">
      <c r="A33" s="201">
        <v>1.0</v>
      </c>
      <c r="B33" s="244" t="s">
        <v>15</v>
      </c>
      <c r="C33" s="244" t="s">
        <v>272</v>
      </c>
      <c r="D33" s="244" t="s">
        <v>282</v>
      </c>
      <c r="E33" s="244" t="s">
        <v>35</v>
      </c>
      <c r="F33" s="244" t="s">
        <v>23</v>
      </c>
      <c r="G33" s="244">
        <v>10.0</v>
      </c>
      <c r="H33" s="244" t="s">
        <v>92</v>
      </c>
      <c r="I33" s="245"/>
      <c r="J33" s="245"/>
      <c r="K33" s="244">
        <v>10.0</v>
      </c>
      <c r="L33" s="244">
        <v>0.0</v>
      </c>
      <c r="M33" s="244">
        <v>10.0</v>
      </c>
      <c r="N33" s="186">
        <v>0.0</v>
      </c>
      <c r="O33" s="186" t="s">
        <v>283</v>
      </c>
      <c r="P33" s="201" t="s">
        <v>70</v>
      </c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ht="35.25" customHeight="1">
      <c r="A34" s="201">
        <v>2.0</v>
      </c>
      <c r="B34" s="244" t="s">
        <v>15</v>
      </c>
      <c r="C34" s="244" t="s">
        <v>277</v>
      </c>
      <c r="D34" s="244" t="s">
        <v>284</v>
      </c>
      <c r="E34" s="244" t="s">
        <v>35</v>
      </c>
      <c r="F34" s="244" t="s">
        <v>19</v>
      </c>
      <c r="G34" s="244">
        <v>10.0</v>
      </c>
      <c r="H34" s="244" t="s">
        <v>92</v>
      </c>
      <c r="I34" s="245"/>
      <c r="J34" s="245"/>
      <c r="K34" s="244">
        <v>10.0</v>
      </c>
      <c r="L34" s="244">
        <v>0.0</v>
      </c>
      <c r="M34" s="244">
        <v>10.0</v>
      </c>
      <c r="N34" s="186">
        <v>0.0</v>
      </c>
      <c r="O34" s="186" t="s">
        <v>283</v>
      </c>
      <c r="P34" s="201" t="s">
        <v>70</v>
      </c>
      <c r="Q34" s="241"/>
      <c r="R34" s="241"/>
      <c r="S34" s="241"/>
      <c r="T34" s="241"/>
      <c r="U34" s="241"/>
      <c r="V34" s="241"/>
      <c r="W34" s="241"/>
      <c r="X34" s="241"/>
      <c r="Y34" s="241"/>
      <c r="Z34" s="241"/>
    </row>
    <row r="35" ht="35.25" customHeight="1">
      <c r="A35" s="201">
        <v>8.0</v>
      </c>
      <c r="B35" s="244" t="s">
        <v>15</v>
      </c>
      <c r="C35" s="244" t="s">
        <v>285</v>
      </c>
      <c r="D35" s="244" t="s">
        <v>286</v>
      </c>
      <c r="E35" s="244" t="s">
        <v>34</v>
      </c>
      <c r="F35" s="244" t="s">
        <v>19</v>
      </c>
      <c r="G35" s="244">
        <v>25.0</v>
      </c>
      <c r="H35" s="207" t="s">
        <v>76</v>
      </c>
      <c r="I35" s="245">
        <v>45875.0</v>
      </c>
      <c r="J35" s="245">
        <v>45904.0</v>
      </c>
      <c r="K35" s="244">
        <v>50.0</v>
      </c>
      <c r="L35" s="244">
        <v>0.0</v>
      </c>
      <c r="M35" s="186">
        <v>50.0</v>
      </c>
      <c r="N35" s="189">
        <f t="shared" ref="N35:N37" si="2">K35-M35-L35</f>
        <v>0</v>
      </c>
      <c r="O35" s="186" t="s">
        <v>287</v>
      </c>
      <c r="P35" s="201" t="s">
        <v>70</v>
      </c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 ht="33.0" customHeight="1">
      <c r="A36" s="186">
        <v>1.0</v>
      </c>
      <c r="B36" s="187" t="s">
        <v>15</v>
      </c>
      <c r="C36" s="186" t="s">
        <v>265</v>
      </c>
      <c r="D36" s="186" t="s">
        <v>288</v>
      </c>
      <c r="E36" s="186" t="s">
        <v>34</v>
      </c>
      <c r="F36" s="186" t="s">
        <v>23</v>
      </c>
      <c r="G36" s="186">
        <v>20.0</v>
      </c>
      <c r="H36" s="207" t="s">
        <v>76</v>
      </c>
      <c r="I36" s="188">
        <v>45897.0</v>
      </c>
      <c r="J36" s="188">
        <v>45911.0</v>
      </c>
      <c r="K36" s="186">
        <v>40.0</v>
      </c>
      <c r="L36" s="186">
        <v>0.0</v>
      </c>
      <c r="M36" s="186">
        <v>40.0</v>
      </c>
      <c r="N36" s="189">
        <f t="shared" si="2"/>
        <v>0</v>
      </c>
      <c r="O36" s="186" t="s">
        <v>289</v>
      </c>
      <c r="P36" s="201" t="s">
        <v>70</v>
      </c>
      <c r="Q36" s="241"/>
      <c r="R36" s="241"/>
      <c r="S36" s="241"/>
      <c r="T36" s="241"/>
      <c r="U36" s="241"/>
      <c r="V36" s="241"/>
      <c r="W36" s="241"/>
      <c r="X36" s="241"/>
      <c r="Y36" s="241"/>
      <c r="Z36" s="241"/>
    </row>
    <row r="37" ht="33.0" customHeight="1">
      <c r="A37" s="207">
        <v>1.0</v>
      </c>
      <c r="B37" s="207" t="s">
        <v>15</v>
      </c>
      <c r="C37" s="206" t="s">
        <v>277</v>
      </c>
      <c r="D37" s="206" t="s">
        <v>290</v>
      </c>
      <c r="E37" s="207" t="s">
        <v>34</v>
      </c>
      <c r="F37" s="207" t="s">
        <v>23</v>
      </c>
      <c r="G37" s="207">
        <v>20.0</v>
      </c>
      <c r="H37" s="207" t="s">
        <v>76</v>
      </c>
      <c r="I37" s="219">
        <v>45897.0</v>
      </c>
      <c r="J37" s="219">
        <v>45911.0</v>
      </c>
      <c r="K37" s="207">
        <v>40.0</v>
      </c>
      <c r="L37" s="207">
        <v>0.0</v>
      </c>
      <c r="M37" s="207">
        <v>40.0</v>
      </c>
      <c r="N37" s="212">
        <f t="shared" si="2"/>
        <v>0</v>
      </c>
      <c r="O37" s="207" t="s">
        <v>289</v>
      </c>
      <c r="P37" s="208" t="s">
        <v>70</v>
      </c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 ht="33.0" customHeight="1">
      <c r="A38" s="186">
        <v>2.0</v>
      </c>
      <c r="B38" s="187" t="s">
        <v>15</v>
      </c>
      <c r="C38" s="186" t="s">
        <v>277</v>
      </c>
      <c r="D38" s="186" t="s">
        <v>291</v>
      </c>
      <c r="E38" s="186" t="s">
        <v>35</v>
      </c>
      <c r="F38" s="186" t="s">
        <v>19</v>
      </c>
      <c r="G38" s="186">
        <v>19.0</v>
      </c>
      <c r="H38" s="244" t="s">
        <v>92</v>
      </c>
      <c r="I38" s="188"/>
      <c r="J38" s="188"/>
      <c r="K38" s="186">
        <v>39.0</v>
      </c>
      <c r="L38" s="186">
        <v>0.0</v>
      </c>
      <c r="M38" s="186">
        <v>39.0</v>
      </c>
      <c r="N38" s="186">
        <v>0.0</v>
      </c>
      <c r="O38" s="186" t="s">
        <v>292</v>
      </c>
      <c r="P38" s="201" t="s">
        <v>70</v>
      </c>
      <c r="Q38" s="241"/>
      <c r="R38" s="241"/>
      <c r="S38" s="241"/>
      <c r="T38" s="241"/>
      <c r="U38" s="241"/>
      <c r="V38" s="241"/>
      <c r="W38" s="241"/>
      <c r="X38" s="241"/>
      <c r="Y38" s="241"/>
      <c r="Z38" s="241"/>
    </row>
    <row r="39" ht="39.0" customHeight="1">
      <c r="A39" s="201">
        <v>11.0</v>
      </c>
      <c r="B39" s="244" t="s">
        <v>15</v>
      </c>
      <c r="C39" s="244" t="s">
        <v>293</v>
      </c>
      <c r="D39" s="244" t="s">
        <v>294</v>
      </c>
      <c r="E39" s="244" t="s">
        <v>35</v>
      </c>
      <c r="F39" s="244" t="s">
        <v>22</v>
      </c>
      <c r="G39" s="244">
        <v>8.0</v>
      </c>
      <c r="H39" s="244" t="s">
        <v>92</v>
      </c>
      <c r="I39" s="245"/>
      <c r="J39" s="245"/>
      <c r="K39" s="244">
        <v>8.0</v>
      </c>
      <c r="L39" s="186">
        <v>0.0</v>
      </c>
      <c r="M39" s="186">
        <v>8.0</v>
      </c>
      <c r="N39" s="189">
        <f t="shared" ref="N39:N41" si="3">K39-M39-L39</f>
        <v>0</v>
      </c>
      <c r="O39" s="186" t="s">
        <v>295</v>
      </c>
      <c r="P39" s="201" t="s">
        <v>70</v>
      </c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 ht="39.0" customHeight="1">
      <c r="A40" s="201">
        <v>12.0</v>
      </c>
      <c r="B40" s="244" t="s">
        <v>15</v>
      </c>
      <c r="C40" s="244" t="s">
        <v>296</v>
      </c>
      <c r="D40" s="244" t="s">
        <v>297</v>
      </c>
      <c r="E40" s="244" t="s">
        <v>35</v>
      </c>
      <c r="F40" s="244" t="s">
        <v>23</v>
      </c>
      <c r="G40" s="244">
        <v>8.0</v>
      </c>
      <c r="H40" s="244" t="s">
        <v>92</v>
      </c>
      <c r="I40" s="245"/>
      <c r="J40" s="245"/>
      <c r="K40" s="244">
        <v>8.0</v>
      </c>
      <c r="L40" s="186">
        <v>0.0</v>
      </c>
      <c r="M40" s="186">
        <v>8.0</v>
      </c>
      <c r="N40" s="189">
        <f t="shared" si="3"/>
        <v>0</v>
      </c>
      <c r="O40" s="186" t="s">
        <v>295</v>
      </c>
      <c r="P40" s="201" t="s">
        <v>70</v>
      </c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 ht="35.25" customHeight="1">
      <c r="A41" s="201">
        <v>15.0</v>
      </c>
      <c r="B41" s="244" t="s">
        <v>15</v>
      </c>
      <c r="C41" s="244" t="s">
        <v>298</v>
      </c>
      <c r="D41" s="244" t="s">
        <v>299</v>
      </c>
      <c r="E41" s="244" t="s">
        <v>35</v>
      </c>
      <c r="F41" s="244" t="s">
        <v>21</v>
      </c>
      <c r="G41" s="244">
        <v>8.0</v>
      </c>
      <c r="H41" s="244" t="s">
        <v>92</v>
      </c>
      <c r="I41" s="245"/>
      <c r="J41" s="245"/>
      <c r="K41" s="244">
        <v>8.0</v>
      </c>
      <c r="L41" s="186">
        <v>4.0</v>
      </c>
      <c r="M41" s="186">
        <v>4.0</v>
      </c>
      <c r="N41" s="189">
        <f t="shared" si="3"/>
        <v>0</v>
      </c>
      <c r="O41" s="186" t="s">
        <v>295</v>
      </c>
      <c r="P41" s="201" t="s">
        <v>70</v>
      </c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 ht="35.25" customHeight="1">
      <c r="A42" s="186">
        <v>9.0</v>
      </c>
      <c r="B42" s="244" t="s">
        <v>15</v>
      </c>
      <c r="C42" s="244" t="s">
        <v>256</v>
      </c>
      <c r="D42" s="244" t="s">
        <v>300</v>
      </c>
      <c r="E42" s="244" t="s">
        <v>34</v>
      </c>
      <c r="F42" s="244" t="s">
        <v>23</v>
      </c>
      <c r="G42" s="244">
        <v>20.0</v>
      </c>
      <c r="H42" s="244" t="s">
        <v>76</v>
      </c>
      <c r="I42" s="245">
        <v>45819.0</v>
      </c>
      <c r="J42" s="245">
        <v>45833.0</v>
      </c>
      <c r="K42" s="244">
        <v>40.0</v>
      </c>
      <c r="L42" s="246">
        <v>0.0</v>
      </c>
      <c r="M42" s="244">
        <v>40.0</v>
      </c>
      <c r="N42" s="186">
        <v>0.0</v>
      </c>
      <c r="O42" s="244" t="s">
        <v>301</v>
      </c>
      <c r="P42" s="201" t="s">
        <v>70</v>
      </c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 ht="35.25" customHeight="1">
      <c r="A43" s="186"/>
      <c r="B43" s="244" t="s">
        <v>15</v>
      </c>
      <c r="C43" s="244" t="s">
        <v>277</v>
      </c>
      <c r="D43" s="244" t="s">
        <v>302</v>
      </c>
      <c r="E43" s="244" t="s">
        <v>34</v>
      </c>
      <c r="F43" s="244" t="s">
        <v>22</v>
      </c>
      <c r="G43" s="244">
        <v>20.0</v>
      </c>
      <c r="H43" s="244" t="s">
        <v>76</v>
      </c>
      <c r="I43" s="245">
        <v>45831.0</v>
      </c>
      <c r="J43" s="245">
        <v>45845.0</v>
      </c>
      <c r="K43" s="244">
        <v>40.0</v>
      </c>
      <c r="L43" s="186">
        <v>0.0</v>
      </c>
      <c r="M43" s="186">
        <v>40.0</v>
      </c>
      <c r="N43" s="189">
        <f t="shared" ref="N43:N46" si="4">K43-M43-L43</f>
        <v>0</v>
      </c>
      <c r="O43" s="186" t="s">
        <v>295</v>
      </c>
      <c r="P43" s="201" t="s">
        <v>70</v>
      </c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 ht="35.25" customHeight="1">
      <c r="A44" s="186"/>
      <c r="B44" s="244" t="s">
        <v>15</v>
      </c>
      <c r="C44" s="244" t="s">
        <v>303</v>
      </c>
      <c r="D44" s="244" t="s">
        <v>304</v>
      </c>
      <c r="E44" s="244" t="s">
        <v>34</v>
      </c>
      <c r="F44" s="244" t="s">
        <v>22</v>
      </c>
      <c r="G44" s="244">
        <v>30.0</v>
      </c>
      <c r="H44" s="244" t="s">
        <v>76</v>
      </c>
      <c r="I44" s="245">
        <v>45831.0</v>
      </c>
      <c r="J44" s="259">
        <v>45880.0</v>
      </c>
      <c r="K44" s="244">
        <v>65.0</v>
      </c>
      <c r="L44" s="186">
        <v>0.0</v>
      </c>
      <c r="M44" s="186">
        <v>65.0</v>
      </c>
      <c r="N44" s="189">
        <f t="shared" si="4"/>
        <v>0</v>
      </c>
      <c r="O44" s="186" t="s">
        <v>295</v>
      </c>
      <c r="P44" s="201" t="s">
        <v>70</v>
      </c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 ht="35.25" customHeight="1">
      <c r="A45" s="186"/>
      <c r="B45" s="244" t="s">
        <v>15</v>
      </c>
      <c r="C45" s="244" t="s">
        <v>305</v>
      </c>
      <c r="D45" s="244" t="s">
        <v>306</v>
      </c>
      <c r="E45" s="244" t="s">
        <v>34</v>
      </c>
      <c r="F45" s="244" t="s">
        <v>23</v>
      </c>
      <c r="G45" s="244">
        <v>20.0</v>
      </c>
      <c r="H45" s="248" t="s">
        <v>92</v>
      </c>
      <c r="I45" s="245">
        <v>45845.0</v>
      </c>
      <c r="J45" s="245">
        <v>45859.0</v>
      </c>
      <c r="K45" s="244">
        <v>40.0</v>
      </c>
      <c r="L45" s="244">
        <v>0.0</v>
      </c>
      <c r="M45" s="186">
        <v>40.0</v>
      </c>
      <c r="N45" s="189">
        <f t="shared" si="4"/>
        <v>0</v>
      </c>
      <c r="O45" s="186" t="s">
        <v>307</v>
      </c>
      <c r="P45" s="201" t="s">
        <v>70</v>
      </c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 ht="35.25" customHeight="1">
      <c r="A46" s="201">
        <v>8.0</v>
      </c>
      <c r="B46" s="244" t="s">
        <v>15</v>
      </c>
      <c r="C46" s="244" t="s">
        <v>272</v>
      </c>
      <c r="D46" s="244" t="s">
        <v>308</v>
      </c>
      <c r="E46" s="244" t="s">
        <v>34</v>
      </c>
      <c r="F46" s="244" t="s">
        <v>23</v>
      </c>
      <c r="G46" s="244">
        <v>30.0</v>
      </c>
      <c r="H46" s="244" t="s">
        <v>76</v>
      </c>
      <c r="I46" s="245">
        <v>45852.0</v>
      </c>
      <c r="J46" s="245">
        <v>45901.0</v>
      </c>
      <c r="K46" s="244">
        <v>65.0</v>
      </c>
      <c r="L46" s="244">
        <v>0.0</v>
      </c>
      <c r="M46" s="186">
        <v>65.0</v>
      </c>
      <c r="N46" s="189">
        <f t="shared" si="4"/>
        <v>0</v>
      </c>
      <c r="O46" s="186" t="s">
        <v>309</v>
      </c>
      <c r="P46" s="201" t="s">
        <v>70</v>
      </c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 ht="32.25" customHeight="1">
      <c r="A47" s="260"/>
      <c r="B47" s="244" t="s">
        <v>15</v>
      </c>
      <c r="C47" s="244" t="s">
        <v>310</v>
      </c>
      <c r="D47" s="244" t="s">
        <v>311</v>
      </c>
      <c r="E47" s="244" t="s">
        <v>35</v>
      </c>
      <c r="F47" s="244" t="s">
        <v>20</v>
      </c>
      <c r="G47" s="244">
        <v>14.0</v>
      </c>
      <c r="H47" s="244" t="s">
        <v>92</v>
      </c>
      <c r="I47" s="245"/>
      <c r="J47" s="245"/>
      <c r="K47" s="244">
        <v>22.0</v>
      </c>
      <c r="L47" s="244">
        <v>0.0</v>
      </c>
      <c r="M47" s="244">
        <v>22.0</v>
      </c>
      <c r="N47" s="244">
        <v>0.0</v>
      </c>
      <c r="O47" s="186" t="s">
        <v>312</v>
      </c>
      <c r="P47" s="248" t="s">
        <v>70</v>
      </c>
      <c r="Q47" s="241"/>
      <c r="R47" s="241"/>
      <c r="S47" s="241"/>
      <c r="T47" s="241"/>
      <c r="U47" s="241"/>
      <c r="V47" s="241"/>
      <c r="W47" s="241"/>
      <c r="X47" s="241"/>
      <c r="Y47" s="241"/>
      <c r="Z47" s="241"/>
    </row>
    <row r="48" ht="32.25" customHeight="1">
      <c r="A48" s="244"/>
      <c r="B48" s="244" t="s">
        <v>15</v>
      </c>
      <c r="C48" s="244" t="s">
        <v>313</v>
      </c>
      <c r="D48" s="244" t="s">
        <v>311</v>
      </c>
      <c r="E48" s="244" t="s">
        <v>35</v>
      </c>
      <c r="F48" s="244" t="s">
        <v>20</v>
      </c>
      <c r="G48" s="244">
        <v>14.0</v>
      </c>
      <c r="H48" s="244" t="s">
        <v>92</v>
      </c>
      <c r="I48" s="245"/>
      <c r="J48" s="245"/>
      <c r="K48" s="244">
        <v>22.0</v>
      </c>
      <c r="L48" s="244">
        <v>0.0</v>
      </c>
      <c r="M48" s="244">
        <v>22.0</v>
      </c>
      <c r="N48" s="244">
        <v>0.0</v>
      </c>
      <c r="O48" s="186" t="s">
        <v>312</v>
      </c>
      <c r="P48" s="244" t="s">
        <v>70</v>
      </c>
      <c r="Q48" s="241"/>
      <c r="R48" s="241"/>
      <c r="S48" s="241"/>
      <c r="T48" s="241"/>
      <c r="U48" s="241"/>
      <c r="V48" s="241"/>
      <c r="W48" s="241"/>
      <c r="X48" s="241"/>
      <c r="Y48" s="241"/>
      <c r="Z48" s="241"/>
    </row>
    <row r="49" ht="32.25" customHeight="1">
      <c r="A49" s="244"/>
      <c r="B49" s="244" t="s">
        <v>15</v>
      </c>
      <c r="C49" s="244" t="s">
        <v>314</v>
      </c>
      <c r="D49" s="244" t="s">
        <v>315</v>
      </c>
      <c r="E49" s="244" t="s">
        <v>35</v>
      </c>
      <c r="F49" s="244" t="s">
        <v>19</v>
      </c>
      <c r="G49" s="244">
        <v>10.0</v>
      </c>
      <c r="H49" s="244" t="s">
        <v>92</v>
      </c>
      <c r="I49" s="245"/>
      <c r="J49" s="245"/>
      <c r="K49" s="244">
        <v>10.0</v>
      </c>
      <c r="L49" s="244">
        <v>0.0</v>
      </c>
      <c r="M49" s="244">
        <v>10.0</v>
      </c>
      <c r="N49" s="244">
        <v>0.0</v>
      </c>
      <c r="O49" s="186" t="s">
        <v>316</v>
      </c>
      <c r="P49" s="244" t="s">
        <v>70</v>
      </c>
      <c r="Q49" s="241"/>
      <c r="R49" s="241"/>
      <c r="S49" s="241"/>
      <c r="T49" s="241"/>
      <c r="U49" s="241"/>
      <c r="V49" s="241"/>
      <c r="W49" s="241"/>
      <c r="X49" s="241"/>
      <c r="Y49" s="241"/>
      <c r="Z49" s="241"/>
    </row>
    <row r="50" ht="32.25" customHeight="1">
      <c r="A50" s="244"/>
      <c r="B50" s="244" t="s">
        <v>15</v>
      </c>
      <c r="C50" s="244" t="s">
        <v>317</v>
      </c>
      <c r="D50" s="247" t="s">
        <v>318</v>
      </c>
      <c r="E50" s="244" t="s">
        <v>35</v>
      </c>
      <c r="F50" s="244" t="s">
        <v>20</v>
      </c>
      <c r="G50" s="244">
        <v>8.0</v>
      </c>
      <c r="H50" s="244" t="s">
        <v>92</v>
      </c>
      <c r="I50" s="245"/>
      <c r="J50" s="245"/>
      <c r="K50" s="244">
        <v>8.0</v>
      </c>
      <c r="L50" s="244">
        <v>0.0</v>
      </c>
      <c r="M50" s="244">
        <v>8.0</v>
      </c>
      <c r="N50" s="189">
        <f>K50-M50-L50</f>
        <v>0</v>
      </c>
      <c r="O50" s="186" t="s">
        <v>312</v>
      </c>
      <c r="P50" s="244" t="s">
        <v>70</v>
      </c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1" ht="35.25" customHeight="1">
      <c r="A51" s="244"/>
      <c r="B51" s="244" t="s">
        <v>15</v>
      </c>
      <c r="C51" s="244" t="s">
        <v>256</v>
      </c>
      <c r="D51" s="247" t="s">
        <v>319</v>
      </c>
      <c r="E51" s="244" t="s">
        <v>35</v>
      </c>
      <c r="F51" s="244" t="s">
        <v>23</v>
      </c>
      <c r="G51" s="244">
        <v>13.0</v>
      </c>
      <c r="H51" s="244" t="s">
        <v>92</v>
      </c>
      <c r="I51" s="245"/>
      <c r="J51" s="245"/>
      <c r="K51" s="244">
        <v>19.0</v>
      </c>
      <c r="L51" s="244">
        <v>0.0</v>
      </c>
      <c r="M51" s="244">
        <v>19.0</v>
      </c>
      <c r="N51" s="244">
        <v>0.0</v>
      </c>
      <c r="O51" s="186" t="s">
        <v>320</v>
      </c>
      <c r="P51" s="244" t="s">
        <v>70</v>
      </c>
      <c r="Q51" s="241"/>
      <c r="R51" s="241"/>
      <c r="S51" s="241"/>
      <c r="T51" s="241"/>
      <c r="U51" s="241"/>
      <c r="V51" s="241"/>
      <c r="W51" s="241"/>
      <c r="X51" s="241"/>
      <c r="Y51" s="241"/>
      <c r="Z51" s="241"/>
    </row>
    <row r="52" ht="35.25" customHeight="1">
      <c r="A52" s="244"/>
      <c r="B52" s="244" t="s">
        <v>15</v>
      </c>
      <c r="C52" s="244" t="s">
        <v>256</v>
      </c>
      <c r="D52" s="247" t="s">
        <v>321</v>
      </c>
      <c r="E52" s="244" t="s">
        <v>35</v>
      </c>
      <c r="F52" s="244" t="s">
        <v>23</v>
      </c>
      <c r="G52" s="244">
        <v>10.0</v>
      </c>
      <c r="H52" s="244" t="s">
        <v>92</v>
      </c>
      <c r="I52" s="245"/>
      <c r="J52" s="245"/>
      <c r="K52" s="244">
        <v>10.0</v>
      </c>
      <c r="L52" s="244">
        <v>0.0</v>
      </c>
      <c r="M52" s="244">
        <v>10.0</v>
      </c>
      <c r="N52" s="244">
        <v>0.0</v>
      </c>
      <c r="O52" s="186" t="s">
        <v>320</v>
      </c>
      <c r="P52" s="244" t="s">
        <v>70</v>
      </c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 ht="33.0" customHeight="1">
      <c r="A53" s="186">
        <v>1.0</v>
      </c>
      <c r="B53" s="187" t="s">
        <v>15</v>
      </c>
      <c r="C53" s="186" t="s">
        <v>265</v>
      </c>
      <c r="D53" s="186" t="s">
        <v>322</v>
      </c>
      <c r="E53" s="186" t="s">
        <v>34</v>
      </c>
      <c r="F53" s="186" t="s">
        <v>22</v>
      </c>
      <c r="G53" s="186">
        <v>45.0</v>
      </c>
      <c r="H53" s="186" t="s">
        <v>76</v>
      </c>
      <c r="I53" s="188">
        <v>45784.0</v>
      </c>
      <c r="J53" s="188">
        <v>45923.0</v>
      </c>
      <c r="K53" s="186">
        <v>140.0</v>
      </c>
      <c r="L53" s="186">
        <v>0.0</v>
      </c>
      <c r="M53" s="186">
        <v>140.0</v>
      </c>
      <c r="N53" s="189">
        <f t="shared" ref="N53:N54" si="5">K53-M53-L53</f>
        <v>0</v>
      </c>
      <c r="O53" s="186" t="s">
        <v>323</v>
      </c>
      <c r="P53" s="201" t="s">
        <v>70</v>
      </c>
      <c r="Q53" s="241"/>
      <c r="R53" s="241"/>
      <c r="S53" s="241"/>
      <c r="T53" s="241"/>
      <c r="U53" s="241"/>
      <c r="V53" s="241"/>
      <c r="W53" s="241"/>
      <c r="X53" s="241"/>
      <c r="Y53" s="241"/>
      <c r="Z53" s="241"/>
    </row>
    <row r="54" ht="33.0" customHeight="1">
      <c r="A54" s="186">
        <v>2.0</v>
      </c>
      <c r="B54" s="187" t="s">
        <v>15</v>
      </c>
      <c r="C54" s="186" t="s">
        <v>264</v>
      </c>
      <c r="D54" s="186" t="s">
        <v>324</v>
      </c>
      <c r="E54" s="186" t="s">
        <v>34</v>
      </c>
      <c r="F54" s="186" t="s">
        <v>22</v>
      </c>
      <c r="G54" s="186">
        <v>45.0</v>
      </c>
      <c r="H54" s="186" t="s">
        <v>76</v>
      </c>
      <c r="I54" s="188">
        <v>45784.0</v>
      </c>
      <c r="J54" s="188">
        <v>45923.0</v>
      </c>
      <c r="K54" s="186">
        <v>140.0</v>
      </c>
      <c r="L54" s="186">
        <v>0.0</v>
      </c>
      <c r="M54" s="186">
        <v>140.0</v>
      </c>
      <c r="N54" s="189">
        <f t="shared" si="5"/>
        <v>0</v>
      </c>
      <c r="O54" s="186" t="s">
        <v>323</v>
      </c>
      <c r="P54" s="201" t="s">
        <v>70</v>
      </c>
      <c r="Q54" s="241"/>
      <c r="R54" s="241"/>
      <c r="S54" s="241"/>
      <c r="T54" s="241"/>
      <c r="U54" s="241"/>
      <c r="V54" s="241"/>
      <c r="W54" s="241"/>
      <c r="X54" s="241"/>
      <c r="Y54" s="241"/>
      <c r="Z54" s="241"/>
    </row>
    <row r="55" ht="35.25" customHeight="1">
      <c r="A55" s="186">
        <v>2.0</v>
      </c>
      <c r="B55" s="244" t="s">
        <v>16</v>
      </c>
      <c r="C55" s="244" t="s">
        <v>325</v>
      </c>
      <c r="D55" s="244" t="s">
        <v>326</v>
      </c>
      <c r="E55" s="244" t="s">
        <v>34</v>
      </c>
      <c r="F55" s="244" t="s">
        <v>23</v>
      </c>
      <c r="G55" s="244">
        <v>50.0</v>
      </c>
      <c r="H55" s="244" t="s">
        <v>76</v>
      </c>
      <c r="I55" s="245">
        <v>45831.0</v>
      </c>
      <c r="J55" s="245">
        <v>46010.0</v>
      </c>
      <c r="K55" s="244">
        <v>180.0</v>
      </c>
      <c r="L55" s="246">
        <v>0.0</v>
      </c>
      <c r="M55" s="201">
        <v>180.0</v>
      </c>
      <c r="N55" s="201">
        <v>0.0</v>
      </c>
      <c r="O55" s="186" t="s">
        <v>295</v>
      </c>
      <c r="P55" s="201" t="s">
        <v>70</v>
      </c>
      <c r="Q55" s="241"/>
      <c r="R55" s="241"/>
      <c r="S55" s="241"/>
      <c r="T55" s="241"/>
      <c r="U55" s="241"/>
      <c r="V55" s="241"/>
      <c r="W55" s="241"/>
      <c r="X55" s="241"/>
      <c r="Y55" s="241"/>
      <c r="Z55" s="241"/>
    </row>
    <row r="56" ht="35.25" customHeight="1">
      <c r="A56" s="186"/>
      <c r="B56" s="244" t="s">
        <v>16</v>
      </c>
      <c r="C56" s="244" t="s">
        <v>327</v>
      </c>
      <c r="D56" s="244" t="s">
        <v>328</v>
      </c>
      <c r="E56" s="244" t="s">
        <v>35</v>
      </c>
      <c r="F56" s="244" t="s">
        <v>20</v>
      </c>
      <c r="G56" s="244">
        <v>12.0</v>
      </c>
      <c r="H56" s="244" t="s">
        <v>92</v>
      </c>
      <c r="I56" s="245"/>
      <c r="J56" s="245"/>
      <c r="K56" s="244">
        <v>16.0</v>
      </c>
      <c r="L56" s="244">
        <v>0.0</v>
      </c>
      <c r="M56" s="201">
        <v>16.0</v>
      </c>
      <c r="N56" s="201">
        <v>0.0</v>
      </c>
      <c r="O56" s="186" t="s">
        <v>258</v>
      </c>
      <c r="P56" s="201" t="s">
        <v>70</v>
      </c>
      <c r="Q56" s="241"/>
      <c r="R56" s="241"/>
      <c r="S56" s="241"/>
      <c r="T56" s="241"/>
      <c r="U56" s="241"/>
      <c r="V56" s="241"/>
      <c r="W56" s="241"/>
      <c r="X56" s="241"/>
      <c r="Y56" s="241"/>
      <c r="Z56" s="241"/>
    </row>
    <row r="57" ht="35.25" customHeight="1">
      <c r="A57" s="186">
        <v>1.0</v>
      </c>
      <c r="B57" s="244" t="s">
        <v>16</v>
      </c>
      <c r="C57" s="244" t="s">
        <v>325</v>
      </c>
      <c r="D57" s="244" t="s">
        <v>329</v>
      </c>
      <c r="E57" s="244" t="s">
        <v>34</v>
      </c>
      <c r="F57" s="244" t="s">
        <v>23</v>
      </c>
      <c r="G57" s="244">
        <v>20.0</v>
      </c>
      <c r="H57" s="244" t="s">
        <v>76</v>
      </c>
      <c r="I57" s="245">
        <v>46055.0</v>
      </c>
      <c r="J57" s="245">
        <v>46069.0</v>
      </c>
      <c r="K57" s="244">
        <v>40.0</v>
      </c>
      <c r="L57" s="246">
        <v>0.0</v>
      </c>
      <c r="M57" s="201">
        <v>40.0</v>
      </c>
      <c r="N57" s="201">
        <v>0.0</v>
      </c>
      <c r="O57" s="186" t="s">
        <v>232</v>
      </c>
      <c r="P57" s="201" t="s">
        <v>70</v>
      </c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 ht="35.25" customHeight="1">
      <c r="A58" s="201">
        <v>15.0</v>
      </c>
      <c r="B58" s="244" t="s">
        <v>16</v>
      </c>
      <c r="C58" s="244" t="s">
        <v>330</v>
      </c>
      <c r="D58" s="247" t="s">
        <v>331</v>
      </c>
      <c r="E58" s="244" t="s">
        <v>34</v>
      </c>
      <c r="F58" s="244" t="s">
        <v>23</v>
      </c>
      <c r="G58" s="244">
        <v>20.0</v>
      </c>
      <c r="H58" s="244" t="s">
        <v>76</v>
      </c>
      <c r="I58" s="245">
        <v>45996.0</v>
      </c>
      <c r="J58" s="245">
        <v>46010.0</v>
      </c>
      <c r="K58" s="244">
        <v>40.0</v>
      </c>
      <c r="L58" s="244">
        <v>0.0</v>
      </c>
      <c r="M58" s="248">
        <v>0.0</v>
      </c>
      <c r="N58" s="261">
        <v>40.0</v>
      </c>
      <c r="O58" s="186" t="s">
        <v>332</v>
      </c>
      <c r="P58" s="249" t="s">
        <v>70</v>
      </c>
      <c r="Q58" s="241"/>
      <c r="R58" s="241"/>
      <c r="S58" s="241"/>
      <c r="T58" s="241"/>
      <c r="U58" s="241"/>
      <c r="V58" s="241"/>
      <c r="W58" s="241"/>
      <c r="X58" s="241"/>
      <c r="Y58" s="241"/>
      <c r="Z58" s="241"/>
    </row>
    <row r="59" ht="35.25" customHeight="1">
      <c r="A59" s="208">
        <v>1.0</v>
      </c>
      <c r="B59" s="206" t="s">
        <v>16</v>
      </c>
      <c r="C59" s="254" t="s">
        <v>333</v>
      </c>
      <c r="D59" s="254" t="s">
        <v>334</v>
      </c>
      <c r="E59" s="207" t="s">
        <v>35</v>
      </c>
      <c r="F59" s="254" t="s">
        <v>20</v>
      </c>
      <c r="G59" s="254">
        <v>14.0</v>
      </c>
      <c r="H59" s="141" t="s">
        <v>92</v>
      </c>
      <c r="I59" s="256"/>
      <c r="J59" s="256"/>
      <c r="K59" s="254">
        <v>22.0</v>
      </c>
      <c r="L59" s="255">
        <v>0.0</v>
      </c>
      <c r="M59" s="257">
        <v>0.0</v>
      </c>
      <c r="N59" s="205">
        <v>22.0</v>
      </c>
      <c r="O59" s="206" t="s">
        <v>274</v>
      </c>
      <c r="P59" s="205" t="s">
        <v>70</v>
      </c>
      <c r="Q59" s="258"/>
      <c r="R59" s="258"/>
      <c r="S59" s="258"/>
      <c r="T59" s="258"/>
      <c r="U59" s="258"/>
      <c r="V59" s="258"/>
      <c r="W59" s="258"/>
      <c r="X59" s="258"/>
      <c r="Y59" s="258"/>
      <c r="Z59" s="258"/>
    </row>
    <row r="60" ht="35.25" customHeight="1">
      <c r="A60" s="249">
        <v>5.0</v>
      </c>
      <c r="B60" s="244" t="s">
        <v>16</v>
      </c>
      <c r="C60" s="244" t="s">
        <v>330</v>
      </c>
      <c r="D60" s="244" t="s">
        <v>335</v>
      </c>
      <c r="E60" s="249" t="s">
        <v>35</v>
      </c>
      <c r="F60" s="262" t="s">
        <v>19</v>
      </c>
      <c r="G60" s="244">
        <v>10.0</v>
      </c>
      <c r="H60" s="244" t="s">
        <v>92</v>
      </c>
      <c r="I60" s="256"/>
      <c r="J60" s="256"/>
      <c r="K60" s="244">
        <v>10.0</v>
      </c>
      <c r="L60" s="244">
        <v>0.0</v>
      </c>
      <c r="M60" s="244">
        <v>10.0</v>
      </c>
      <c r="N60" s="244">
        <v>0.0</v>
      </c>
      <c r="O60" s="186" t="s">
        <v>336</v>
      </c>
      <c r="P60" s="249" t="s">
        <v>70</v>
      </c>
      <c r="Q60" s="241"/>
      <c r="R60" s="241"/>
      <c r="S60" s="241"/>
      <c r="T60" s="241"/>
      <c r="U60" s="241"/>
      <c r="V60" s="241"/>
      <c r="W60" s="241"/>
      <c r="X60" s="241"/>
      <c r="Y60" s="241"/>
      <c r="Z60" s="241"/>
    </row>
    <row r="61" ht="35.25" customHeight="1">
      <c r="A61" s="249">
        <v>4.0</v>
      </c>
      <c r="B61" s="244" t="s">
        <v>16</v>
      </c>
      <c r="C61" s="244" t="s">
        <v>337</v>
      </c>
      <c r="D61" s="244" t="s">
        <v>335</v>
      </c>
      <c r="E61" s="249" t="s">
        <v>35</v>
      </c>
      <c r="F61" s="262" t="s">
        <v>19</v>
      </c>
      <c r="G61" s="244">
        <v>10.0</v>
      </c>
      <c r="H61" s="244" t="s">
        <v>92</v>
      </c>
      <c r="I61" s="256"/>
      <c r="J61" s="256"/>
      <c r="K61" s="244">
        <v>10.0</v>
      </c>
      <c r="L61" s="244">
        <v>0.0</v>
      </c>
      <c r="M61" s="244">
        <v>10.0</v>
      </c>
      <c r="N61" s="244">
        <v>0.0</v>
      </c>
      <c r="O61" s="186" t="s">
        <v>336</v>
      </c>
      <c r="P61" s="249" t="s">
        <v>70</v>
      </c>
      <c r="Q61" s="241"/>
      <c r="R61" s="241"/>
      <c r="S61" s="241"/>
      <c r="T61" s="241"/>
      <c r="U61" s="241"/>
      <c r="V61" s="241"/>
      <c r="W61" s="241"/>
      <c r="X61" s="241"/>
      <c r="Y61" s="241"/>
      <c r="Z61" s="241"/>
    </row>
    <row r="62" ht="33.0" customHeight="1">
      <c r="A62" s="186">
        <v>4.0</v>
      </c>
      <c r="B62" s="187" t="s">
        <v>16</v>
      </c>
      <c r="C62" s="186" t="s">
        <v>338</v>
      </c>
      <c r="D62" s="186" t="s">
        <v>339</v>
      </c>
      <c r="E62" s="186" t="s">
        <v>34</v>
      </c>
      <c r="F62" s="186" t="s">
        <v>23</v>
      </c>
      <c r="G62" s="186">
        <v>45.0</v>
      </c>
      <c r="H62" s="186" t="s">
        <v>76</v>
      </c>
      <c r="I62" s="188">
        <v>45784.0</v>
      </c>
      <c r="J62" s="188">
        <v>45923.0</v>
      </c>
      <c r="K62" s="186">
        <v>140.0</v>
      </c>
      <c r="L62" s="186">
        <v>0.0</v>
      </c>
      <c r="M62" s="186">
        <v>140.0</v>
      </c>
      <c r="N62" s="189">
        <f>K62-M62-L62</f>
        <v>0</v>
      </c>
      <c r="O62" s="186" t="s">
        <v>323</v>
      </c>
      <c r="P62" s="201" t="s">
        <v>70</v>
      </c>
      <c r="Q62" s="241"/>
      <c r="R62" s="241"/>
      <c r="S62" s="241"/>
      <c r="T62" s="241"/>
      <c r="U62" s="241"/>
      <c r="V62" s="241"/>
      <c r="W62" s="241"/>
      <c r="X62" s="241"/>
      <c r="Y62" s="241"/>
      <c r="Z62" s="241"/>
    </row>
    <row r="63" ht="32.25" customHeight="1">
      <c r="A63" s="244"/>
      <c r="B63" s="244" t="s">
        <v>16</v>
      </c>
      <c r="C63" s="244" t="s">
        <v>340</v>
      </c>
      <c r="D63" s="247" t="s">
        <v>341</v>
      </c>
      <c r="E63" s="244" t="s">
        <v>35</v>
      </c>
      <c r="F63" s="244" t="s">
        <v>28</v>
      </c>
      <c r="G63" s="244">
        <v>8.0</v>
      </c>
      <c r="H63" s="244" t="s">
        <v>92</v>
      </c>
      <c r="I63" s="245"/>
      <c r="J63" s="245"/>
      <c r="K63" s="244">
        <v>8.0</v>
      </c>
      <c r="L63" s="244">
        <v>0.0</v>
      </c>
      <c r="M63" s="244">
        <v>8.0</v>
      </c>
      <c r="N63" s="244">
        <v>0.0</v>
      </c>
      <c r="O63" s="186" t="s">
        <v>320</v>
      </c>
      <c r="P63" s="244" t="s">
        <v>70</v>
      </c>
      <c r="Q63" s="241"/>
      <c r="R63" s="241"/>
      <c r="S63" s="241"/>
      <c r="T63" s="241"/>
      <c r="U63" s="241"/>
      <c r="V63" s="241"/>
      <c r="W63" s="241"/>
      <c r="X63" s="241"/>
      <c r="Y63" s="241"/>
      <c r="Z63" s="241"/>
    </row>
    <row r="64" ht="35.25" customHeight="1">
      <c r="A64" s="186"/>
      <c r="B64" s="244" t="s">
        <v>16</v>
      </c>
      <c r="C64" s="244" t="s">
        <v>342</v>
      </c>
      <c r="D64" s="244" t="s">
        <v>343</v>
      </c>
      <c r="E64" s="244" t="s">
        <v>35</v>
      </c>
      <c r="F64" s="244" t="s">
        <v>19</v>
      </c>
      <c r="G64" s="244">
        <v>10.0</v>
      </c>
      <c r="H64" s="244" t="s">
        <v>92</v>
      </c>
      <c r="I64" s="245"/>
      <c r="J64" s="245"/>
      <c r="K64" s="244">
        <v>10.0</v>
      </c>
      <c r="L64" s="244">
        <v>5.0</v>
      </c>
      <c r="M64" s="244">
        <v>5.0</v>
      </c>
      <c r="N64" s="189">
        <f t="shared" ref="N64:N65" si="6">K64-M64-L64</f>
        <v>0</v>
      </c>
      <c r="O64" s="186" t="s">
        <v>344</v>
      </c>
      <c r="P64" s="201" t="s">
        <v>70</v>
      </c>
      <c r="Q64" s="241"/>
      <c r="R64" s="241"/>
      <c r="S64" s="241"/>
      <c r="T64" s="241"/>
      <c r="U64" s="241"/>
      <c r="V64" s="241"/>
      <c r="W64" s="241"/>
      <c r="X64" s="241"/>
      <c r="Y64" s="241"/>
      <c r="Z64" s="241"/>
    </row>
    <row r="65" ht="35.25" customHeight="1">
      <c r="A65" s="186"/>
      <c r="B65" s="244" t="s">
        <v>16</v>
      </c>
      <c r="C65" s="244" t="s">
        <v>342</v>
      </c>
      <c r="D65" s="244" t="s">
        <v>345</v>
      </c>
      <c r="E65" s="244" t="s">
        <v>35</v>
      </c>
      <c r="F65" s="244" t="s">
        <v>19</v>
      </c>
      <c r="G65" s="244">
        <v>10.0</v>
      </c>
      <c r="H65" s="244" t="s">
        <v>92</v>
      </c>
      <c r="I65" s="245"/>
      <c r="J65" s="245"/>
      <c r="K65" s="244">
        <v>10.0</v>
      </c>
      <c r="L65" s="244">
        <v>0.0</v>
      </c>
      <c r="M65" s="244">
        <v>10.0</v>
      </c>
      <c r="N65" s="189">
        <f t="shared" si="6"/>
        <v>0</v>
      </c>
      <c r="O65" s="186" t="s">
        <v>346</v>
      </c>
      <c r="P65" s="201" t="s">
        <v>70</v>
      </c>
      <c r="Q65" s="241"/>
      <c r="R65" s="241"/>
      <c r="S65" s="241"/>
      <c r="T65" s="241"/>
      <c r="U65" s="241"/>
      <c r="V65" s="241"/>
      <c r="W65" s="241"/>
      <c r="X65" s="241"/>
      <c r="Y65" s="241"/>
      <c r="Z65" s="241"/>
    </row>
    <row r="66" ht="32.25" customHeight="1">
      <c r="A66" s="244"/>
      <c r="B66" s="244" t="s">
        <v>16</v>
      </c>
      <c r="C66" s="244" t="s">
        <v>347</v>
      </c>
      <c r="D66" s="12" t="s">
        <v>348</v>
      </c>
      <c r="E66" s="244" t="s">
        <v>35</v>
      </c>
      <c r="F66" s="244" t="s">
        <v>19</v>
      </c>
      <c r="G66" s="244">
        <v>10.0</v>
      </c>
      <c r="H66" s="244" t="s">
        <v>92</v>
      </c>
      <c r="I66" s="245"/>
      <c r="J66" s="245"/>
      <c r="K66" s="244">
        <v>8.0</v>
      </c>
      <c r="L66" s="244">
        <v>0.0</v>
      </c>
      <c r="M66" s="244">
        <v>8.0</v>
      </c>
      <c r="N66" s="244">
        <v>0.0</v>
      </c>
      <c r="O66" s="186" t="s">
        <v>320</v>
      </c>
      <c r="P66" s="244" t="s">
        <v>70</v>
      </c>
      <c r="Q66" s="241"/>
      <c r="R66" s="241"/>
      <c r="S66" s="241"/>
      <c r="T66" s="241"/>
      <c r="U66" s="241"/>
      <c r="V66" s="241"/>
      <c r="W66" s="241"/>
      <c r="X66" s="241"/>
      <c r="Y66" s="241"/>
      <c r="Z66" s="241"/>
    </row>
    <row r="67" ht="32.25" customHeight="1">
      <c r="A67" s="244"/>
      <c r="B67" s="244" t="s">
        <v>16</v>
      </c>
      <c r="C67" s="244" t="s">
        <v>349</v>
      </c>
      <c r="D67" s="12" t="s">
        <v>348</v>
      </c>
      <c r="E67" s="244" t="s">
        <v>35</v>
      </c>
      <c r="F67" s="244" t="s">
        <v>19</v>
      </c>
      <c r="G67" s="244">
        <v>10.0</v>
      </c>
      <c r="H67" s="244" t="s">
        <v>92</v>
      </c>
      <c r="I67" s="245"/>
      <c r="J67" s="245"/>
      <c r="K67" s="244">
        <v>8.0</v>
      </c>
      <c r="L67" s="244">
        <v>0.0</v>
      </c>
      <c r="M67" s="244">
        <v>8.0</v>
      </c>
      <c r="N67" s="244">
        <v>0.0</v>
      </c>
      <c r="O67" s="186" t="s">
        <v>320</v>
      </c>
      <c r="P67" s="244" t="s">
        <v>70</v>
      </c>
      <c r="Q67" s="241"/>
      <c r="R67" s="241"/>
      <c r="S67" s="241"/>
      <c r="T67" s="241"/>
      <c r="U67" s="241"/>
      <c r="V67" s="241"/>
      <c r="W67" s="241"/>
      <c r="X67" s="241"/>
      <c r="Y67" s="241"/>
      <c r="Z67" s="241"/>
    </row>
    <row r="68" ht="33.0" customHeight="1">
      <c r="A68" s="244"/>
      <c r="B68" s="244" t="s">
        <v>16</v>
      </c>
      <c r="C68" s="244" t="s">
        <v>350</v>
      </c>
      <c r="D68" s="247" t="s">
        <v>351</v>
      </c>
      <c r="E68" s="244" t="s">
        <v>35</v>
      </c>
      <c r="F68" s="244" t="s">
        <v>23</v>
      </c>
      <c r="G68" s="244">
        <v>10.0</v>
      </c>
      <c r="H68" s="244" t="s">
        <v>92</v>
      </c>
      <c r="I68" s="245"/>
      <c r="J68" s="245"/>
      <c r="K68" s="244">
        <v>8.0</v>
      </c>
      <c r="L68" s="244">
        <v>0.0</v>
      </c>
      <c r="M68" s="244">
        <v>8.0</v>
      </c>
      <c r="N68" s="244">
        <v>0.0</v>
      </c>
      <c r="O68" s="186" t="s">
        <v>320</v>
      </c>
      <c r="P68" s="244" t="s">
        <v>70</v>
      </c>
      <c r="Q68" s="241"/>
      <c r="R68" s="241"/>
      <c r="S68" s="241"/>
      <c r="T68" s="241"/>
      <c r="U68" s="241"/>
      <c r="V68" s="241"/>
      <c r="W68" s="241"/>
      <c r="X68" s="241"/>
      <c r="Y68" s="241"/>
      <c r="Z68" s="241"/>
    </row>
    <row r="69" ht="35.25" customHeight="1">
      <c r="A69" s="186"/>
      <c r="B69" s="244" t="s">
        <v>16</v>
      </c>
      <c r="C69" s="244" t="s">
        <v>340</v>
      </c>
      <c r="D69" s="244" t="s">
        <v>352</v>
      </c>
      <c r="E69" s="244" t="s">
        <v>34</v>
      </c>
      <c r="F69" s="244" t="s">
        <v>19</v>
      </c>
      <c r="G69" s="244">
        <v>30.0</v>
      </c>
      <c r="H69" s="244" t="s">
        <v>76</v>
      </c>
      <c r="I69" s="245">
        <v>45831.0</v>
      </c>
      <c r="J69" s="245">
        <v>45880.0</v>
      </c>
      <c r="K69" s="244">
        <v>65.0</v>
      </c>
      <c r="L69" s="244">
        <v>20.0</v>
      </c>
      <c r="M69" s="186">
        <v>28.0</v>
      </c>
      <c r="N69" s="189">
        <f t="shared" ref="N69:N77" si="7">K69-M69-L69</f>
        <v>17</v>
      </c>
      <c r="O69" s="186" t="s">
        <v>295</v>
      </c>
      <c r="P69" s="201" t="s">
        <v>70</v>
      </c>
      <c r="Q69" s="241"/>
      <c r="R69" s="241"/>
      <c r="S69" s="241"/>
      <c r="T69" s="241"/>
      <c r="U69" s="241"/>
      <c r="V69" s="241"/>
      <c r="W69" s="241"/>
      <c r="X69" s="241"/>
      <c r="Y69" s="241"/>
      <c r="Z69" s="241"/>
    </row>
    <row r="70" ht="35.25" customHeight="1">
      <c r="A70" s="186"/>
      <c r="B70" s="244" t="s">
        <v>16</v>
      </c>
      <c r="C70" s="244" t="s">
        <v>340</v>
      </c>
      <c r="D70" s="244" t="s">
        <v>353</v>
      </c>
      <c r="E70" s="244" t="s">
        <v>34</v>
      </c>
      <c r="F70" s="244" t="s">
        <v>22</v>
      </c>
      <c r="G70" s="244">
        <v>50.0</v>
      </c>
      <c r="H70" s="244" t="s">
        <v>76</v>
      </c>
      <c r="I70" s="245">
        <v>45903.0</v>
      </c>
      <c r="J70" s="245">
        <v>46082.0</v>
      </c>
      <c r="K70" s="244">
        <v>180.0</v>
      </c>
      <c r="L70" s="244">
        <v>30.0</v>
      </c>
      <c r="M70" s="246">
        <v>0.0</v>
      </c>
      <c r="N70" s="189">
        <f t="shared" si="7"/>
        <v>150</v>
      </c>
      <c r="O70" s="186" t="s">
        <v>289</v>
      </c>
      <c r="P70" s="201" t="s">
        <v>70</v>
      </c>
      <c r="Q70" s="241"/>
      <c r="R70" s="241"/>
      <c r="S70" s="241"/>
      <c r="T70" s="241"/>
      <c r="U70" s="241"/>
      <c r="V70" s="241"/>
      <c r="W70" s="241"/>
      <c r="X70" s="241"/>
      <c r="Y70" s="241"/>
      <c r="Z70" s="241"/>
    </row>
    <row r="71" ht="35.25" customHeight="1">
      <c r="A71" s="186"/>
      <c r="B71" s="244" t="s">
        <v>16</v>
      </c>
      <c r="C71" s="244" t="s">
        <v>354</v>
      </c>
      <c r="D71" s="244" t="s">
        <v>355</v>
      </c>
      <c r="E71" s="244" t="s">
        <v>35</v>
      </c>
      <c r="F71" s="244" t="s">
        <v>23</v>
      </c>
      <c r="G71" s="244">
        <v>10.0</v>
      </c>
      <c r="H71" s="244" t="s">
        <v>92</v>
      </c>
      <c r="I71" s="245"/>
      <c r="J71" s="245"/>
      <c r="K71" s="244">
        <v>10.0</v>
      </c>
      <c r="L71" s="244">
        <v>0.0</v>
      </c>
      <c r="M71" s="186">
        <v>10.0</v>
      </c>
      <c r="N71" s="189">
        <f t="shared" si="7"/>
        <v>0</v>
      </c>
      <c r="O71" s="186" t="s">
        <v>307</v>
      </c>
      <c r="P71" s="201" t="s">
        <v>70</v>
      </c>
      <c r="Q71" s="241"/>
      <c r="R71" s="241"/>
      <c r="S71" s="241"/>
      <c r="T71" s="241"/>
      <c r="U71" s="241"/>
      <c r="V71" s="241"/>
      <c r="W71" s="241"/>
      <c r="X71" s="241"/>
      <c r="Y71" s="241"/>
      <c r="Z71" s="241"/>
    </row>
    <row r="72" ht="35.25" customHeight="1">
      <c r="A72" s="201"/>
      <c r="B72" s="244" t="s">
        <v>16</v>
      </c>
      <c r="C72" s="244" t="s">
        <v>356</v>
      </c>
      <c r="D72" s="244" t="s">
        <v>357</v>
      </c>
      <c r="E72" s="244" t="s">
        <v>35</v>
      </c>
      <c r="F72" s="248" t="s">
        <v>21</v>
      </c>
      <c r="G72" s="244">
        <v>8.0</v>
      </c>
      <c r="H72" s="244" t="s">
        <v>92</v>
      </c>
      <c r="I72" s="245"/>
      <c r="J72" s="245"/>
      <c r="K72" s="244">
        <v>8.0</v>
      </c>
      <c r="L72" s="244">
        <v>0.0</v>
      </c>
      <c r="M72" s="186">
        <v>8.0</v>
      </c>
      <c r="N72" s="189">
        <f t="shared" si="7"/>
        <v>0</v>
      </c>
      <c r="O72" s="186" t="s">
        <v>358</v>
      </c>
      <c r="P72" s="201" t="s">
        <v>70</v>
      </c>
      <c r="Q72" s="241"/>
      <c r="R72" s="241"/>
      <c r="S72" s="241"/>
      <c r="T72" s="241"/>
      <c r="U72" s="241"/>
      <c r="V72" s="241"/>
      <c r="W72" s="241"/>
      <c r="X72" s="241"/>
      <c r="Y72" s="241"/>
      <c r="Z72" s="241"/>
    </row>
    <row r="73" ht="35.25" customHeight="1">
      <c r="A73" s="186">
        <v>10.0</v>
      </c>
      <c r="B73" s="244" t="s">
        <v>16</v>
      </c>
      <c r="C73" s="244" t="s">
        <v>350</v>
      </c>
      <c r="D73" s="244" t="s">
        <v>359</v>
      </c>
      <c r="E73" s="244" t="s">
        <v>34</v>
      </c>
      <c r="F73" s="244" t="s">
        <v>23</v>
      </c>
      <c r="G73" s="244">
        <v>30.0</v>
      </c>
      <c r="H73" s="248" t="s">
        <v>92</v>
      </c>
      <c r="I73" s="245">
        <v>45819.0</v>
      </c>
      <c r="J73" s="245">
        <v>45868.0</v>
      </c>
      <c r="K73" s="244">
        <v>65.0</v>
      </c>
      <c r="L73" s="244">
        <v>0.0</v>
      </c>
      <c r="M73" s="244">
        <v>65.0</v>
      </c>
      <c r="N73" s="189">
        <f t="shared" si="7"/>
        <v>0</v>
      </c>
      <c r="O73" s="244" t="s">
        <v>301</v>
      </c>
      <c r="P73" s="201" t="s">
        <v>70</v>
      </c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 ht="35.25" customHeight="1">
      <c r="A74" s="186"/>
      <c r="B74" s="244" t="s">
        <v>16</v>
      </c>
      <c r="C74" s="244" t="s">
        <v>338</v>
      </c>
      <c r="D74" s="244" t="s">
        <v>360</v>
      </c>
      <c r="E74" s="244" t="s">
        <v>35</v>
      </c>
      <c r="F74" s="244" t="s">
        <v>20</v>
      </c>
      <c r="G74" s="244">
        <v>13.0</v>
      </c>
      <c r="H74" s="244" t="s">
        <v>92</v>
      </c>
      <c r="I74" s="245"/>
      <c r="J74" s="245"/>
      <c r="K74" s="244">
        <v>19.0</v>
      </c>
      <c r="L74" s="244">
        <v>0.0</v>
      </c>
      <c r="M74" s="186">
        <v>19.0</v>
      </c>
      <c r="N74" s="189">
        <f t="shared" si="7"/>
        <v>0</v>
      </c>
      <c r="O74" s="186" t="s">
        <v>307</v>
      </c>
      <c r="P74" s="201" t="s">
        <v>70</v>
      </c>
      <c r="Q74" s="241"/>
      <c r="R74" s="241"/>
      <c r="S74" s="241"/>
      <c r="T74" s="241"/>
      <c r="U74" s="241"/>
      <c r="V74" s="241"/>
      <c r="W74" s="241"/>
      <c r="X74" s="241"/>
      <c r="Y74" s="241"/>
      <c r="Z74" s="241"/>
    </row>
    <row r="75" ht="35.25" customHeight="1">
      <c r="A75" s="186"/>
      <c r="B75" s="244" t="s">
        <v>16</v>
      </c>
      <c r="C75" s="244" t="s">
        <v>361</v>
      </c>
      <c r="D75" s="244" t="s">
        <v>362</v>
      </c>
      <c r="E75" s="244" t="s">
        <v>34</v>
      </c>
      <c r="F75" s="244" t="s">
        <v>22</v>
      </c>
      <c r="G75" s="244">
        <v>20.0</v>
      </c>
      <c r="H75" s="248" t="s">
        <v>92</v>
      </c>
      <c r="I75" s="245">
        <v>45845.0</v>
      </c>
      <c r="J75" s="245">
        <v>45859.0</v>
      </c>
      <c r="K75" s="244">
        <v>40.0</v>
      </c>
      <c r="L75" s="244">
        <v>0.0</v>
      </c>
      <c r="M75" s="186">
        <v>40.0</v>
      </c>
      <c r="N75" s="189">
        <f t="shared" si="7"/>
        <v>0</v>
      </c>
      <c r="O75" s="186" t="s">
        <v>307</v>
      </c>
      <c r="P75" s="201" t="s">
        <v>70</v>
      </c>
      <c r="Q75" s="241"/>
      <c r="R75" s="241"/>
      <c r="S75" s="241"/>
      <c r="T75" s="241"/>
      <c r="U75" s="241"/>
      <c r="V75" s="241"/>
      <c r="W75" s="241"/>
      <c r="X75" s="241"/>
      <c r="Y75" s="241"/>
      <c r="Z75" s="241"/>
    </row>
    <row r="76" ht="35.25" customHeight="1">
      <c r="A76" s="201">
        <v>9.0</v>
      </c>
      <c r="B76" s="244" t="s">
        <v>16</v>
      </c>
      <c r="C76" s="244" t="s">
        <v>363</v>
      </c>
      <c r="D76" s="244" t="s">
        <v>364</v>
      </c>
      <c r="E76" s="244" t="s">
        <v>35</v>
      </c>
      <c r="F76" s="244" t="s">
        <v>19</v>
      </c>
      <c r="G76" s="244">
        <v>10.0</v>
      </c>
      <c r="H76" s="244" t="s">
        <v>92</v>
      </c>
      <c r="I76" s="245"/>
      <c r="J76" s="245"/>
      <c r="K76" s="244">
        <v>10.0</v>
      </c>
      <c r="L76" s="244">
        <v>0.0</v>
      </c>
      <c r="M76" s="186">
        <v>10.0</v>
      </c>
      <c r="N76" s="189">
        <f t="shared" si="7"/>
        <v>0</v>
      </c>
      <c r="O76" s="186" t="s">
        <v>309</v>
      </c>
      <c r="P76" s="201" t="s">
        <v>70</v>
      </c>
      <c r="Q76" s="241"/>
      <c r="R76" s="241"/>
      <c r="S76" s="241"/>
      <c r="T76" s="241"/>
      <c r="U76" s="241"/>
      <c r="V76" s="241"/>
      <c r="W76" s="241"/>
      <c r="X76" s="241"/>
      <c r="Y76" s="241"/>
      <c r="Z76" s="241"/>
    </row>
    <row r="77" ht="35.25" customHeight="1">
      <c r="A77" s="186"/>
      <c r="B77" s="244" t="s">
        <v>16</v>
      </c>
      <c r="C77" s="244" t="s">
        <v>365</v>
      </c>
      <c r="D77" s="244" t="s">
        <v>366</v>
      </c>
      <c r="E77" s="244" t="s">
        <v>34</v>
      </c>
      <c r="F77" s="244" t="s">
        <v>19</v>
      </c>
      <c r="G77" s="244">
        <v>30.0</v>
      </c>
      <c r="H77" s="244" t="s">
        <v>76</v>
      </c>
      <c r="I77" s="245">
        <v>45877.0</v>
      </c>
      <c r="J77" s="188">
        <v>45928.0</v>
      </c>
      <c r="K77" s="244">
        <v>65.0</v>
      </c>
      <c r="L77" s="246">
        <v>0.0</v>
      </c>
      <c r="M77" s="186">
        <v>30.0</v>
      </c>
      <c r="N77" s="189">
        <f t="shared" si="7"/>
        <v>35</v>
      </c>
      <c r="O77" s="186" t="s">
        <v>295</v>
      </c>
      <c r="P77" s="201" t="s">
        <v>70</v>
      </c>
      <c r="Q77" s="241"/>
      <c r="R77" s="241"/>
      <c r="S77" s="241"/>
      <c r="T77" s="241"/>
      <c r="U77" s="241"/>
      <c r="V77" s="241"/>
      <c r="W77" s="241"/>
      <c r="X77" s="241"/>
      <c r="Y77" s="241"/>
      <c r="Z77" s="241"/>
    </row>
    <row r="78" ht="35.25" customHeight="1">
      <c r="A78" s="186"/>
      <c r="B78" s="244" t="s">
        <v>16</v>
      </c>
      <c r="C78" s="244" t="s">
        <v>367</v>
      </c>
      <c r="D78" s="244" t="s">
        <v>315</v>
      </c>
      <c r="E78" s="244" t="s">
        <v>34</v>
      </c>
      <c r="F78" s="244" t="s">
        <v>19</v>
      </c>
      <c r="G78" s="244">
        <v>10.0</v>
      </c>
      <c r="H78" s="244" t="s">
        <v>92</v>
      </c>
      <c r="I78" s="245"/>
      <c r="J78" s="245"/>
      <c r="K78" s="244">
        <v>10.0</v>
      </c>
      <c r="L78" s="244">
        <v>0.0</v>
      </c>
      <c r="M78" s="244">
        <v>10.0</v>
      </c>
      <c r="N78" s="244">
        <v>0.0</v>
      </c>
      <c r="O78" s="186" t="s">
        <v>316</v>
      </c>
      <c r="P78" s="244" t="s">
        <v>70</v>
      </c>
      <c r="Q78" s="241"/>
      <c r="R78" s="241"/>
      <c r="S78" s="241"/>
      <c r="T78" s="241"/>
      <c r="U78" s="241"/>
      <c r="V78" s="241"/>
      <c r="W78" s="241"/>
      <c r="X78" s="241"/>
      <c r="Y78" s="241"/>
      <c r="Z78" s="241"/>
    </row>
    <row r="79" ht="35.25" customHeight="1">
      <c r="A79" s="186"/>
      <c r="B79" s="244" t="s">
        <v>16</v>
      </c>
      <c r="C79" s="244" t="s">
        <v>368</v>
      </c>
      <c r="D79" s="244" t="s">
        <v>369</v>
      </c>
      <c r="E79" s="244" t="s">
        <v>34</v>
      </c>
      <c r="F79" s="244" t="s">
        <v>20</v>
      </c>
      <c r="G79" s="244">
        <v>12.0</v>
      </c>
      <c r="H79" s="244" t="s">
        <v>92</v>
      </c>
      <c r="I79" s="245"/>
      <c r="J79" s="245"/>
      <c r="K79" s="244">
        <v>16.0</v>
      </c>
      <c r="L79" s="244">
        <v>0.0</v>
      </c>
      <c r="M79" s="244">
        <v>16.0</v>
      </c>
      <c r="N79" s="244">
        <v>0.0</v>
      </c>
      <c r="O79" s="186" t="s">
        <v>370</v>
      </c>
      <c r="P79" s="244" t="s">
        <v>70</v>
      </c>
      <c r="Q79" s="241"/>
      <c r="R79" s="241"/>
      <c r="S79" s="241"/>
      <c r="T79" s="241"/>
      <c r="U79" s="241"/>
      <c r="V79" s="241"/>
      <c r="W79" s="241"/>
      <c r="X79" s="241"/>
      <c r="Y79" s="241"/>
      <c r="Z79" s="241"/>
    </row>
    <row r="80" ht="35.25" customHeight="1">
      <c r="A80" s="214"/>
      <c r="B80" s="207" t="s">
        <v>16</v>
      </c>
      <c r="C80" s="254" t="s">
        <v>371</v>
      </c>
      <c r="D80" s="254" t="s">
        <v>372</v>
      </c>
      <c r="E80" s="207" t="s">
        <v>34</v>
      </c>
      <c r="F80" s="254" t="s">
        <v>23</v>
      </c>
      <c r="G80" s="255">
        <v>10.0</v>
      </c>
      <c r="H80" s="207" t="s">
        <v>92</v>
      </c>
      <c r="I80" s="256"/>
      <c r="J80" s="256"/>
      <c r="K80" s="255">
        <v>10.0</v>
      </c>
      <c r="L80" s="255">
        <v>0.0</v>
      </c>
      <c r="M80" s="255">
        <v>10.0</v>
      </c>
      <c r="N80" s="255">
        <v>0.0</v>
      </c>
      <c r="O80" s="207" t="s">
        <v>316</v>
      </c>
      <c r="P80" s="207" t="s">
        <v>70</v>
      </c>
      <c r="Q80" s="241"/>
      <c r="R80" s="241"/>
      <c r="S80" s="241"/>
      <c r="T80" s="241"/>
      <c r="U80" s="241"/>
      <c r="V80" s="241"/>
      <c r="W80" s="241"/>
      <c r="X80" s="241"/>
      <c r="Y80" s="241"/>
      <c r="Z80" s="241"/>
    </row>
    <row r="81" ht="35.25" customHeight="1">
      <c r="A81" s="214"/>
      <c r="B81" s="207" t="s">
        <v>16</v>
      </c>
      <c r="C81" s="254" t="s">
        <v>371</v>
      </c>
      <c r="D81" s="254" t="s">
        <v>373</v>
      </c>
      <c r="E81" s="207" t="s">
        <v>34</v>
      </c>
      <c r="F81" s="254" t="s">
        <v>23</v>
      </c>
      <c r="G81" s="255">
        <v>10.0</v>
      </c>
      <c r="H81" s="207" t="s">
        <v>92</v>
      </c>
      <c r="I81" s="256"/>
      <c r="J81" s="256"/>
      <c r="K81" s="255">
        <v>10.0</v>
      </c>
      <c r="L81" s="255">
        <v>0.0</v>
      </c>
      <c r="M81" s="255">
        <v>10.0</v>
      </c>
      <c r="N81" s="255">
        <v>0.0</v>
      </c>
      <c r="O81" s="207" t="s">
        <v>316</v>
      </c>
      <c r="P81" s="207" t="s">
        <v>70</v>
      </c>
      <c r="Q81" s="241"/>
      <c r="R81" s="241"/>
      <c r="S81" s="241"/>
      <c r="T81" s="241"/>
      <c r="U81" s="241"/>
      <c r="V81" s="241"/>
      <c r="W81" s="241"/>
      <c r="X81" s="241"/>
      <c r="Y81" s="241"/>
      <c r="Z81" s="241"/>
    </row>
    <row r="82" ht="35.25" customHeight="1">
      <c r="A82" s="263">
        <v>9.0</v>
      </c>
      <c r="B82" s="141" t="s">
        <v>16</v>
      </c>
      <c r="C82" s="264" t="s">
        <v>367</v>
      </c>
      <c r="D82" s="264" t="s">
        <v>374</v>
      </c>
      <c r="E82" s="157" t="s">
        <v>35</v>
      </c>
      <c r="F82" s="265" t="s">
        <v>19</v>
      </c>
      <c r="G82" s="266">
        <v>10.0</v>
      </c>
      <c r="H82" s="141" t="s">
        <v>92</v>
      </c>
      <c r="I82" s="267"/>
      <c r="J82" s="267"/>
      <c r="K82" s="266">
        <v>10.0</v>
      </c>
      <c r="L82" s="264">
        <v>0.0</v>
      </c>
      <c r="M82" s="266">
        <v>10.0</v>
      </c>
      <c r="N82" s="266">
        <v>0.0</v>
      </c>
      <c r="O82" s="141" t="s">
        <v>375</v>
      </c>
      <c r="P82" s="263" t="s">
        <v>70</v>
      </c>
      <c r="Q82" s="241"/>
      <c r="R82" s="241"/>
      <c r="S82" s="241"/>
      <c r="T82" s="241"/>
      <c r="U82" s="241"/>
      <c r="V82" s="241"/>
      <c r="W82" s="241"/>
      <c r="X82" s="241"/>
      <c r="Y82" s="241"/>
      <c r="Z82" s="241"/>
    </row>
    <row r="83" ht="35.25" customHeight="1">
      <c r="A83" s="157"/>
      <c r="B83" s="141" t="s">
        <v>16</v>
      </c>
      <c r="C83" s="264" t="s">
        <v>342</v>
      </c>
      <c r="D83" s="264" t="s">
        <v>376</v>
      </c>
      <c r="E83" s="157" t="s">
        <v>35</v>
      </c>
      <c r="F83" s="265" t="s">
        <v>19</v>
      </c>
      <c r="G83" s="266">
        <v>10.0</v>
      </c>
      <c r="H83" s="141" t="s">
        <v>92</v>
      </c>
      <c r="I83" s="267"/>
      <c r="J83" s="267"/>
      <c r="K83" s="266">
        <v>10.0</v>
      </c>
      <c r="L83" s="264">
        <v>0.0</v>
      </c>
      <c r="M83" s="266">
        <v>10.0</v>
      </c>
      <c r="N83" s="266">
        <v>0.0</v>
      </c>
      <c r="O83" s="141" t="s">
        <v>375</v>
      </c>
      <c r="P83" s="263" t="s">
        <v>70</v>
      </c>
      <c r="Q83" s="241"/>
      <c r="R83" s="241"/>
      <c r="S83" s="241"/>
      <c r="T83" s="241"/>
      <c r="U83" s="241"/>
      <c r="V83" s="241"/>
      <c r="W83" s="241"/>
      <c r="X83" s="241"/>
      <c r="Y83" s="241"/>
      <c r="Z83" s="241"/>
    </row>
    <row r="84" ht="35.25" customHeight="1">
      <c r="A84" s="268">
        <v>4.0</v>
      </c>
      <c r="B84" s="244" t="s">
        <v>16</v>
      </c>
      <c r="C84" s="244" t="s">
        <v>337</v>
      </c>
      <c r="D84" s="244" t="s">
        <v>377</v>
      </c>
      <c r="E84" s="249" t="s">
        <v>35</v>
      </c>
      <c r="F84" s="262" t="s">
        <v>23</v>
      </c>
      <c r="G84" s="244">
        <v>17.0</v>
      </c>
      <c r="H84" s="244" t="s">
        <v>92</v>
      </c>
      <c r="I84" s="256"/>
      <c r="J84" s="256"/>
      <c r="K84" s="244">
        <v>31.0</v>
      </c>
      <c r="L84" s="244">
        <v>0.0</v>
      </c>
      <c r="M84" s="248">
        <v>31.0</v>
      </c>
      <c r="N84" s="248">
        <v>0.0</v>
      </c>
      <c r="O84" s="186" t="s">
        <v>336</v>
      </c>
      <c r="P84" s="210" t="s">
        <v>70</v>
      </c>
      <c r="Q84" s="241"/>
      <c r="R84" s="241"/>
      <c r="S84" s="241"/>
      <c r="T84" s="241"/>
      <c r="U84" s="241"/>
      <c r="V84" s="241"/>
      <c r="W84" s="241"/>
      <c r="X84" s="241"/>
      <c r="Y84" s="241"/>
      <c r="Z84" s="241"/>
    </row>
    <row r="85" ht="35.25" customHeight="1">
      <c r="A85" s="268">
        <v>5.0</v>
      </c>
      <c r="B85" s="244" t="s">
        <v>16</v>
      </c>
      <c r="C85" s="244" t="s">
        <v>330</v>
      </c>
      <c r="D85" s="244" t="s">
        <v>377</v>
      </c>
      <c r="E85" s="249" t="s">
        <v>35</v>
      </c>
      <c r="F85" s="262" t="s">
        <v>23</v>
      </c>
      <c r="G85" s="244">
        <v>17.0</v>
      </c>
      <c r="H85" s="244" t="s">
        <v>92</v>
      </c>
      <c r="I85" s="256"/>
      <c r="J85" s="256"/>
      <c r="K85" s="244">
        <v>31.0</v>
      </c>
      <c r="L85" s="244">
        <v>0.0</v>
      </c>
      <c r="M85" s="248">
        <v>31.0</v>
      </c>
      <c r="N85" s="248">
        <v>0.0</v>
      </c>
      <c r="O85" s="186" t="s">
        <v>336</v>
      </c>
      <c r="P85" s="210" t="s">
        <v>70</v>
      </c>
      <c r="Q85" s="241"/>
      <c r="R85" s="241"/>
      <c r="S85" s="241"/>
      <c r="T85" s="241"/>
      <c r="U85" s="241"/>
      <c r="V85" s="241"/>
      <c r="W85" s="241"/>
      <c r="X85" s="241"/>
      <c r="Y85" s="241"/>
      <c r="Z85" s="241"/>
    </row>
    <row r="86" ht="35.25" customHeight="1">
      <c r="A86" s="268">
        <v>6.0</v>
      </c>
      <c r="B86" s="244" t="s">
        <v>16</v>
      </c>
      <c r="C86" s="244" t="s">
        <v>333</v>
      </c>
      <c r="D86" s="244" t="s">
        <v>377</v>
      </c>
      <c r="E86" s="249" t="s">
        <v>35</v>
      </c>
      <c r="F86" s="262" t="s">
        <v>23</v>
      </c>
      <c r="G86" s="244">
        <v>17.0</v>
      </c>
      <c r="H86" s="244" t="s">
        <v>92</v>
      </c>
      <c r="I86" s="256"/>
      <c r="J86" s="256"/>
      <c r="K86" s="244">
        <v>31.0</v>
      </c>
      <c r="L86" s="244">
        <v>0.0</v>
      </c>
      <c r="M86" s="248">
        <v>31.0</v>
      </c>
      <c r="N86" s="248">
        <v>0.0</v>
      </c>
      <c r="O86" s="186" t="s">
        <v>336</v>
      </c>
      <c r="P86" s="249" t="s">
        <v>70</v>
      </c>
      <c r="Q86" s="241"/>
      <c r="R86" s="241"/>
      <c r="S86" s="241"/>
      <c r="T86" s="241"/>
      <c r="U86" s="241"/>
      <c r="V86" s="241"/>
      <c r="W86" s="241"/>
      <c r="X86" s="241"/>
      <c r="Y86" s="241"/>
      <c r="Z86" s="241"/>
    </row>
    <row r="87" ht="35.25" customHeight="1">
      <c r="A87" s="268">
        <v>8.0</v>
      </c>
      <c r="B87" s="244" t="s">
        <v>16</v>
      </c>
      <c r="C87" s="244" t="s">
        <v>378</v>
      </c>
      <c r="D87" s="244" t="s">
        <v>379</v>
      </c>
      <c r="E87" s="249" t="s">
        <v>34</v>
      </c>
      <c r="F87" s="262" t="s">
        <v>19</v>
      </c>
      <c r="G87" s="244">
        <v>25.0</v>
      </c>
      <c r="H87" s="244" t="s">
        <v>76</v>
      </c>
      <c r="I87" s="245">
        <v>45943.0</v>
      </c>
      <c r="J87" s="245">
        <v>45972.0</v>
      </c>
      <c r="K87" s="244">
        <v>50.0</v>
      </c>
      <c r="L87" s="244">
        <v>0.0</v>
      </c>
      <c r="M87" s="248">
        <v>50.0</v>
      </c>
      <c r="N87" s="248">
        <v>0.0</v>
      </c>
      <c r="O87" s="186" t="s">
        <v>380</v>
      </c>
      <c r="P87" s="210" t="s">
        <v>70</v>
      </c>
      <c r="Q87" s="241"/>
      <c r="R87" s="241"/>
      <c r="S87" s="241"/>
      <c r="T87" s="241"/>
      <c r="U87" s="241"/>
      <c r="V87" s="241"/>
      <c r="W87" s="241"/>
      <c r="X87" s="241"/>
      <c r="Y87" s="241"/>
      <c r="Z87" s="241"/>
    </row>
    <row r="88" ht="35.25" customHeight="1">
      <c r="A88" s="182">
        <v>9.0</v>
      </c>
      <c r="B88" s="141" t="s">
        <v>16</v>
      </c>
      <c r="C88" s="264" t="s">
        <v>347</v>
      </c>
      <c r="D88" s="264" t="s">
        <v>381</v>
      </c>
      <c r="E88" s="157" t="s">
        <v>34</v>
      </c>
      <c r="F88" s="269" t="s">
        <v>23</v>
      </c>
      <c r="G88" s="266">
        <v>20.0</v>
      </c>
      <c r="H88" s="244" t="s">
        <v>76</v>
      </c>
      <c r="I88" s="245">
        <v>45953.0</v>
      </c>
      <c r="J88" s="245">
        <v>45967.0</v>
      </c>
      <c r="K88" s="266">
        <v>40.0</v>
      </c>
      <c r="L88" s="264">
        <v>0.0</v>
      </c>
      <c r="M88" s="261">
        <v>40.0</v>
      </c>
      <c r="N88" s="261">
        <v>0.0</v>
      </c>
      <c r="O88" s="181" t="s">
        <v>382</v>
      </c>
      <c r="P88" s="270" t="s">
        <v>70</v>
      </c>
      <c r="Q88" s="241"/>
      <c r="R88" s="241"/>
      <c r="S88" s="241"/>
      <c r="T88" s="241"/>
      <c r="U88" s="241"/>
      <c r="V88" s="241"/>
      <c r="W88" s="241"/>
      <c r="X88" s="241"/>
      <c r="Y88" s="241"/>
      <c r="Z88" s="241"/>
    </row>
    <row r="89" ht="35.25" customHeight="1">
      <c r="A89" s="268">
        <v>7.0</v>
      </c>
      <c r="B89" s="244" t="s">
        <v>16</v>
      </c>
      <c r="C89" s="244" t="s">
        <v>383</v>
      </c>
      <c r="D89" s="244" t="s">
        <v>376</v>
      </c>
      <c r="E89" s="249" t="s">
        <v>34</v>
      </c>
      <c r="F89" s="262" t="s">
        <v>19</v>
      </c>
      <c r="G89" s="244">
        <v>30.0</v>
      </c>
      <c r="H89" s="244" t="s">
        <v>76</v>
      </c>
      <c r="I89" s="245">
        <v>45943.0</v>
      </c>
      <c r="J89" s="245">
        <v>45992.0</v>
      </c>
      <c r="K89" s="244">
        <v>65.0</v>
      </c>
      <c r="L89" s="244">
        <v>0.0</v>
      </c>
      <c r="M89" s="248">
        <v>65.0</v>
      </c>
      <c r="N89" s="248">
        <v>0.0</v>
      </c>
      <c r="O89" s="186" t="s">
        <v>336</v>
      </c>
      <c r="P89" s="201" t="s">
        <v>70</v>
      </c>
      <c r="Q89" s="241"/>
      <c r="R89" s="241"/>
      <c r="S89" s="241"/>
      <c r="T89" s="241"/>
      <c r="U89" s="241"/>
      <c r="V89" s="241"/>
      <c r="W89" s="241"/>
      <c r="X89" s="241"/>
      <c r="Y89" s="241"/>
      <c r="Z89" s="241"/>
    </row>
    <row r="90" ht="35.25" customHeight="1">
      <c r="A90" s="186">
        <v>2.0</v>
      </c>
      <c r="B90" s="244" t="s">
        <v>16</v>
      </c>
      <c r="C90" s="244" t="s">
        <v>378</v>
      </c>
      <c r="D90" s="244" t="s">
        <v>384</v>
      </c>
      <c r="E90" s="244" t="s">
        <v>35</v>
      </c>
      <c r="F90" s="244" t="s">
        <v>19</v>
      </c>
      <c r="G90" s="244">
        <v>10.0</v>
      </c>
      <c r="H90" s="206" t="s">
        <v>92</v>
      </c>
      <c r="I90" s="245"/>
      <c r="J90" s="245"/>
      <c r="K90" s="244">
        <v>10.0</v>
      </c>
      <c r="L90" s="244">
        <v>0.0</v>
      </c>
      <c r="M90" s="248">
        <v>10.0</v>
      </c>
      <c r="N90" s="201">
        <v>0.0</v>
      </c>
      <c r="O90" s="186" t="s">
        <v>271</v>
      </c>
      <c r="P90" s="201" t="s">
        <v>70</v>
      </c>
      <c r="Q90" s="241"/>
      <c r="R90" s="241"/>
      <c r="S90" s="241"/>
      <c r="T90" s="241"/>
      <c r="U90" s="241"/>
      <c r="V90" s="241"/>
      <c r="W90" s="241"/>
      <c r="X90" s="241"/>
      <c r="Y90" s="241"/>
      <c r="Z90" s="241"/>
    </row>
    <row r="91" ht="35.25" customHeight="1">
      <c r="A91" s="186">
        <v>1.0</v>
      </c>
      <c r="B91" s="244" t="s">
        <v>16</v>
      </c>
      <c r="C91" s="244" t="s">
        <v>350</v>
      </c>
      <c r="D91" s="244" t="s">
        <v>385</v>
      </c>
      <c r="E91" s="244" t="s">
        <v>34</v>
      </c>
      <c r="F91" s="244" t="s">
        <v>19</v>
      </c>
      <c r="G91" s="244">
        <v>30.0</v>
      </c>
      <c r="H91" s="244" t="s">
        <v>76</v>
      </c>
      <c r="I91" s="245">
        <v>46002.0</v>
      </c>
      <c r="J91" s="245">
        <v>45686.0</v>
      </c>
      <c r="K91" s="244">
        <v>65.0</v>
      </c>
      <c r="L91" s="246">
        <v>0.0</v>
      </c>
      <c r="M91" s="201">
        <v>65.0</v>
      </c>
      <c r="N91" s="201">
        <f>K91-L91-M91</f>
        <v>0</v>
      </c>
      <c r="O91" s="186" t="s">
        <v>295</v>
      </c>
      <c r="P91" s="201" t="s">
        <v>70</v>
      </c>
      <c r="Q91" s="241"/>
      <c r="R91" s="241"/>
      <c r="S91" s="241"/>
      <c r="T91" s="241"/>
      <c r="U91" s="241"/>
      <c r="V91" s="241"/>
      <c r="W91" s="241"/>
      <c r="X91" s="241"/>
      <c r="Y91" s="241"/>
      <c r="Z91" s="241"/>
    </row>
    <row r="92" ht="35.25" customHeight="1">
      <c r="A92" s="201"/>
      <c r="B92" s="244" t="s">
        <v>17</v>
      </c>
      <c r="C92" s="244" t="s">
        <v>386</v>
      </c>
      <c r="D92" s="247" t="s">
        <v>387</v>
      </c>
      <c r="E92" s="244" t="s">
        <v>35</v>
      </c>
      <c r="F92" s="244" t="s">
        <v>23</v>
      </c>
      <c r="G92" s="244">
        <v>8.0</v>
      </c>
      <c r="H92" s="244" t="s">
        <v>92</v>
      </c>
      <c r="I92" s="245"/>
      <c r="J92" s="245"/>
      <c r="K92" s="244">
        <v>8.0</v>
      </c>
      <c r="L92" s="244"/>
      <c r="M92" s="248">
        <v>8.0</v>
      </c>
      <c r="N92" s="201">
        <v>0.0</v>
      </c>
      <c r="O92" s="186" t="s">
        <v>240</v>
      </c>
      <c r="P92" s="249" t="s">
        <v>70</v>
      </c>
      <c r="Q92" s="241"/>
      <c r="R92" s="241"/>
      <c r="S92" s="241"/>
      <c r="T92" s="241"/>
      <c r="U92" s="241"/>
      <c r="V92" s="241"/>
      <c r="W92" s="241"/>
      <c r="X92" s="241"/>
      <c r="Y92" s="241"/>
      <c r="Z92" s="241"/>
    </row>
    <row r="93" ht="35.25" customHeight="1">
      <c r="A93" s="201">
        <v>5.0</v>
      </c>
      <c r="B93" s="244" t="s">
        <v>17</v>
      </c>
      <c r="C93" s="244" t="s">
        <v>388</v>
      </c>
      <c r="D93" s="247" t="s">
        <v>389</v>
      </c>
      <c r="E93" s="244" t="s">
        <v>35</v>
      </c>
      <c r="F93" s="244" t="s">
        <v>20</v>
      </c>
      <c r="G93" s="244">
        <v>8.0</v>
      </c>
      <c r="H93" s="206" t="s">
        <v>92</v>
      </c>
      <c r="I93" s="245"/>
      <c r="J93" s="245"/>
      <c r="K93" s="244">
        <v>8.0</v>
      </c>
      <c r="L93" s="244">
        <v>0.0</v>
      </c>
      <c r="M93" s="248">
        <v>8.0</v>
      </c>
      <c r="N93" s="201">
        <f>K93-L93-M93</f>
        <v>0</v>
      </c>
      <c r="O93" s="186" t="s">
        <v>390</v>
      </c>
      <c r="P93" s="249" t="s">
        <v>70</v>
      </c>
      <c r="Q93" s="241"/>
      <c r="R93" s="241"/>
      <c r="S93" s="241"/>
      <c r="T93" s="241"/>
      <c r="U93" s="241"/>
      <c r="V93" s="241"/>
      <c r="W93" s="241"/>
      <c r="X93" s="241"/>
      <c r="Y93" s="241"/>
      <c r="Z93" s="241"/>
    </row>
    <row r="94" ht="35.25" customHeight="1">
      <c r="A94" s="201"/>
      <c r="B94" s="244" t="s">
        <v>17</v>
      </c>
      <c r="C94" s="244" t="s">
        <v>391</v>
      </c>
      <c r="D94" s="247" t="s">
        <v>392</v>
      </c>
      <c r="E94" s="244" t="s">
        <v>35</v>
      </c>
      <c r="F94" s="244" t="s">
        <v>23</v>
      </c>
      <c r="G94" s="244">
        <v>8.0</v>
      </c>
      <c r="H94" s="244" t="s">
        <v>92</v>
      </c>
      <c r="I94" s="245"/>
      <c r="J94" s="245"/>
      <c r="K94" s="244">
        <v>8.0</v>
      </c>
      <c r="L94" s="244"/>
      <c r="M94" s="248">
        <v>8.0</v>
      </c>
      <c r="N94" s="201">
        <v>0.0</v>
      </c>
      <c r="O94" s="186" t="s">
        <v>240</v>
      </c>
      <c r="P94" s="249" t="s">
        <v>70</v>
      </c>
      <c r="Q94" s="241"/>
      <c r="R94" s="241"/>
      <c r="S94" s="241"/>
      <c r="T94" s="241"/>
      <c r="U94" s="241"/>
      <c r="V94" s="241"/>
      <c r="W94" s="241"/>
      <c r="X94" s="241"/>
      <c r="Y94" s="241"/>
      <c r="Z94" s="241"/>
    </row>
    <row r="95" ht="35.25" customHeight="1">
      <c r="A95" s="201">
        <v>5.0</v>
      </c>
      <c r="B95" s="244" t="s">
        <v>17</v>
      </c>
      <c r="C95" s="244" t="s">
        <v>393</v>
      </c>
      <c r="D95" s="247" t="s">
        <v>394</v>
      </c>
      <c r="E95" s="244" t="s">
        <v>34</v>
      </c>
      <c r="F95" s="244" t="s">
        <v>23</v>
      </c>
      <c r="G95" s="244">
        <v>20.0</v>
      </c>
      <c r="H95" s="244" t="s">
        <v>76</v>
      </c>
      <c r="I95" s="245">
        <v>46016.0</v>
      </c>
      <c r="J95" s="245">
        <v>46030.0</v>
      </c>
      <c r="K95" s="244">
        <v>40.0</v>
      </c>
      <c r="L95" s="244">
        <v>0.0</v>
      </c>
      <c r="M95" s="248">
        <v>40.0</v>
      </c>
      <c r="N95" s="201">
        <f t="shared" ref="N95:N96" si="8">K95-L95-M95</f>
        <v>0</v>
      </c>
      <c r="O95" s="186" t="s">
        <v>390</v>
      </c>
      <c r="P95" s="249" t="s">
        <v>70</v>
      </c>
      <c r="Q95" s="241"/>
      <c r="R95" s="241"/>
      <c r="S95" s="241"/>
      <c r="T95" s="241"/>
      <c r="U95" s="241"/>
      <c r="V95" s="241"/>
      <c r="W95" s="241"/>
      <c r="X95" s="241"/>
      <c r="Y95" s="241"/>
      <c r="Z95" s="241"/>
    </row>
    <row r="96" ht="35.25" customHeight="1">
      <c r="A96" s="186">
        <v>1.0</v>
      </c>
      <c r="B96" s="244" t="s">
        <v>17</v>
      </c>
      <c r="C96" s="244" t="s">
        <v>395</v>
      </c>
      <c r="D96" s="244" t="s">
        <v>329</v>
      </c>
      <c r="E96" s="244" t="s">
        <v>34</v>
      </c>
      <c r="F96" s="244" t="s">
        <v>23</v>
      </c>
      <c r="G96" s="244">
        <v>20.0</v>
      </c>
      <c r="H96" s="244" t="s">
        <v>76</v>
      </c>
      <c r="I96" s="245">
        <v>46055.0</v>
      </c>
      <c r="J96" s="245">
        <v>46069.0</v>
      </c>
      <c r="K96" s="244">
        <v>40.0</v>
      </c>
      <c r="L96" s="246">
        <v>0.0</v>
      </c>
      <c r="M96" s="201">
        <v>0.0</v>
      </c>
      <c r="N96" s="201">
        <f t="shared" si="8"/>
        <v>40</v>
      </c>
      <c r="O96" s="186" t="s">
        <v>232</v>
      </c>
      <c r="P96" s="201" t="s">
        <v>70</v>
      </c>
      <c r="Q96" s="241"/>
      <c r="R96" s="241"/>
      <c r="S96" s="241"/>
      <c r="T96" s="241"/>
      <c r="U96" s="241"/>
      <c r="V96" s="241"/>
      <c r="W96" s="241"/>
      <c r="X96" s="241"/>
      <c r="Y96" s="241"/>
      <c r="Z96" s="241"/>
    </row>
    <row r="97" ht="35.25" customHeight="1">
      <c r="A97" s="201">
        <v>15.0</v>
      </c>
      <c r="B97" s="244" t="s">
        <v>17</v>
      </c>
      <c r="C97" s="244" t="s">
        <v>396</v>
      </c>
      <c r="D97" s="247" t="s">
        <v>397</v>
      </c>
      <c r="E97" s="244" t="s">
        <v>35</v>
      </c>
      <c r="F97" s="244" t="s">
        <v>20</v>
      </c>
      <c r="G97" s="244">
        <v>12.0</v>
      </c>
      <c r="H97" s="206" t="s">
        <v>92</v>
      </c>
      <c r="I97" s="245"/>
      <c r="J97" s="245"/>
      <c r="K97" s="244">
        <v>16.0</v>
      </c>
      <c r="L97" s="244">
        <v>0.0</v>
      </c>
      <c r="M97" s="248">
        <v>16.0</v>
      </c>
      <c r="N97" s="261">
        <v>0.0</v>
      </c>
      <c r="O97" s="186" t="s">
        <v>271</v>
      </c>
      <c r="P97" s="249" t="s">
        <v>70</v>
      </c>
      <c r="Q97" s="241"/>
      <c r="R97" s="241"/>
      <c r="S97" s="241"/>
      <c r="T97" s="241"/>
      <c r="U97" s="241"/>
      <c r="V97" s="241"/>
      <c r="W97" s="241"/>
      <c r="X97" s="241"/>
      <c r="Y97" s="241"/>
      <c r="Z97" s="241"/>
    </row>
    <row r="98" ht="35.25" customHeight="1">
      <c r="A98" s="201">
        <v>15.0</v>
      </c>
      <c r="B98" s="244" t="s">
        <v>17</v>
      </c>
      <c r="C98" s="244" t="s">
        <v>396</v>
      </c>
      <c r="D98" s="247" t="s">
        <v>394</v>
      </c>
      <c r="E98" s="244" t="s">
        <v>34</v>
      </c>
      <c r="F98" s="244" t="s">
        <v>23</v>
      </c>
      <c r="G98" s="244">
        <v>20.0</v>
      </c>
      <c r="H98" s="244" t="s">
        <v>76</v>
      </c>
      <c r="I98" s="245">
        <v>45973.0</v>
      </c>
      <c r="J98" s="245">
        <v>45987.0</v>
      </c>
      <c r="K98" s="244">
        <v>40.0</v>
      </c>
      <c r="L98" s="244">
        <v>0.0</v>
      </c>
      <c r="M98" s="248">
        <v>40.0</v>
      </c>
      <c r="N98" s="261">
        <v>0.0</v>
      </c>
      <c r="O98" s="186" t="s">
        <v>390</v>
      </c>
      <c r="P98" s="249" t="s">
        <v>70</v>
      </c>
      <c r="Q98" s="241"/>
      <c r="R98" s="241"/>
      <c r="S98" s="241"/>
      <c r="T98" s="241"/>
      <c r="U98" s="241"/>
      <c r="V98" s="241"/>
      <c r="W98" s="241"/>
      <c r="X98" s="241"/>
      <c r="Y98" s="241"/>
      <c r="Z98" s="241"/>
    </row>
    <row r="99" ht="35.25" customHeight="1">
      <c r="A99" s="201">
        <v>15.0</v>
      </c>
      <c r="B99" s="244" t="s">
        <v>17</v>
      </c>
      <c r="C99" s="244" t="s">
        <v>398</v>
      </c>
      <c r="D99" s="247" t="s">
        <v>394</v>
      </c>
      <c r="E99" s="244" t="s">
        <v>34</v>
      </c>
      <c r="F99" s="244" t="s">
        <v>23</v>
      </c>
      <c r="G99" s="244">
        <v>20.0</v>
      </c>
      <c r="H99" s="244" t="s">
        <v>76</v>
      </c>
      <c r="I99" s="245">
        <v>45973.0</v>
      </c>
      <c r="J99" s="245">
        <v>45987.0</v>
      </c>
      <c r="K99" s="244">
        <v>40.0</v>
      </c>
      <c r="L99" s="244">
        <v>0.0</v>
      </c>
      <c r="M99" s="248">
        <v>40.0</v>
      </c>
      <c r="N99" s="261">
        <v>0.0</v>
      </c>
      <c r="O99" s="186" t="s">
        <v>390</v>
      </c>
      <c r="P99" s="249" t="s">
        <v>70</v>
      </c>
      <c r="Q99" s="241"/>
      <c r="R99" s="241"/>
      <c r="S99" s="241"/>
      <c r="T99" s="241"/>
      <c r="U99" s="241"/>
      <c r="V99" s="241"/>
      <c r="W99" s="241"/>
      <c r="X99" s="241"/>
      <c r="Y99" s="241"/>
      <c r="Z99" s="241"/>
    </row>
    <row r="100" ht="35.25" customHeight="1">
      <c r="A100" s="201">
        <v>15.0</v>
      </c>
      <c r="B100" s="244" t="s">
        <v>17</v>
      </c>
      <c r="C100" s="244" t="s">
        <v>398</v>
      </c>
      <c r="D100" s="247" t="s">
        <v>399</v>
      </c>
      <c r="E100" s="244" t="s">
        <v>35</v>
      </c>
      <c r="F100" s="244" t="s">
        <v>21</v>
      </c>
      <c r="G100" s="244">
        <v>8.0</v>
      </c>
      <c r="H100" s="206" t="s">
        <v>92</v>
      </c>
      <c r="I100" s="245"/>
      <c r="J100" s="245"/>
      <c r="K100" s="250">
        <v>8.0</v>
      </c>
      <c r="L100" s="244">
        <v>0.0</v>
      </c>
      <c r="M100" s="244">
        <v>8.0</v>
      </c>
      <c r="N100" s="244">
        <v>0.0</v>
      </c>
      <c r="O100" s="186" t="s">
        <v>271</v>
      </c>
      <c r="P100" s="249" t="s">
        <v>70</v>
      </c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</row>
    <row r="101" ht="35.25" customHeight="1">
      <c r="A101" s="201">
        <v>15.0</v>
      </c>
      <c r="B101" s="244" t="s">
        <v>17</v>
      </c>
      <c r="C101" s="244" t="s">
        <v>400</v>
      </c>
      <c r="D101" s="247" t="s">
        <v>401</v>
      </c>
      <c r="E101" s="244" t="s">
        <v>34</v>
      </c>
      <c r="F101" s="244" t="s">
        <v>22</v>
      </c>
      <c r="G101" s="244">
        <v>0.0</v>
      </c>
      <c r="H101" s="244" t="s">
        <v>76</v>
      </c>
      <c r="I101" s="245">
        <v>45940.0</v>
      </c>
      <c r="J101" s="245">
        <v>45990.0</v>
      </c>
      <c r="K101" s="244">
        <v>65.0</v>
      </c>
      <c r="L101" s="244">
        <v>34.0</v>
      </c>
      <c r="M101" s="248">
        <v>31.0</v>
      </c>
      <c r="N101" s="261">
        <v>0.0</v>
      </c>
      <c r="O101" s="186" t="s">
        <v>402</v>
      </c>
      <c r="P101" s="249" t="s">
        <v>70</v>
      </c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</row>
    <row r="102" ht="35.25" customHeight="1">
      <c r="A102" s="201">
        <v>15.0</v>
      </c>
      <c r="B102" s="244" t="s">
        <v>17</v>
      </c>
      <c r="C102" s="244" t="s">
        <v>400</v>
      </c>
      <c r="D102" s="247" t="s">
        <v>280</v>
      </c>
      <c r="E102" s="244" t="s">
        <v>35</v>
      </c>
      <c r="F102" s="244" t="s">
        <v>20</v>
      </c>
      <c r="G102" s="244">
        <v>8.0</v>
      </c>
      <c r="H102" s="206" t="s">
        <v>92</v>
      </c>
      <c r="I102" s="245"/>
      <c r="J102" s="245"/>
      <c r="K102" s="244">
        <v>8.0</v>
      </c>
      <c r="L102" s="244">
        <v>0.0</v>
      </c>
      <c r="M102" s="248">
        <v>8.0</v>
      </c>
      <c r="N102" s="261">
        <v>0.0</v>
      </c>
      <c r="O102" s="186" t="s">
        <v>390</v>
      </c>
      <c r="P102" s="249" t="s">
        <v>70</v>
      </c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</row>
    <row r="103" ht="35.25" customHeight="1">
      <c r="A103" s="139">
        <v>2.0</v>
      </c>
      <c r="B103" s="181" t="s">
        <v>17</v>
      </c>
      <c r="C103" s="266" t="s">
        <v>403</v>
      </c>
      <c r="D103" s="266" t="s">
        <v>404</v>
      </c>
      <c r="E103" s="141" t="s">
        <v>35</v>
      </c>
      <c r="F103" s="264" t="s">
        <v>19</v>
      </c>
      <c r="G103" s="264">
        <v>10.0</v>
      </c>
      <c r="H103" s="141" t="s">
        <v>92</v>
      </c>
      <c r="I103" s="267"/>
      <c r="J103" s="267"/>
      <c r="K103" s="264">
        <v>10.0</v>
      </c>
      <c r="L103" s="264">
        <v>0.0</v>
      </c>
      <c r="M103" s="271">
        <v>0.0</v>
      </c>
      <c r="N103" s="201">
        <f t="shared" ref="N103:N107" si="9">K103-L103-M103</f>
        <v>10</v>
      </c>
      <c r="O103" s="141" t="s">
        <v>274</v>
      </c>
      <c r="P103" s="139" t="s">
        <v>70</v>
      </c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</row>
    <row r="104" ht="35.25" customHeight="1">
      <c r="A104" s="201">
        <v>3.0</v>
      </c>
      <c r="B104" s="244" t="s">
        <v>17</v>
      </c>
      <c r="C104" s="244" t="s">
        <v>403</v>
      </c>
      <c r="D104" s="247" t="s">
        <v>405</v>
      </c>
      <c r="E104" s="244" t="s">
        <v>34</v>
      </c>
      <c r="F104" s="244" t="s">
        <v>22</v>
      </c>
      <c r="G104" s="244">
        <v>30.0</v>
      </c>
      <c r="H104" s="244" t="s">
        <v>76</v>
      </c>
      <c r="I104" s="245">
        <v>45965.0</v>
      </c>
      <c r="J104" s="245">
        <v>46014.0</v>
      </c>
      <c r="K104" s="244">
        <v>65.0</v>
      </c>
      <c r="L104" s="244">
        <v>0.0</v>
      </c>
      <c r="M104" s="248">
        <v>0.0</v>
      </c>
      <c r="N104" s="201">
        <f t="shared" si="9"/>
        <v>65</v>
      </c>
      <c r="O104" s="186" t="s">
        <v>406</v>
      </c>
      <c r="P104" s="139" t="s">
        <v>70</v>
      </c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</row>
    <row r="105" ht="35.25" customHeight="1">
      <c r="A105" s="201">
        <v>4.0</v>
      </c>
      <c r="B105" s="244" t="s">
        <v>17</v>
      </c>
      <c r="C105" s="244" t="s">
        <v>403</v>
      </c>
      <c r="D105" s="247" t="s">
        <v>407</v>
      </c>
      <c r="E105" s="244" t="s">
        <v>34</v>
      </c>
      <c r="F105" s="244" t="s">
        <v>21</v>
      </c>
      <c r="G105" s="244">
        <v>20.0</v>
      </c>
      <c r="H105" s="244" t="s">
        <v>76</v>
      </c>
      <c r="I105" s="245">
        <v>46015.0</v>
      </c>
      <c r="J105" s="245">
        <v>45664.0</v>
      </c>
      <c r="K105" s="244">
        <v>40.0</v>
      </c>
      <c r="L105" s="244">
        <v>0.0</v>
      </c>
      <c r="M105" s="248">
        <v>0.0</v>
      </c>
      <c r="N105" s="201">
        <f t="shared" si="9"/>
        <v>40</v>
      </c>
      <c r="O105" s="186" t="s">
        <v>408</v>
      </c>
      <c r="P105" s="139" t="s">
        <v>70</v>
      </c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</row>
    <row r="106" ht="35.25" customHeight="1">
      <c r="A106" s="201">
        <v>4.0</v>
      </c>
      <c r="B106" s="244" t="s">
        <v>17</v>
      </c>
      <c r="C106" s="244" t="s">
        <v>403</v>
      </c>
      <c r="D106" s="247" t="s">
        <v>409</v>
      </c>
      <c r="E106" s="244" t="s">
        <v>35</v>
      </c>
      <c r="F106" s="244" t="s">
        <v>23</v>
      </c>
      <c r="G106" s="244">
        <v>10.0</v>
      </c>
      <c r="H106" s="141" t="s">
        <v>92</v>
      </c>
      <c r="I106" s="245"/>
      <c r="J106" s="245"/>
      <c r="K106" s="244">
        <v>10.0</v>
      </c>
      <c r="L106" s="244">
        <v>0.0</v>
      </c>
      <c r="M106" s="248">
        <v>0.0</v>
      </c>
      <c r="N106" s="201">
        <f t="shared" si="9"/>
        <v>10</v>
      </c>
      <c r="O106" s="186" t="s">
        <v>235</v>
      </c>
      <c r="P106" s="139" t="s">
        <v>70</v>
      </c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</row>
    <row r="107" ht="35.25" customHeight="1">
      <c r="A107" s="201">
        <v>4.0</v>
      </c>
      <c r="B107" s="244" t="s">
        <v>17</v>
      </c>
      <c r="C107" s="244" t="s">
        <v>403</v>
      </c>
      <c r="D107" s="247" t="s">
        <v>410</v>
      </c>
      <c r="E107" s="244" t="s">
        <v>34</v>
      </c>
      <c r="F107" s="244" t="s">
        <v>19</v>
      </c>
      <c r="G107" s="244">
        <v>30.0</v>
      </c>
      <c r="H107" s="244" t="s">
        <v>76</v>
      </c>
      <c r="I107" s="245">
        <v>46031.0</v>
      </c>
      <c r="J107" s="245">
        <v>46080.0</v>
      </c>
      <c r="K107" s="244">
        <v>65.0</v>
      </c>
      <c r="L107" s="244">
        <v>0.0</v>
      </c>
      <c r="M107" s="248">
        <v>0.0</v>
      </c>
      <c r="N107" s="201">
        <f t="shared" si="9"/>
        <v>65</v>
      </c>
      <c r="O107" s="186" t="s">
        <v>235</v>
      </c>
      <c r="P107" s="139" t="s">
        <v>70</v>
      </c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</row>
    <row r="108" ht="35.25" customHeight="1">
      <c r="A108" s="208">
        <v>15.0</v>
      </c>
      <c r="B108" s="207" t="s">
        <v>17</v>
      </c>
      <c r="C108" s="254" t="s">
        <v>411</v>
      </c>
      <c r="D108" s="273" t="s">
        <v>412</v>
      </c>
      <c r="E108" s="206" t="s">
        <v>34</v>
      </c>
      <c r="F108" s="254" t="s">
        <v>22</v>
      </c>
      <c r="G108" s="244">
        <v>20.0</v>
      </c>
      <c r="H108" s="244" t="s">
        <v>76</v>
      </c>
      <c r="I108" s="245">
        <v>45996.0</v>
      </c>
      <c r="J108" s="245">
        <v>46010.0</v>
      </c>
      <c r="K108" s="244">
        <v>40.0</v>
      </c>
      <c r="L108" s="244">
        <v>0.0</v>
      </c>
      <c r="M108" s="248">
        <v>40.0</v>
      </c>
      <c r="N108" s="261">
        <v>0.0</v>
      </c>
      <c r="O108" s="186" t="s">
        <v>413</v>
      </c>
      <c r="P108" s="263" t="s">
        <v>70</v>
      </c>
      <c r="Q108" s="258"/>
      <c r="R108" s="258"/>
      <c r="S108" s="258"/>
      <c r="T108" s="258"/>
      <c r="U108" s="258"/>
      <c r="V108" s="258"/>
      <c r="W108" s="258"/>
      <c r="X108" s="258"/>
      <c r="Y108" s="258"/>
      <c r="Z108" s="258"/>
    </row>
    <row r="109" ht="35.25" customHeight="1">
      <c r="A109" s="142">
        <v>1.0</v>
      </c>
      <c r="B109" s="181" t="s">
        <v>17</v>
      </c>
      <c r="C109" s="266" t="s">
        <v>414</v>
      </c>
      <c r="D109" s="266" t="s">
        <v>415</v>
      </c>
      <c r="E109" s="141" t="s">
        <v>35</v>
      </c>
      <c r="F109" s="266" t="s">
        <v>21</v>
      </c>
      <c r="G109" s="264">
        <v>10.0</v>
      </c>
      <c r="H109" s="141" t="s">
        <v>92</v>
      </c>
      <c r="I109" s="267"/>
      <c r="J109" s="267"/>
      <c r="K109" s="264">
        <v>10.0</v>
      </c>
      <c r="L109" s="264">
        <v>0.0</v>
      </c>
      <c r="M109" s="261">
        <v>10.0</v>
      </c>
      <c r="N109" s="139">
        <v>0.0</v>
      </c>
      <c r="O109" s="141" t="s">
        <v>274</v>
      </c>
      <c r="P109" s="139" t="s">
        <v>70</v>
      </c>
      <c r="Q109" s="272"/>
      <c r="R109" s="272"/>
      <c r="S109" s="272"/>
      <c r="T109" s="272"/>
      <c r="U109" s="272"/>
      <c r="V109" s="272"/>
      <c r="W109" s="272"/>
      <c r="X109" s="272"/>
      <c r="Y109" s="272"/>
      <c r="Z109" s="272"/>
    </row>
    <row r="110" ht="35.25" customHeight="1">
      <c r="A110" s="208">
        <v>1.0</v>
      </c>
      <c r="B110" s="206" t="s">
        <v>17</v>
      </c>
      <c r="C110" s="254" t="s">
        <v>416</v>
      </c>
      <c r="D110" s="254" t="s">
        <v>273</v>
      </c>
      <c r="E110" s="207" t="s">
        <v>35</v>
      </c>
      <c r="F110" s="254" t="s">
        <v>19</v>
      </c>
      <c r="G110" s="255">
        <v>10.0</v>
      </c>
      <c r="H110" s="141" t="s">
        <v>92</v>
      </c>
      <c r="I110" s="256"/>
      <c r="J110" s="256"/>
      <c r="K110" s="255">
        <v>10.0</v>
      </c>
      <c r="L110" s="255">
        <v>0.0</v>
      </c>
      <c r="M110" s="274">
        <v>10.0</v>
      </c>
      <c r="N110" s="205">
        <v>0.0</v>
      </c>
      <c r="O110" s="206" t="s">
        <v>274</v>
      </c>
      <c r="P110" s="205" t="s">
        <v>70</v>
      </c>
      <c r="Q110" s="258"/>
      <c r="R110" s="258"/>
      <c r="S110" s="258"/>
      <c r="T110" s="258"/>
      <c r="U110" s="258"/>
      <c r="V110" s="258"/>
      <c r="W110" s="258"/>
      <c r="X110" s="258"/>
      <c r="Y110" s="258"/>
      <c r="Z110" s="258"/>
    </row>
    <row r="111" ht="35.25" customHeight="1">
      <c r="A111" s="201">
        <v>15.0</v>
      </c>
      <c r="B111" s="244" t="s">
        <v>17</v>
      </c>
      <c r="C111" s="244" t="s">
        <v>414</v>
      </c>
      <c r="D111" s="247" t="s">
        <v>394</v>
      </c>
      <c r="E111" s="244" t="s">
        <v>34</v>
      </c>
      <c r="F111" s="244" t="s">
        <v>23</v>
      </c>
      <c r="G111" s="244">
        <v>20.0</v>
      </c>
      <c r="H111" s="244" t="s">
        <v>76</v>
      </c>
      <c r="I111" s="245">
        <v>45973.0</v>
      </c>
      <c r="J111" s="245">
        <v>45987.0</v>
      </c>
      <c r="K111" s="244">
        <v>40.0</v>
      </c>
      <c r="L111" s="244">
        <v>0.0</v>
      </c>
      <c r="M111" s="248">
        <v>40.0</v>
      </c>
      <c r="N111" s="261">
        <v>0.0</v>
      </c>
      <c r="O111" s="186" t="s">
        <v>390</v>
      </c>
      <c r="P111" s="249" t="s">
        <v>70</v>
      </c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2" ht="35.25" customHeight="1">
      <c r="A112" s="201">
        <v>15.0</v>
      </c>
      <c r="B112" s="244" t="s">
        <v>17</v>
      </c>
      <c r="C112" s="244" t="s">
        <v>417</v>
      </c>
      <c r="D112" s="247" t="s">
        <v>418</v>
      </c>
      <c r="E112" s="244" t="s">
        <v>35</v>
      </c>
      <c r="F112" s="244" t="s">
        <v>20</v>
      </c>
      <c r="G112" s="244">
        <v>9.0</v>
      </c>
      <c r="H112" s="206" t="s">
        <v>92</v>
      </c>
      <c r="I112" s="245"/>
      <c r="J112" s="245"/>
      <c r="K112" s="244">
        <v>9.0</v>
      </c>
      <c r="L112" s="244">
        <v>0.0</v>
      </c>
      <c r="M112" s="248">
        <v>9.0</v>
      </c>
      <c r="N112" s="261">
        <v>0.0</v>
      </c>
      <c r="O112" s="186" t="s">
        <v>271</v>
      </c>
      <c r="P112" s="249" t="s">
        <v>70</v>
      </c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ht="35.25" customHeight="1">
      <c r="A113" s="201">
        <v>15.0</v>
      </c>
      <c r="B113" s="244" t="s">
        <v>17</v>
      </c>
      <c r="C113" s="244" t="s">
        <v>419</v>
      </c>
      <c r="D113" s="247" t="s">
        <v>420</v>
      </c>
      <c r="E113" s="244" t="s">
        <v>34</v>
      </c>
      <c r="F113" s="244" t="s">
        <v>23</v>
      </c>
      <c r="G113" s="244">
        <v>20.0</v>
      </c>
      <c r="H113" s="244" t="s">
        <v>76</v>
      </c>
      <c r="I113" s="245">
        <v>45965.0</v>
      </c>
      <c r="J113" s="245">
        <v>45980.0</v>
      </c>
      <c r="K113" s="244">
        <v>40.0</v>
      </c>
      <c r="L113" s="244">
        <v>0.0</v>
      </c>
      <c r="M113" s="248">
        <v>40.0</v>
      </c>
      <c r="N113" s="261">
        <v>0.0</v>
      </c>
      <c r="O113" s="186" t="s">
        <v>406</v>
      </c>
      <c r="P113" s="249" t="s">
        <v>70</v>
      </c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</row>
    <row r="114" ht="35.25" customHeight="1">
      <c r="A114" s="201">
        <v>15.0</v>
      </c>
      <c r="B114" s="244" t="s">
        <v>17</v>
      </c>
      <c r="C114" s="244" t="s">
        <v>421</v>
      </c>
      <c r="D114" s="247" t="s">
        <v>407</v>
      </c>
      <c r="E114" s="244" t="s">
        <v>34</v>
      </c>
      <c r="F114" s="244" t="s">
        <v>21</v>
      </c>
      <c r="G114" s="244">
        <v>20.0</v>
      </c>
      <c r="H114" s="244" t="s">
        <v>76</v>
      </c>
      <c r="I114" s="245">
        <v>46015.0</v>
      </c>
      <c r="J114" s="245">
        <v>45999.0</v>
      </c>
      <c r="K114" s="244">
        <v>40.0</v>
      </c>
      <c r="L114" s="244">
        <v>0.0</v>
      </c>
      <c r="M114" s="248">
        <v>40.0</v>
      </c>
      <c r="N114" s="261">
        <v>0.0</v>
      </c>
      <c r="O114" s="186" t="s">
        <v>408</v>
      </c>
      <c r="P114" s="249" t="s">
        <v>70</v>
      </c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</row>
    <row r="115" ht="35.25" customHeight="1">
      <c r="A115" s="201">
        <v>15.0</v>
      </c>
      <c r="B115" s="244" t="s">
        <v>17</v>
      </c>
      <c r="C115" s="244" t="s">
        <v>391</v>
      </c>
      <c r="D115" s="247" t="s">
        <v>422</v>
      </c>
      <c r="E115" s="244" t="s">
        <v>34</v>
      </c>
      <c r="F115" s="244" t="s">
        <v>23</v>
      </c>
      <c r="G115" s="244">
        <v>20.0</v>
      </c>
      <c r="H115" s="244" t="s">
        <v>76</v>
      </c>
      <c r="I115" s="245">
        <v>45996.0</v>
      </c>
      <c r="J115" s="245">
        <v>46010.0</v>
      </c>
      <c r="K115" s="244">
        <v>40.0</v>
      </c>
      <c r="L115" s="244">
        <v>0.0</v>
      </c>
      <c r="M115" s="248">
        <v>40.0</v>
      </c>
      <c r="N115" s="261">
        <v>0.0</v>
      </c>
      <c r="O115" s="186" t="s">
        <v>413</v>
      </c>
      <c r="P115" s="249" t="s">
        <v>70</v>
      </c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</row>
    <row r="116" ht="35.25" customHeight="1">
      <c r="A116" s="201">
        <v>15.0</v>
      </c>
      <c r="B116" s="244" t="s">
        <v>17</v>
      </c>
      <c r="C116" s="244" t="s">
        <v>395</v>
      </c>
      <c r="D116" s="247" t="s">
        <v>423</v>
      </c>
      <c r="E116" s="244" t="s">
        <v>34</v>
      </c>
      <c r="F116" s="244" t="s">
        <v>23</v>
      </c>
      <c r="G116" s="244">
        <v>20.0</v>
      </c>
      <c r="H116" s="244" t="s">
        <v>76</v>
      </c>
      <c r="I116" s="245">
        <v>45996.0</v>
      </c>
      <c r="J116" s="245">
        <v>46010.0</v>
      </c>
      <c r="K116" s="244">
        <v>40.0</v>
      </c>
      <c r="L116" s="244">
        <v>0.0</v>
      </c>
      <c r="M116" s="248">
        <v>40.0</v>
      </c>
      <c r="N116" s="261">
        <v>0.0</v>
      </c>
      <c r="O116" s="186" t="s">
        <v>413</v>
      </c>
      <c r="P116" s="249" t="s">
        <v>70</v>
      </c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</row>
    <row r="117" ht="35.25" customHeight="1">
      <c r="A117" s="142">
        <v>1.0</v>
      </c>
      <c r="B117" s="181" t="s">
        <v>17</v>
      </c>
      <c r="C117" s="266" t="s">
        <v>391</v>
      </c>
      <c r="D117" s="266" t="s">
        <v>424</v>
      </c>
      <c r="E117" s="141" t="s">
        <v>35</v>
      </c>
      <c r="F117" s="266" t="s">
        <v>20</v>
      </c>
      <c r="G117" s="266">
        <v>8.0</v>
      </c>
      <c r="H117" s="141" t="s">
        <v>92</v>
      </c>
      <c r="I117" s="267"/>
      <c r="J117" s="267"/>
      <c r="K117" s="266">
        <v>8.0</v>
      </c>
      <c r="L117" s="264">
        <v>0.0</v>
      </c>
      <c r="M117" s="261">
        <v>8.0</v>
      </c>
      <c r="N117" s="139">
        <v>0.0</v>
      </c>
      <c r="O117" s="141" t="s">
        <v>274</v>
      </c>
      <c r="P117" s="139" t="s">
        <v>70</v>
      </c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</row>
    <row r="118" ht="35.25" customHeight="1">
      <c r="A118" s="201">
        <v>15.0</v>
      </c>
      <c r="B118" s="244" t="s">
        <v>17</v>
      </c>
      <c r="C118" s="244" t="s">
        <v>416</v>
      </c>
      <c r="D118" s="247" t="s">
        <v>280</v>
      </c>
      <c r="E118" s="244" t="s">
        <v>35</v>
      </c>
      <c r="F118" s="244" t="s">
        <v>20</v>
      </c>
      <c r="G118" s="244">
        <v>8.0</v>
      </c>
      <c r="H118" s="244" t="s">
        <v>76</v>
      </c>
      <c r="I118" s="245"/>
      <c r="J118" s="245"/>
      <c r="K118" s="244">
        <v>8.0</v>
      </c>
      <c r="L118" s="244">
        <v>0.0</v>
      </c>
      <c r="M118" s="248">
        <v>8.0</v>
      </c>
      <c r="N118" s="261">
        <v>0.0</v>
      </c>
      <c r="O118" s="186" t="s">
        <v>390</v>
      </c>
      <c r="P118" s="249" t="s">
        <v>70</v>
      </c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</row>
    <row r="119" ht="35.25" customHeight="1">
      <c r="A119" s="201">
        <v>15.0</v>
      </c>
      <c r="B119" s="244" t="s">
        <v>17</v>
      </c>
      <c r="C119" s="244" t="s">
        <v>236</v>
      </c>
      <c r="D119" s="247" t="s">
        <v>280</v>
      </c>
      <c r="E119" s="244" t="s">
        <v>35</v>
      </c>
      <c r="F119" s="244" t="s">
        <v>20</v>
      </c>
      <c r="G119" s="244">
        <v>8.0</v>
      </c>
      <c r="H119" s="244" t="s">
        <v>76</v>
      </c>
      <c r="I119" s="245"/>
      <c r="J119" s="245"/>
      <c r="K119" s="244">
        <v>8.0</v>
      </c>
      <c r="L119" s="244">
        <v>0.0</v>
      </c>
      <c r="M119" s="248">
        <v>8.0</v>
      </c>
      <c r="N119" s="261">
        <v>0.0</v>
      </c>
      <c r="O119" s="186" t="s">
        <v>390</v>
      </c>
      <c r="P119" s="249" t="s">
        <v>70</v>
      </c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</row>
    <row r="120" ht="35.25" customHeight="1">
      <c r="A120" s="201">
        <v>10.0</v>
      </c>
      <c r="B120" s="244" t="s">
        <v>17</v>
      </c>
      <c r="C120" s="244" t="s">
        <v>425</v>
      </c>
      <c r="D120" s="244" t="s">
        <v>426</v>
      </c>
      <c r="E120" s="244" t="s">
        <v>35</v>
      </c>
      <c r="F120" s="244" t="s">
        <v>20</v>
      </c>
      <c r="G120" s="244">
        <v>8.0</v>
      </c>
      <c r="H120" s="244" t="s">
        <v>92</v>
      </c>
      <c r="I120" s="245"/>
      <c r="J120" s="245"/>
      <c r="K120" s="244">
        <v>8.0</v>
      </c>
      <c r="L120" s="244">
        <v>0.0</v>
      </c>
      <c r="M120" s="244">
        <v>8.0</v>
      </c>
      <c r="N120" s="189">
        <f t="shared" ref="N120:N149" si="10">K120-M120-L120</f>
        <v>0</v>
      </c>
      <c r="O120" s="186" t="s">
        <v>344</v>
      </c>
      <c r="P120" s="201" t="s">
        <v>70</v>
      </c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</row>
    <row r="121" ht="35.25" customHeight="1">
      <c r="A121" s="201">
        <v>6.0</v>
      </c>
      <c r="B121" s="244" t="s">
        <v>17</v>
      </c>
      <c r="C121" s="244" t="s">
        <v>244</v>
      </c>
      <c r="D121" s="244" t="s">
        <v>427</v>
      </c>
      <c r="E121" s="244" t="s">
        <v>35</v>
      </c>
      <c r="F121" s="244" t="s">
        <v>20</v>
      </c>
      <c r="G121" s="244">
        <v>9.0</v>
      </c>
      <c r="H121" s="244" t="s">
        <v>92</v>
      </c>
      <c r="I121" s="245"/>
      <c r="J121" s="245"/>
      <c r="K121" s="244">
        <v>9.0</v>
      </c>
      <c r="L121" s="244">
        <v>0.0</v>
      </c>
      <c r="M121" s="186">
        <v>9.0</v>
      </c>
      <c r="N121" s="189">
        <f t="shared" si="10"/>
        <v>0</v>
      </c>
      <c r="O121" s="186" t="s">
        <v>307</v>
      </c>
      <c r="P121" s="201" t="s">
        <v>70</v>
      </c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</row>
    <row r="122" ht="35.25" customHeight="1">
      <c r="A122" s="201">
        <v>12.0</v>
      </c>
      <c r="B122" s="244" t="s">
        <v>17</v>
      </c>
      <c r="C122" s="244" t="s">
        <v>428</v>
      </c>
      <c r="D122" s="244" t="s">
        <v>429</v>
      </c>
      <c r="E122" s="244" t="s">
        <v>35</v>
      </c>
      <c r="F122" s="244" t="s">
        <v>19</v>
      </c>
      <c r="G122" s="244">
        <v>10.0</v>
      </c>
      <c r="H122" s="244" t="s">
        <v>92</v>
      </c>
      <c r="I122" s="245"/>
      <c r="J122" s="245"/>
      <c r="K122" s="244">
        <v>10.0</v>
      </c>
      <c r="L122" s="244">
        <v>0.0</v>
      </c>
      <c r="M122" s="186">
        <v>10.0</v>
      </c>
      <c r="N122" s="189">
        <f t="shared" si="10"/>
        <v>0</v>
      </c>
      <c r="O122" s="186" t="s">
        <v>320</v>
      </c>
      <c r="P122" s="201" t="s">
        <v>70</v>
      </c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</row>
    <row r="123" ht="35.25" customHeight="1">
      <c r="A123" s="201">
        <v>10.0</v>
      </c>
      <c r="B123" s="244" t="s">
        <v>17</v>
      </c>
      <c r="C123" s="244" t="s">
        <v>428</v>
      </c>
      <c r="D123" s="244" t="s">
        <v>430</v>
      </c>
      <c r="E123" s="244" t="s">
        <v>35</v>
      </c>
      <c r="F123" s="244" t="s">
        <v>23</v>
      </c>
      <c r="G123" s="244">
        <v>8.0</v>
      </c>
      <c r="H123" s="244" t="s">
        <v>92</v>
      </c>
      <c r="I123" s="245"/>
      <c r="J123" s="245"/>
      <c r="K123" s="244">
        <v>8.0</v>
      </c>
      <c r="L123" s="244">
        <v>0.0</v>
      </c>
      <c r="M123" s="244">
        <v>8.0</v>
      </c>
      <c r="N123" s="189">
        <f t="shared" si="10"/>
        <v>0</v>
      </c>
      <c r="O123" s="186" t="s">
        <v>320</v>
      </c>
      <c r="P123" s="201" t="s">
        <v>70</v>
      </c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 ht="35.25" customHeight="1">
      <c r="A124" s="201">
        <v>10.0</v>
      </c>
      <c r="B124" s="244" t="s">
        <v>17</v>
      </c>
      <c r="C124" s="244" t="s">
        <v>428</v>
      </c>
      <c r="D124" s="244" t="s">
        <v>431</v>
      </c>
      <c r="E124" s="244" t="s">
        <v>35</v>
      </c>
      <c r="F124" s="244" t="s">
        <v>23</v>
      </c>
      <c r="G124" s="244">
        <v>8.0</v>
      </c>
      <c r="H124" s="244" t="s">
        <v>92</v>
      </c>
      <c r="I124" s="245"/>
      <c r="J124" s="245"/>
      <c r="K124" s="244">
        <v>10.0</v>
      </c>
      <c r="L124" s="244">
        <v>0.0</v>
      </c>
      <c r="M124" s="244">
        <v>10.0</v>
      </c>
      <c r="N124" s="189">
        <f t="shared" si="10"/>
        <v>0</v>
      </c>
      <c r="O124" s="186" t="s">
        <v>320</v>
      </c>
      <c r="P124" s="201" t="s">
        <v>70</v>
      </c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</row>
    <row r="125" ht="35.25" customHeight="1">
      <c r="A125" s="201">
        <v>7.0</v>
      </c>
      <c r="B125" s="244" t="s">
        <v>17</v>
      </c>
      <c r="C125" s="244" t="s">
        <v>432</v>
      </c>
      <c r="D125" s="244" t="s">
        <v>433</v>
      </c>
      <c r="E125" s="244" t="s">
        <v>34</v>
      </c>
      <c r="F125" s="244" t="s">
        <v>20</v>
      </c>
      <c r="G125" s="244">
        <v>25.0</v>
      </c>
      <c r="H125" s="244" t="s">
        <v>76</v>
      </c>
      <c r="I125" s="245">
        <v>45845.0</v>
      </c>
      <c r="J125" s="245">
        <v>45874.0</v>
      </c>
      <c r="K125" s="244">
        <v>50.0</v>
      </c>
      <c r="L125" s="244">
        <v>0.0</v>
      </c>
      <c r="M125" s="186">
        <v>40.0</v>
      </c>
      <c r="N125" s="189">
        <f t="shared" si="10"/>
        <v>10</v>
      </c>
      <c r="O125" s="186" t="s">
        <v>307</v>
      </c>
      <c r="P125" s="201" t="s">
        <v>70</v>
      </c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</row>
    <row r="126" ht="35.25" customHeight="1">
      <c r="A126" s="201">
        <v>12.0</v>
      </c>
      <c r="B126" s="244" t="s">
        <v>17</v>
      </c>
      <c r="C126" s="244" t="s">
        <v>162</v>
      </c>
      <c r="D126" s="244" t="s">
        <v>434</v>
      </c>
      <c r="E126" s="244" t="s">
        <v>34</v>
      </c>
      <c r="F126" s="244" t="s">
        <v>23</v>
      </c>
      <c r="G126" s="244">
        <v>20.0</v>
      </c>
      <c r="H126" s="244" t="s">
        <v>76</v>
      </c>
      <c r="I126" s="245">
        <v>45870.0</v>
      </c>
      <c r="J126" s="245">
        <v>45884.0</v>
      </c>
      <c r="K126" s="244">
        <v>40.0</v>
      </c>
      <c r="L126" s="244">
        <v>0.0</v>
      </c>
      <c r="M126" s="186">
        <v>26.0</v>
      </c>
      <c r="N126" s="189">
        <f t="shared" si="10"/>
        <v>14</v>
      </c>
      <c r="O126" s="186" t="s">
        <v>320</v>
      </c>
      <c r="P126" s="201" t="s">
        <v>70</v>
      </c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</row>
    <row r="127" ht="35.25" customHeight="1">
      <c r="A127" s="201">
        <v>10.0</v>
      </c>
      <c r="B127" s="244" t="s">
        <v>17</v>
      </c>
      <c r="C127" s="244" t="s">
        <v>435</v>
      </c>
      <c r="D127" s="247" t="s">
        <v>436</v>
      </c>
      <c r="E127" s="244" t="s">
        <v>35</v>
      </c>
      <c r="F127" s="244" t="s">
        <v>23</v>
      </c>
      <c r="G127" s="244">
        <v>8.0</v>
      </c>
      <c r="H127" s="244" t="s">
        <v>92</v>
      </c>
      <c r="I127" s="245"/>
      <c r="J127" s="245"/>
      <c r="K127" s="244">
        <v>8.0</v>
      </c>
      <c r="L127" s="244">
        <v>0.0</v>
      </c>
      <c r="M127" s="244">
        <v>8.0</v>
      </c>
      <c r="N127" s="189">
        <f t="shared" si="10"/>
        <v>0</v>
      </c>
      <c r="O127" s="186" t="s">
        <v>320</v>
      </c>
      <c r="P127" s="201" t="s">
        <v>70</v>
      </c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</row>
    <row r="128" ht="35.25" customHeight="1">
      <c r="A128" s="201">
        <v>10.0</v>
      </c>
      <c r="B128" s="244" t="s">
        <v>17</v>
      </c>
      <c r="C128" s="244" t="s">
        <v>437</v>
      </c>
      <c r="D128" s="247" t="s">
        <v>436</v>
      </c>
      <c r="E128" s="244" t="s">
        <v>35</v>
      </c>
      <c r="F128" s="244" t="s">
        <v>23</v>
      </c>
      <c r="G128" s="244">
        <v>8.0</v>
      </c>
      <c r="H128" s="244" t="s">
        <v>92</v>
      </c>
      <c r="I128" s="245"/>
      <c r="J128" s="245"/>
      <c r="K128" s="244">
        <v>8.0</v>
      </c>
      <c r="L128" s="244">
        <v>0.0</v>
      </c>
      <c r="M128" s="244">
        <v>8.0</v>
      </c>
      <c r="N128" s="189">
        <f t="shared" si="10"/>
        <v>0</v>
      </c>
      <c r="O128" s="186" t="s">
        <v>320</v>
      </c>
      <c r="P128" s="201" t="s">
        <v>70</v>
      </c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</row>
    <row r="129" ht="35.25" customHeight="1">
      <c r="A129" s="208">
        <v>10.0</v>
      </c>
      <c r="B129" s="207" t="s">
        <v>17</v>
      </c>
      <c r="C129" s="255" t="s">
        <v>437</v>
      </c>
      <c r="D129" s="273" t="s">
        <v>438</v>
      </c>
      <c r="E129" s="207" t="s">
        <v>35</v>
      </c>
      <c r="F129" s="255" t="s">
        <v>23</v>
      </c>
      <c r="G129" s="255">
        <v>8.0</v>
      </c>
      <c r="H129" s="207" t="s">
        <v>92</v>
      </c>
      <c r="I129" s="256"/>
      <c r="J129" s="256"/>
      <c r="K129" s="255">
        <v>8.0</v>
      </c>
      <c r="L129" s="255">
        <v>0.0</v>
      </c>
      <c r="M129" s="255">
        <v>8.0</v>
      </c>
      <c r="N129" s="212">
        <f t="shared" si="10"/>
        <v>0</v>
      </c>
      <c r="O129" s="207" t="s">
        <v>320</v>
      </c>
      <c r="P129" s="208" t="s">
        <v>70</v>
      </c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</row>
    <row r="130" ht="35.25" customHeight="1">
      <c r="A130" s="201">
        <v>5.0</v>
      </c>
      <c r="B130" s="244" t="s">
        <v>17</v>
      </c>
      <c r="C130" s="244" t="s">
        <v>439</v>
      </c>
      <c r="D130" s="244" t="s">
        <v>440</v>
      </c>
      <c r="E130" s="244" t="s">
        <v>35</v>
      </c>
      <c r="F130" s="244" t="s">
        <v>21</v>
      </c>
      <c r="G130" s="244">
        <v>8.0</v>
      </c>
      <c r="H130" s="244" t="s">
        <v>92</v>
      </c>
      <c r="I130" s="245"/>
      <c r="J130" s="245"/>
      <c r="K130" s="244">
        <v>8.0</v>
      </c>
      <c r="L130" s="186">
        <v>0.0</v>
      </c>
      <c r="M130" s="186">
        <v>8.0</v>
      </c>
      <c r="N130" s="189">
        <f t="shared" si="10"/>
        <v>0</v>
      </c>
      <c r="O130" s="186" t="s">
        <v>295</v>
      </c>
      <c r="P130" s="201" t="s">
        <v>70</v>
      </c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</row>
    <row r="131" ht="35.25" customHeight="1">
      <c r="A131" s="201">
        <v>1.0</v>
      </c>
      <c r="B131" s="244" t="s">
        <v>17</v>
      </c>
      <c r="C131" s="244" t="s">
        <v>428</v>
      </c>
      <c r="D131" s="244" t="s">
        <v>441</v>
      </c>
      <c r="E131" s="244" t="s">
        <v>35</v>
      </c>
      <c r="F131" s="244" t="s">
        <v>21</v>
      </c>
      <c r="G131" s="244">
        <v>13.0</v>
      </c>
      <c r="H131" s="244" t="s">
        <v>92</v>
      </c>
      <c r="I131" s="245"/>
      <c r="J131" s="245"/>
      <c r="K131" s="244">
        <v>19.0</v>
      </c>
      <c r="L131" s="246">
        <v>0.0</v>
      </c>
      <c r="M131" s="186">
        <v>19.0</v>
      </c>
      <c r="N131" s="189">
        <f t="shared" si="10"/>
        <v>0</v>
      </c>
      <c r="O131" s="186" t="s">
        <v>295</v>
      </c>
      <c r="P131" s="201" t="s">
        <v>70</v>
      </c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</row>
    <row r="132" ht="35.25" customHeight="1">
      <c r="A132" s="201">
        <v>10.0</v>
      </c>
      <c r="B132" s="244" t="s">
        <v>17</v>
      </c>
      <c r="C132" s="244" t="s">
        <v>428</v>
      </c>
      <c r="D132" s="244" t="s">
        <v>442</v>
      </c>
      <c r="E132" s="244" t="s">
        <v>35</v>
      </c>
      <c r="F132" s="244" t="s">
        <v>23</v>
      </c>
      <c r="G132" s="244">
        <v>8.0</v>
      </c>
      <c r="H132" s="244" t="s">
        <v>92</v>
      </c>
      <c r="I132" s="245"/>
      <c r="J132" s="245"/>
      <c r="K132" s="244">
        <v>8.0</v>
      </c>
      <c r="L132" s="244">
        <v>0.0</v>
      </c>
      <c r="M132" s="186">
        <v>8.0</v>
      </c>
      <c r="N132" s="189">
        <f t="shared" si="10"/>
        <v>0</v>
      </c>
      <c r="O132" s="186" t="s">
        <v>320</v>
      </c>
      <c r="P132" s="201" t="s">
        <v>70</v>
      </c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</row>
    <row r="133" ht="35.25" customHeight="1">
      <c r="A133" s="201">
        <v>7.0</v>
      </c>
      <c r="B133" s="244" t="s">
        <v>17</v>
      </c>
      <c r="C133" s="244" t="s">
        <v>443</v>
      </c>
      <c r="D133" s="244" t="s">
        <v>444</v>
      </c>
      <c r="E133" s="244" t="s">
        <v>34</v>
      </c>
      <c r="F133" s="244" t="s">
        <v>20</v>
      </c>
      <c r="G133" s="244">
        <v>8.0</v>
      </c>
      <c r="H133" s="244" t="s">
        <v>92</v>
      </c>
      <c r="I133" s="245"/>
      <c r="J133" s="245"/>
      <c r="K133" s="244">
        <v>8.0</v>
      </c>
      <c r="L133" s="244">
        <v>0.0</v>
      </c>
      <c r="M133" s="186">
        <v>0.0</v>
      </c>
      <c r="N133" s="189">
        <f t="shared" si="10"/>
        <v>8</v>
      </c>
      <c r="O133" s="186" t="s">
        <v>346</v>
      </c>
      <c r="P133" s="201" t="s">
        <v>70</v>
      </c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</row>
    <row r="134" ht="35.25" customHeight="1">
      <c r="A134" s="201">
        <v>7.0</v>
      </c>
      <c r="B134" s="244" t="s">
        <v>17</v>
      </c>
      <c r="C134" s="244" t="s">
        <v>391</v>
      </c>
      <c r="D134" s="244" t="s">
        <v>445</v>
      </c>
      <c r="E134" s="244" t="s">
        <v>34</v>
      </c>
      <c r="F134" s="244" t="s">
        <v>20</v>
      </c>
      <c r="G134" s="244">
        <v>9.0</v>
      </c>
      <c r="H134" s="244" t="s">
        <v>92</v>
      </c>
      <c r="I134" s="245"/>
      <c r="J134" s="245"/>
      <c r="K134" s="244">
        <v>9.0</v>
      </c>
      <c r="L134" s="244">
        <v>0.0</v>
      </c>
      <c r="M134" s="186">
        <v>9.0</v>
      </c>
      <c r="N134" s="189">
        <f t="shared" si="10"/>
        <v>0</v>
      </c>
      <c r="O134" s="186" t="s">
        <v>346</v>
      </c>
      <c r="P134" s="201" t="s">
        <v>70</v>
      </c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</row>
    <row r="135" ht="35.25" customHeight="1">
      <c r="A135" s="201">
        <v>11.0</v>
      </c>
      <c r="B135" s="244" t="s">
        <v>17</v>
      </c>
      <c r="C135" s="244" t="s">
        <v>446</v>
      </c>
      <c r="D135" s="244" t="s">
        <v>447</v>
      </c>
      <c r="E135" s="244" t="s">
        <v>35</v>
      </c>
      <c r="F135" s="244" t="s">
        <v>20</v>
      </c>
      <c r="G135" s="244">
        <v>10.0</v>
      </c>
      <c r="H135" s="244" t="s">
        <v>92</v>
      </c>
      <c r="I135" s="245"/>
      <c r="J135" s="245"/>
      <c r="K135" s="244">
        <v>10.0</v>
      </c>
      <c r="L135" s="244">
        <v>0.0</v>
      </c>
      <c r="M135" s="186">
        <v>10.0</v>
      </c>
      <c r="N135" s="189">
        <f t="shared" si="10"/>
        <v>0</v>
      </c>
      <c r="O135" s="186" t="s">
        <v>320</v>
      </c>
      <c r="P135" s="201" t="s">
        <v>70</v>
      </c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</row>
    <row r="136" ht="35.25" customHeight="1">
      <c r="A136" s="201">
        <v>2.0</v>
      </c>
      <c r="B136" s="244" t="s">
        <v>17</v>
      </c>
      <c r="C136" s="244" t="s">
        <v>419</v>
      </c>
      <c r="D136" s="244" t="s">
        <v>441</v>
      </c>
      <c r="E136" s="244" t="s">
        <v>35</v>
      </c>
      <c r="F136" s="244" t="s">
        <v>21</v>
      </c>
      <c r="G136" s="244">
        <v>13.0</v>
      </c>
      <c r="H136" s="244" t="s">
        <v>92</v>
      </c>
      <c r="I136" s="245"/>
      <c r="J136" s="245"/>
      <c r="K136" s="244">
        <v>19.0</v>
      </c>
      <c r="L136" s="244">
        <v>0.0</v>
      </c>
      <c r="M136" s="186">
        <v>19.0</v>
      </c>
      <c r="N136" s="189">
        <f t="shared" si="10"/>
        <v>0</v>
      </c>
      <c r="O136" s="186" t="s">
        <v>295</v>
      </c>
      <c r="P136" s="201" t="s">
        <v>70</v>
      </c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</row>
    <row r="137" ht="35.25" customHeight="1">
      <c r="A137" s="201">
        <v>3.0</v>
      </c>
      <c r="B137" s="244" t="s">
        <v>17</v>
      </c>
      <c r="C137" s="244" t="s">
        <v>448</v>
      </c>
      <c r="D137" s="244" t="s">
        <v>441</v>
      </c>
      <c r="E137" s="244" t="s">
        <v>35</v>
      </c>
      <c r="F137" s="244" t="s">
        <v>21</v>
      </c>
      <c r="G137" s="244">
        <v>13.0</v>
      </c>
      <c r="H137" s="244" t="s">
        <v>92</v>
      </c>
      <c r="I137" s="245"/>
      <c r="J137" s="245"/>
      <c r="K137" s="244">
        <v>19.0</v>
      </c>
      <c r="L137" s="244">
        <v>0.0</v>
      </c>
      <c r="M137" s="186">
        <v>19.0</v>
      </c>
      <c r="N137" s="189">
        <f t="shared" si="10"/>
        <v>0</v>
      </c>
      <c r="O137" s="186" t="s">
        <v>295</v>
      </c>
      <c r="P137" s="201" t="s">
        <v>70</v>
      </c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</row>
    <row r="138" ht="35.25" customHeight="1">
      <c r="A138" s="201">
        <v>7.0</v>
      </c>
      <c r="B138" s="244" t="s">
        <v>17</v>
      </c>
      <c r="C138" s="244" t="s">
        <v>449</v>
      </c>
      <c r="D138" s="244" t="s">
        <v>450</v>
      </c>
      <c r="E138" s="244" t="s">
        <v>34</v>
      </c>
      <c r="F138" s="244" t="s">
        <v>20</v>
      </c>
      <c r="G138" s="244">
        <v>10.0</v>
      </c>
      <c r="H138" s="244" t="s">
        <v>92</v>
      </c>
      <c r="I138" s="245"/>
      <c r="J138" s="245"/>
      <c r="K138" s="244">
        <v>9.0</v>
      </c>
      <c r="L138" s="244">
        <v>0.0</v>
      </c>
      <c r="M138" s="186">
        <v>9.0</v>
      </c>
      <c r="N138" s="189">
        <f t="shared" si="10"/>
        <v>0</v>
      </c>
      <c r="O138" s="186" t="s">
        <v>346</v>
      </c>
      <c r="P138" s="201" t="s">
        <v>70</v>
      </c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</row>
    <row r="139" ht="35.25" customHeight="1">
      <c r="A139" s="201">
        <v>4.0</v>
      </c>
      <c r="B139" s="244" t="s">
        <v>17</v>
      </c>
      <c r="C139" s="244" t="s">
        <v>396</v>
      </c>
      <c r="D139" s="244" t="s">
        <v>441</v>
      </c>
      <c r="E139" s="244" t="s">
        <v>35</v>
      </c>
      <c r="F139" s="244" t="s">
        <v>21</v>
      </c>
      <c r="G139" s="244">
        <v>13.0</v>
      </c>
      <c r="H139" s="244" t="s">
        <v>92</v>
      </c>
      <c r="I139" s="245"/>
      <c r="J139" s="245"/>
      <c r="K139" s="244">
        <v>19.0</v>
      </c>
      <c r="L139" s="186">
        <v>0.0</v>
      </c>
      <c r="M139" s="186">
        <v>19.0</v>
      </c>
      <c r="N139" s="189">
        <f t="shared" si="10"/>
        <v>0</v>
      </c>
      <c r="O139" s="186" t="s">
        <v>295</v>
      </c>
      <c r="P139" s="201" t="s">
        <v>70</v>
      </c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</row>
    <row r="140" ht="28.5" customHeight="1">
      <c r="A140" s="201">
        <v>12.0</v>
      </c>
      <c r="B140" s="244" t="s">
        <v>17</v>
      </c>
      <c r="C140" s="244" t="s">
        <v>400</v>
      </c>
      <c r="D140" s="244" t="s">
        <v>451</v>
      </c>
      <c r="E140" s="244" t="s">
        <v>34</v>
      </c>
      <c r="F140" s="244" t="s">
        <v>23</v>
      </c>
      <c r="G140" s="244">
        <v>20.0</v>
      </c>
      <c r="H140" s="244" t="s">
        <v>76</v>
      </c>
      <c r="I140" s="245">
        <v>45870.0</v>
      </c>
      <c r="J140" s="245">
        <v>45884.0</v>
      </c>
      <c r="K140" s="244">
        <v>40.0</v>
      </c>
      <c r="L140" s="244">
        <v>0.0</v>
      </c>
      <c r="M140" s="186">
        <v>40.0</v>
      </c>
      <c r="N140" s="189">
        <f t="shared" si="10"/>
        <v>0</v>
      </c>
      <c r="O140" s="186" t="s">
        <v>452</v>
      </c>
      <c r="P140" s="201" t="s">
        <v>70</v>
      </c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</row>
    <row r="141" ht="28.5" customHeight="1">
      <c r="A141" s="201">
        <v>2.0</v>
      </c>
      <c r="B141" s="244" t="s">
        <v>17</v>
      </c>
      <c r="C141" s="244" t="s">
        <v>449</v>
      </c>
      <c r="D141" s="244" t="s">
        <v>453</v>
      </c>
      <c r="E141" s="244" t="s">
        <v>35</v>
      </c>
      <c r="F141" s="244" t="s">
        <v>20</v>
      </c>
      <c r="G141" s="244">
        <v>8.0</v>
      </c>
      <c r="H141" s="244" t="s">
        <v>92</v>
      </c>
      <c r="I141" s="245"/>
      <c r="J141" s="245"/>
      <c r="K141" s="244">
        <v>8.0</v>
      </c>
      <c r="L141" s="246">
        <v>0.0</v>
      </c>
      <c r="M141" s="186">
        <v>8.0</v>
      </c>
      <c r="N141" s="189">
        <f t="shared" si="10"/>
        <v>0</v>
      </c>
      <c r="O141" s="186" t="s">
        <v>295</v>
      </c>
      <c r="P141" s="201" t="s">
        <v>70</v>
      </c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</row>
    <row r="142" ht="28.5" customHeight="1">
      <c r="A142" s="201">
        <v>3.0</v>
      </c>
      <c r="B142" s="244" t="s">
        <v>17</v>
      </c>
      <c r="C142" s="244" t="s">
        <v>416</v>
      </c>
      <c r="D142" s="244" t="s">
        <v>454</v>
      </c>
      <c r="E142" s="244" t="s">
        <v>35</v>
      </c>
      <c r="F142" s="244" t="s">
        <v>23</v>
      </c>
      <c r="G142" s="244">
        <v>8.0</v>
      </c>
      <c r="H142" s="244" t="s">
        <v>92</v>
      </c>
      <c r="I142" s="245"/>
      <c r="J142" s="245"/>
      <c r="K142" s="244">
        <v>8.0</v>
      </c>
      <c r="L142" s="186">
        <v>0.0</v>
      </c>
      <c r="M142" s="186">
        <v>8.0</v>
      </c>
      <c r="N142" s="189">
        <f t="shared" si="10"/>
        <v>0</v>
      </c>
      <c r="O142" s="186" t="s">
        <v>295</v>
      </c>
      <c r="P142" s="201" t="s">
        <v>70</v>
      </c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</row>
    <row r="143" ht="28.5" customHeight="1">
      <c r="A143" s="201">
        <v>4.0</v>
      </c>
      <c r="B143" s="244" t="s">
        <v>17</v>
      </c>
      <c r="C143" s="244" t="s">
        <v>421</v>
      </c>
      <c r="D143" s="244" t="s">
        <v>455</v>
      </c>
      <c r="E143" s="244" t="s">
        <v>35</v>
      </c>
      <c r="F143" s="244" t="s">
        <v>19</v>
      </c>
      <c r="G143" s="244">
        <v>10.0</v>
      </c>
      <c r="H143" s="244" t="s">
        <v>92</v>
      </c>
      <c r="I143" s="245"/>
      <c r="J143" s="245"/>
      <c r="K143" s="244">
        <v>10.0</v>
      </c>
      <c r="L143" s="246">
        <v>0.0</v>
      </c>
      <c r="M143" s="186">
        <v>10.0</v>
      </c>
      <c r="N143" s="189">
        <f t="shared" si="10"/>
        <v>0</v>
      </c>
      <c r="O143" s="186" t="s">
        <v>295</v>
      </c>
      <c r="P143" s="201" t="s">
        <v>70</v>
      </c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</row>
    <row r="144" ht="28.5" customHeight="1">
      <c r="A144" s="201">
        <v>5.0</v>
      </c>
      <c r="B144" s="244" t="s">
        <v>17</v>
      </c>
      <c r="C144" s="244" t="s">
        <v>456</v>
      </c>
      <c r="D144" s="244" t="s">
        <v>455</v>
      </c>
      <c r="E144" s="244" t="s">
        <v>35</v>
      </c>
      <c r="F144" s="244" t="s">
        <v>19</v>
      </c>
      <c r="G144" s="244">
        <v>10.0</v>
      </c>
      <c r="H144" s="244" t="s">
        <v>92</v>
      </c>
      <c r="I144" s="245"/>
      <c r="J144" s="245"/>
      <c r="K144" s="244">
        <v>10.0</v>
      </c>
      <c r="L144" s="246">
        <v>0.0</v>
      </c>
      <c r="M144" s="186">
        <v>10.0</v>
      </c>
      <c r="N144" s="189">
        <f t="shared" si="10"/>
        <v>0</v>
      </c>
      <c r="O144" s="186" t="s">
        <v>295</v>
      </c>
      <c r="P144" s="201" t="s">
        <v>70</v>
      </c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</row>
    <row r="145" ht="28.5" customHeight="1">
      <c r="A145" s="201">
        <v>6.0</v>
      </c>
      <c r="B145" s="244" t="s">
        <v>17</v>
      </c>
      <c r="C145" s="244" t="s">
        <v>162</v>
      </c>
      <c r="D145" s="244" t="s">
        <v>457</v>
      </c>
      <c r="E145" s="244" t="s">
        <v>35</v>
      </c>
      <c r="F145" s="244" t="s">
        <v>19</v>
      </c>
      <c r="G145" s="244">
        <v>10.0</v>
      </c>
      <c r="H145" s="244" t="s">
        <v>92</v>
      </c>
      <c r="I145" s="245"/>
      <c r="J145" s="245"/>
      <c r="K145" s="244">
        <v>10.0</v>
      </c>
      <c r="L145" s="244">
        <v>0.0</v>
      </c>
      <c r="M145" s="186">
        <v>10.0</v>
      </c>
      <c r="N145" s="189">
        <f t="shared" si="10"/>
        <v>0</v>
      </c>
      <c r="O145" s="186" t="s">
        <v>295</v>
      </c>
      <c r="P145" s="201" t="s">
        <v>70</v>
      </c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</row>
    <row r="146" ht="28.5" customHeight="1">
      <c r="A146" s="201">
        <v>10.0</v>
      </c>
      <c r="B146" s="187" t="s">
        <v>17</v>
      </c>
      <c r="C146" s="186" t="s">
        <v>458</v>
      </c>
      <c r="D146" s="186" t="s">
        <v>459</v>
      </c>
      <c r="E146" s="186" t="s">
        <v>34</v>
      </c>
      <c r="F146" s="186" t="s">
        <v>23</v>
      </c>
      <c r="G146" s="186">
        <v>20.0</v>
      </c>
      <c r="H146" s="244" t="s">
        <v>76</v>
      </c>
      <c r="I146" s="188">
        <v>45784.0</v>
      </c>
      <c r="J146" s="188">
        <v>45798.0</v>
      </c>
      <c r="K146" s="186">
        <v>40.0</v>
      </c>
      <c r="L146" s="186">
        <v>0.0</v>
      </c>
      <c r="M146" s="186">
        <v>40.0</v>
      </c>
      <c r="N146" s="189">
        <f t="shared" si="10"/>
        <v>0</v>
      </c>
      <c r="O146" s="186" t="s">
        <v>323</v>
      </c>
      <c r="P146" s="201" t="s">
        <v>70</v>
      </c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</row>
    <row r="147" ht="28.5" customHeight="1">
      <c r="A147" s="201">
        <v>13.0</v>
      </c>
      <c r="B147" s="244" t="s">
        <v>17</v>
      </c>
      <c r="C147" s="244" t="s">
        <v>414</v>
      </c>
      <c r="D147" s="244" t="s">
        <v>460</v>
      </c>
      <c r="E147" s="244" t="s">
        <v>35</v>
      </c>
      <c r="F147" s="244" t="s">
        <v>23</v>
      </c>
      <c r="G147" s="244">
        <v>8.0</v>
      </c>
      <c r="H147" s="244" t="s">
        <v>92</v>
      </c>
      <c r="I147" s="245"/>
      <c r="J147" s="245"/>
      <c r="K147" s="244">
        <v>8.0</v>
      </c>
      <c r="L147" s="244">
        <v>0.0</v>
      </c>
      <c r="M147" s="186">
        <v>8.0</v>
      </c>
      <c r="N147" s="189">
        <f t="shared" si="10"/>
        <v>0</v>
      </c>
      <c r="O147" s="186" t="s">
        <v>295</v>
      </c>
      <c r="P147" s="201" t="s">
        <v>70</v>
      </c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</row>
    <row r="148" ht="28.5" customHeight="1">
      <c r="A148" s="201">
        <v>14.0</v>
      </c>
      <c r="B148" s="244" t="s">
        <v>17</v>
      </c>
      <c r="C148" s="244" t="s">
        <v>391</v>
      </c>
      <c r="D148" s="244" t="s">
        <v>461</v>
      </c>
      <c r="E148" s="244" t="s">
        <v>35</v>
      </c>
      <c r="F148" s="244" t="s">
        <v>20</v>
      </c>
      <c r="G148" s="244">
        <v>8.0</v>
      </c>
      <c r="H148" s="244" t="s">
        <v>92</v>
      </c>
      <c r="I148" s="245"/>
      <c r="J148" s="245"/>
      <c r="K148" s="244">
        <v>8.0</v>
      </c>
      <c r="L148" s="244">
        <v>0.0</v>
      </c>
      <c r="M148" s="186">
        <v>8.0</v>
      </c>
      <c r="N148" s="189">
        <f t="shared" si="10"/>
        <v>0</v>
      </c>
      <c r="O148" s="186" t="s">
        <v>307</v>
      </c>
      <c r="P148" s="201" t="s">
        <v>70</v>
      </c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</row>
    <row r="149" ht="28.5" customHeight="1">
      <c r="A149" s="201">
        <v>14.0</v>
      </c>
      <c r="B149" s="244" t="s">
        <v>17</v>
      </c>
      <c r="C149" s="244" t="s">
        <v>173</v>
      </c>
      <c r="D149" s="244" t="s">
        <v>462</v>
      </c>
      <c r="E149" s="244" t="s">
        <v>35</v>
      </c>
      <c r="F149" s="244" t="s">
        <v>20</v>
      </c>
      <c r="G149" s="244">
        <v>8.0</v>
      </c>
      <c r="H149" s="244" t="s">
        <v>92</v>
      </c>
      <c r="I149" s="245"/>
      <c r="J149" s="245"/>
      <c r="K149" s="244">
        <v>8.0</v>
      </c>
      <c r="L149" s="244">
        <v>0.0</v>
      </c>
      <c r="M149" s="186">
        <v>8.0</v>
      </c>
      <c r="N149" s="189">
        <f t="shared" si="10"/>
        <v>0</v>
      </c>
      <c r="O149" s="186" t="s">
        <v>307</v>
      </c>
      <c r="P149" s="201" t="s">
        <v>70</v>
      </c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0" ht="35.25" customHeight="1">
      <c r="A150" s="214"/>
      <c r="B150" s="244" t="s">
        <v>17</v>
      </c>
      <c r="C150" s="244" t="s">
        <v>463</v>
      </c>
      <c r="D150" s="244" t="s">
        <v>464</v>
      </c>
      <c r="E150" s="249" t="s">
        <v>35</v>
      </c>
      <c r="F150" s="244" t="s">
        <v>20</v>
      </c>
      <c r="G150" s="244">
        <v>8.0</v>
      </c>
      <c r="H150" s="244" t="s">
        <v>92</v>
      </c>
      <c r="I150" s="256"/>
      <c r="J150" s="256"/>
      <c r="K150" s="244">
        <v>8.0</v>
      </c>
      <c r="L150" s="244">
        <v>0.0</v>
      </c>
      <c r="M150" s="244">
        <v>0.0</v>
      </c>
      <c r="N150" s="264">
        <v>0.0</v>
      </c>
      <c r="O150" s="186" t="s">
        <v>375</v>
      </c>
      <c r="P150" s="249" t="s">
        <v>100</v>
      </c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</row>
    <row r="151" ht="35.25" customHeight="1">
      <c r="A151" s="201">
        <v>7.0</v>
      </c>
      <c r="B151" s="244" t="s">
        <v>17</v>
      </c>
      <c r="C151" s="244" t="s">
        <v>244</v>
      </c>
      <c r="D151" s="244" t="s">
        <v>464</v>
      </c>
      <c r="E151" s="244" t="s">
        <v>35</v>
      </c>
      <c r="F151" s="244" t="s">
        <v>20</v>
      </c>
      <c r="G151" s="244">
        <v>8.0</v>
      </c>
      <c r="H151" s="244" t="s">
        <v>92</v>
      </c>
      <c r="I151" s="245"/>
      <c r="J151" s="245"/>
      <c r="K151" s="244">
        <v>8.0</v>
      </c>
      <c r="L151" s="244">
        <v>0.0</v>
      </c>
      <c r="M151" s="186">
        <v>0.0</v>
      </c>
      <c r="N151" s="275">
        <v>0.0</v>
      </c>
      <c r="O151" s="186" t="s">
        <v>375</v>
      </c>
      <c r="P151" s="201" t="s">
        <v>100</v>
      </c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</row>
    <row r="152" ht="35.25" customHeight="1">
      <c r="A152" s="214"/>
      <c r="B152" s="244" t="s">
        <v>17</v>
      </c>
      <c r="C152" s="244" t="s">
        <v>465</v>
      </c>
      <c r="D152" s="244" t="s">
        <v>466</v>
      </c>
      <c r="E152" s="249" t="s">
        <v>35</v>
      </c>
      <c r="F152" s="244" t="s">
        <v>20</v>
      </c>
      <c r="G152" s="244">
        <v>8.0</v>
      </c>
      <c r="H152" s="244" t="s">
        <v>92</v>
      </c>
      <c r="I152" s="256"/>
      <c r="J152" s="256"/>
      <c r="K152" s="244">
        <v>8.0</v>
      </c>
      <c r="L152" s="244">
        <v>0.0</v>
      </c>
      <c r="M152" s="244">
        <v>0.0</v>
      </c>
      <c r="N152" s="264">
        <v>0.0</v>
      </c>
      <c r="O152" s="186" t="s">
        <v>336</v>
      </c>
      <c r="P152" s="249" t="s">
        <v>100</v>
      </c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</row>
    <row r="153" ht="35.25" customHeight="1">
      <c r="A153" s="201">
        <v>7.0</v>
      </c>
      <c r="B153" s="244" t="s">
        <v>17</v>
      </c>
      <c r="C153" s="244" t="s">
        <v>244</v>
      </c>
      <c r="D153" s="244" t="s">
        <v>467</v>
      </c>
      <c r="E153" s="244" t="s">
        <v>35</v>
      </c>
      <c r="F153" s="244" t="s">
        <v>20</v>
      </c>
      <c r="G153" s="244">
        <v>12.0</v>
      </c>
      <c r="H153" s="244" t="s">
        <v>92</v>
      </c>
      <c r="I153" s="245"/>
      <c r="J153" s="245"/>
      <c r="K153" s="244">
        <v>16.0</v>
      </c>
      <c r="L153" s="244">
        <v>0.0</v>
      </c>
      <c r="M153" s="186">
        <v>16.0</v>
      </c>
      <c r="N153" s="275">
        <v>0.0</v>
      </c>
      <c r="O153" s="186" t="s">
        <v>336</v>
      </c>
      <c r="P153" s="201" t="s">
        <v>100</v>
      </c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</row>
    <row r="154" ht="35.25" customHeight="1">
      <c r="A154" s="201">
        <v>7.0</v>
      </c>
      <c r="B154" s="244" t="s">
        <v>17</v>
      </c>
      <c r="C154" s="244" t="s">
        <v>238</v>
      </c>
      <c r="D154" s="244" t="s">
        <v>468</v>
      </c>
      <c r="E154" s="244" t="s">
        <v>35</v>
      </c>
      <c r="F154" s="244" t="s">
        <v>20</v>
      </c>
      <c r="G154" s="244">
        <v>12.0</v>
      </c>
      <c r="H154" s="244" t="s">
        <v>92</v>
      </c>
      <c r="I154" s="245"/>
      <c r="J154" s="245"/>
      <c r="K154" s="244">
        <v>16.0</v>
      </c>
      <c r="L154" s="244">
        <v>0.0</v>
      </c>
      <c r="M154" s="186">
        <v>16.0</v>
      </c>
      <c r="N154" s="275">
        <v>0.0</v>
      </c>
      <c r="O154" s="186" t="s">
        <v>346</v>
      </c>
      <c r="P154" s="201" t="s">
        <v>100</v>
      </c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</row>
    <row r="155" ht="35.25" customHeight="1">
      <c r="A155" s="201">
        <v>10.0</v>
      </c>
      <c r="B155" s="244" t="s">
        <v>17</v>
      </c>
      <c r="C155" s="244" t="s">
        <v>469</v>
      </c>
      <c r="D155" s="244" t="s">
        <v>470</v>
      </c>
      <c r="E155" s="244" t="s">
        <v>35</v>
      </c>
      <c r="F155" s="244" t="s">
        <v>20</v>
      </c>
      <c r="G155" s="244">
        <v>12.0</v>
      </c>
      <c r="H155" s="244" t="s">
        <v>92</v>
      </c>
      <c r="I155" s="245"/>
      <c r="J155" s="245"/>
      <c r="K155" s="244">
        <v>16.0</v>
      </c>
      <c r="L155" s="244">
        <v>0.0</v>
      </c>
      <c r="M155" s="186">
        <v>11.0</v>
      </c>
      <c r="N155" s="275">
        <v>5.0</v>
      </c>
      <c r="O155" s="186" t="s">
        <v>336</v>
      </c>
      <c r="P155" s="201" t="s">
        <v>100</v>
      </c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</row>
    <row r="156" ht="35.25" customHeight="1">
      <c r="A156" s="201">
        <v>10.0</v>
      </c>
      <c r="B156" s="244" t="s">
        <v>17</v>
      </c>
      <c r="C156" s="244" t="s">
        <v>469</v>
      </c>
      <c r="D156" s="244" t="s">
        <v>464</v>
      </c>
      <c r="E156" s="244" t="s">
        <v>35</v>
      </c>
      <c r="F156" s="244" t="s">
        <v>20</v>
      </c>
      <c r="G156" s="244">
        <v>8.0</v>
      </c>
      <c r="H156" s="244" t="s">
        <v>92</v>
      </c>
      <c r="I156" s="245"/>
      <c r="J156" s="245"/>
      <c r="K156" s="244">
        <v>8.0</v>
      </c>
      <c r="L156" s="244">
        <v>0.0</v>
      </c>
      <c r="M156" s="186">
        <v>0.0</v>
      </c>
      <c r="N156" s="275">
        <v>8.0</v>
      </c>
      <c r="O156" s="186" t="s">
        <v>375</v>
      </c>
      <c r="P156" s="201" t="s">
        <v>100</v>
      </c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</row>
    <row r="157" ht="35.25" customHeight="1">
      <c r="A157" s="249">
        <v>11.0</v>
      </c>
      <c r="B157" s="244" t="s">
        <v>17</v>
      </c>
      <c r="C157" s="244" t="s">
        <v>463</v>
      </c>
      <c r="D157" s="244" t="s">
        <v>466</v>
      </c>
      <c r="E157" s="249" t="s">
        <v>35</v>
      </c>
      <c r="F157" s="244" t="s">
        <v>20</v>
      </c>
      <c r="G157" s="244">
        <v>8.0</v>
      </c>
      <c r="H157" s="244" t="s">
        <v>92</v>
      </c>
      <c r="I157" s="256"/>
      <c r="J157" s="256"/>
      <c r="K157" s="244">
        <v>8.0</v>
      </c>
      <c r="L157" s="244">
        <v>0.0</v>
      </c>
      <c r="M157" s="244">
        <v>3.0</v>
      </c>
      <c r="N157" s="264">
        <v>5.0</v>
      </c>
      <c r="O157" s="186" t="s">
        <v>336</v>
      </c>
      <c r="P157" s="249" t="s">
        <v>100</v>
      </c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</row>
    <row r="158" ht="35.25" customHeight="1">
      <c r="A158" s="201">
        <v>12.0</v>
      </c>
      <c r="B158" s="244" t="s">
        <v>17</v>
      </c>
      <c r="C158" s="244" t="s">
        <v>393</v>
      </c>
      <c r="D158" s="244" t="s">
        <v>471</v>
      </c>
      <c r="E158" s="244" t="s">
        <v>34</v>
      </c>
      <c r="F158" s="244" t="s">
        <v>19</v>
      </c>
      <c r="G158" s="244">
        <v>30.0</v>
      </c>
      <c r="H158" s="244" t="s">
        <v>76</v>
      </c>
      <c r="I158" s="244" t="s">
        <v>472</v>
      </c>
      <c r="J158" s="245">
        <v>45965.0</v>
      </c>
      <c r="K158" s="244">
        <v>65.0</v>
      </c>
      <c r="L158" s="244">
        <v>0.0</v>
      </c>
      <c r="M158" s="244">
        <v>27.0</v>
      </c>
      <c r="N158" s="275">
        <v>38.0</v>
      </c>
      <c r="O158" s="186" t="s">
        <v>344</v>
      </c>
      <c r="P158" s="201" t="s">
        <v>78</v>
      </c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</row>
    <row r="159">
      <c r="A159" s="276">
        <v>13.0</v>
      </c>
      <c r="B159" s="244" t="s">
        <v>17</v>
      </c>
      <c r="C159" s="244" t="s">
        <v>473</v>
      </c>
      <c r="D159" s="247" t="s">
        <v>474</v>
      </c>
      <c r="E159" s="244" t="s">
        <v>35</v>
      </c>
      <c r="F159" s="244" t="s">
        <v>23</v>
      </c>
      <c r="G159" s="244">
        <v>19.0</v>
      </c>
      <c r="H159" s="244" t="s">
        <v>92</v>
      </c>
      <c r="I159" s="245"/>
      <c r="J159" s="245"/>
      <c r="K159" s="244">
        <v>39.0</v>
      </c>
      <c r="L159" s="244">
        <v>0.0</v>
      </c>
      <c r="M159" s="244">
        <v>23.0</v>
      </c>
      <c r="N159" s="275">
        <v>16.0</v>
      </c>
      <c r="O159" s="186" t="s">
        <v>475</v>
      </c>
      <c r="P159" s="201" t="s">
        <v>100</v>
      </c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</row>
    <row r="160" ht="35.25" customHeight="1">
      <c r="A160" s="201">
        <v>14.0</v>
      </c>
      <c r="B160" s="244" t="s">
        <v>17</v>
      </c>
      <c r="C160" s="244" t="s">
        <v>439</v>
      </c>
      <c r="D160" s="247" t="s">
        <v>474</v>
      </c>
      <c r="E160" s="244" t="s">
        <v>35</v>
      </c>
      <c r="F160" s="244" t="s">
        <v>23</v>
      </c>
      <c r="G160" s="244">
        <v>19.0</v>
      </c>
      <c r="H160" s="244" t="s">
        <v>92</v>
      </c>
      <c r="I160" s="245"/>
      <c r="J160" s="245"/>
      <c r="K160" s="244">
        <v>39.0</v>
      </c>
      <c r="L160" s="244">
        <v>0.0</v>
      </c>
      <c r="M160" s="248">
        <v>30.0</v>
      </c>
      <c r="N160" s="261">
        <v>0.0</v>
      </c>
      <c r="O160" s="186" t="s">
        <v>475</v>
      </c>
      <c r="P160" s="201" t="s">
        <v>100</v>
      </c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</row>
    <row r="161" ht="35.25" customHeight="1">
      <c r="A161" s="201">
        <v>14.0</v>
      </c>
      <c r="B161" s="244" t="s">
        <v>17</v>
      </c>
      <c r="C161" s="244" t="s">
        <v>439</v>
      </c>
      <c r="D161" s="247" t="s">
        <v>476</v>
      </c>
      <c r="E161" s="244" t="s">
        <v>34</v>
      </c>
      <c r="F161" s="244" t="s">
        <v>21</v>
      </c>
      <c r="G161" s="244">
        <v>20.0</v>
      </c>
      <c r="H161" s="244" t="s">
        <v>76</v>
      </c>
      <c r="I161" s="245">
        <v>45958.0</v>
      </c>
      <c r="J161" s="245">
        <v>45972.0</v>
      </c>
      <c r="K161" s="244">
        <v>40.0</v>
      </c>
      <c r="L161" s="244">
        <v>0.0</v>
      </c>
      <c r="M161" s="248">
        <v>18.0</v>
      </c>
      <c r="N161" s="261">
        <v>22.0</v>
      </c>
      <c r="O161" s="186" t="s">
        <v>375</v>
      </c>
      <c r="P161" s="201" t="s">
        <v>78</v>
      </c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</row>
    <row r="162" ht="35.25" customHeight="1">
      <c r="A162" s="201">
        <v>9.0</v>
      </c>
      <c r="B162" s="244" t="s">
        <v>18</v>
      </c>
      <c r="C162" s="244" t="s">
        <v>477</v>
      </c>
      <c r="D162" s="247" t="s">
        <v>478</v>
      </c>
      <c r="E162" s="244" t="s">
        <v>35</v>
      </c>
      <c r="F162" s="244" t="s">
        <v>19</v>
      </c>
      <c r="G162" s="244">
        <v>10.0</v>
      </c>
      <c r="H162" s="244" t="s">
        <v>92</v>
      </c>
      <c r="I162" s="245"/>
      <c r="J162" s="245"/>
      <c r="K162" s="244">
        <v>10.0</v>
      </c>
      <c r="L162" s="244"/>
      <c r="M162" s="248">
        <v>10.0</v>
      </c>
      <c r="N162" s="201">
        <v>0.0</v>
      </c>
      <c r="O162" s="186" t="s">
        <v>240</v>
      </c>
      <c r="P162" s="249" t="s">
        <v>70</v>
      </c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</row>
    <row r="163" ht="35.25" customHeight="1">
      <c r="A163" s="201">
        <v>10.0</v>
      </c>
      <c r="B163" s="244" t="s">
        <v>18</v>
      </c>
      <c r="C163" s="244" t="s">
        <v>479</v>
      </c>
      <c r="D163" s="247" t="s">
        <v>480</v>
      </c>
      <c r="E163" s="244" t="s">
        <v>35</v>
      </c>
      <c r="F163" s="244" t="s">
        <v>21</v>
      </c>
      <c r="G163" s="244">
        <v>8.0</v>
      </c>
      <c r="H163" s="244" t="s">
        <v>92</v>
      </c>
      <c r="I163" s="245"/>
      <c r="J163" s="245"/>
      <c r="K163" s="244">
        <v>8.0</v>
      </c>
      <c r="L163" s="244">
        <v>0.0</v>
      </c>
      <c r="M163" s="248">
        <v>8.0</v>
      </c>
      <c r="N163" s="201">
        <v>0.0</v>
      </c>
      <c r="O163" s="186" t="s">
        <v>240</v>
      </c>
      <c r="P163" s="249" t="s">
        <v>70</v>
      </c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</row>
    <row r="164" ht="35.25" customHeight="1">
      <c r="A164" s="201">
        <v>4.0</v>
      </c>
      <c r="B164" s="244" t="s">
        <v>18</v>
      </c>
      <c r="C164" s="244" t="s">
        <v>477</v>
      </c>
      <c r="D164" s="247" t="s">
        <v>481</v>
      </c>
      <c r="E164" s="244" t="s">
        <v>34</v>
      </c>
      <c r="F164" s="244" t="s">
        <v>21</v>
      </c>
      <c r="G164" s="244">
        <v>20.0</v>
      </c>
      <c r="H164" s="244" t="s">
        <v>76</v>
      </c>
      <c r="I164" s="245">
        <v>46031.0</v>
      </c>
      <c r="J164" s="245">
        <v>46045.0</v>
      </c>
      <c r="K164" s="244">
        <v>40.0</v>
      </c>
      <c r="L164" s="244">
        <v>0.0</v>
      </c>
      <c r="M164" s="248">
        <v>40.0</v>
      </c>
      <c r="N164" s="201">
        <v>0.0</v>
      </c>
      <c r="O164" s="186" t="s">
        <v>235</v>
      </c>
      <c r="P164" s="249" t="s">
        <v>70</v>
      </c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</row>
    <row r="165" ht="28.5" customHeight="1">
      <c r="B165" s="244" t="s">
        <v>18</v>
      </c>
      <c r="C165" s="276" t="s">
        <v>482</v>
      </c>
      <c r="D165" s="277" t="s">
        <v>483</v>
      </c>
      <c r="E165" s="250" t="s">
        <v>35</v>
      </c>
      <c r="F165" s="244" t="s">
        <v>20</v>
      </c>
      <c r="G165" s="277">
        <v>8.0</v>
      </c>
      <c r="H165" s="250" t="s">
        <v>92</v>
      </c>
      <c r="K165" s="277">
        <v>8.0</v>
      </c>
      <c r="L165" s="277">
        <v>0.0</v>
      </c>
      <c r="M165" s="276">
        <v>8.0</v>
      </c>
      <c r="N165" s="201">
        <v>0.0</v>
      </c>
      <c r="O165" s="276" t="s">
        <v>258</v>
      </c>
      <c r="P165" s="253" t="s">
        <v>70</v>
      </c>
    </row>
    <row r="166" ht="28.5" customHeight="1">
      <c r="B166" s="244" t="s">
        <v>18</v>
      </c>
      <c r="C166" s="277" t="s">
        <v>256</v>
      </c>
      <c r="D166" s="277" t="s">
        <v>484</v>
      </c>
      <c r="E166" s="250" t="s">
        <v>34</v>
      </c>
      <c r="F166" s="244" t="s">
        <v>23</v>
      </c>
      <c r="G166" s="277">
        <v>20.0</v>
      </c>
      <c r="H166" s="250" t="s">
        <v>76</v>
      </c>
      <c r="I166" s="245">
        <v>46073.0</v>
      </c>
      <c r="J166" s="245">
        <v>46087.0</v>
      </c>
      <c r="K166" s="277">
        <v>40.0</v>
      </c>
      <c r="L166" s="277">
        <v>0.0</v>
      </c>
      <c r="M166" s="277">
        <v>40.0</v>
      </c>
      <c r="N166" s="201">
        <v>0.0</v>
      </c>
      <c r="O166" s="277" t="s">
        <v>258</v>
      </c>
      <c r="P166" s="278" t="s">
        <v>70</v>
      </c>
    </row>
    <row r="167" ht="35.25" customHeight="1">
      <c r="A167" s="148"/>
      <c r="B167" s="250" t="s">
        <v>18</v>
      </c>
      <c r="C167" s="250" t="s">
        <v>485</v>
      </c>
      <c r="D167" s="247" t="s">
        <v>486</v>
      </c>
      <c r="E167" s="250" t="s">
        <v>35</v>
      </c>
      <c r="F167" s="250" t="s">
        <v>23</v>
      </c>
      <c r="G167" s="250">
        <v>19.0</v>
      </c>
      <c r="H167" s="250" t="s">
        <v>92</v>
      </c>
      <c r="I167" s="251"/>
      <c r="J167" s="251"/>
      <c r="K167" s="250">
        <v>39.0</v>
      </c>
      <c r="L167" s="250">
        <v>0.0</v>
      </c>
      <c r="M167" s="252">
        <v>39.0</v>
      </c>
      <c r="N167" s="201">
        <v>0.0</v>
      </c>
      <c r="O167" s="168" t="s">
        <v>258</v>
      </c>
      <c r="P167" s="253" t="s">
        <v>70</v>
      </c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</row>
    <row r="168" ht="35.25" customHeight="1">
      <c r="A168" s="148"/>
      <c r="B168" s="250" t="s">
        <v>18</v>
      </c>
      <c r="C168" s="250" t="s">
        <v>487</v>
      </c>
      <c r="D168" s="247" t="s">
        <v>486</v>
      </c>
      <c r="E168" s="250" t="s">
        <v>35</v>
      </c>
      <c r="F168" s="250" t="s">
        <v>23</v>
      </c>
      <c r="G168" s="250">
        <v>19.0</v>
      </c>
      <c r="H168" s="250" t="s">
        <v>92</v>
      </c>
      <c r="I168" s="251"/>
      <c r="J168" s="251"/>
      <c r="K168" s="250">
        <v>39.0</v>
      </c>
      <c r="L168" s="250">
        <v>0.0</v>
      </c>
      <c r="M168" s="252">
        <v>39.0</v>
      </c>
      <c r="N168" s="201">
        <v>0.0</v>
      </c>
      <c r="O168" s="168" t="s">
        <v>258</v>
      </c>
      <c r="P168" s="253" t="s">
        <v>70</v>
      </c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</row>
    <row r="169" ht="35.25" customHeight="1">
      <c r="A169" s="201"/>
      <c r="B169" s="244" t="s">
        <v>18</v>
      </c>
      <c r="C169" s="244" t="s">
        <v>488</v>
      </c>
      <c r="D169" s="247" t="s">
        <v>489</v>
      </c>
      <c r="E169" s="244" t="s">
        <v>35</v>
      </c>
      <c r="F169" s="244" t="s">
        <v>23</v>
      </c>
      <c r="G169" s="244">
        <v>12.0</v>
      </c>
      <c r="H169" s="244" t="s">
        <v>92</v>
      </c>
      <c r="I169" s="245"/>
      <c r="J169" s="245"/>
      <c r="K169" s="244">
        <v>15.0</v>
      </c>
      <c r="L169" s="244"/>
      <c r="M169" s="248">
        <v>15.0</v>
      </c>
      <c r="N169" s="201">
        <v>0.0</v>
      </c>
      <c r="O169" s="186" t="s">
        <v>240</v>
      </c>
      <c r="P169" s="249" t="s">
        <v>70</v>
      </c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</row>
    <row r="170" ht="35.25" customHeight="1">
      <c r="A170" s="148"/>
      <c r="B170" s="250" t="s">
        <v>18</v>
      </c>
      <c r="C170" s="250" t="s">
        <v>488</v>
      </c>
      <c r="D170" s="247" t="s">
        <v>12</v>
      </c>
      <c r="E170" s="250"/>
      <c r="F170" s="250"/>
      <c r="G170" s="250"/>
      <c r="H170" s="250"/>
      <c r="I170" s="251"/>
      <c r="J170" s="251"/>
      <c r="K170" s="250"/>
      <c r="L170" s="250"/>
      <c r="M170" s="252">
        <v>9.0</v>
      </c>
      <c r="N170" s="201">
        <f>K170-L170-M170</f>
        <v>-9</v>
      </c>
      <c r="O170" s="168" t="s">
        <v>258</v>
      </c>
      <c r="P170" s="253" t="s">
        <v>70</v>
      </c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</row>
    <row r="171" ht="35.25" customHeight="1">
      <c r="A171" s="148">
        <v>24.0</v>
      </c>
      <c r="B171" s="250" t="s">
        <v>18</v>
      </c>
      <c r="C171" s="250" t="s">
        <v>490</v>
      </c>
      <c r="D171" s="247" t="s">
        <v>491</v>
      </c>
      <c r="E171" s="250" t="s">
        <v>35</v>
      </c>
      <c r="F171" s="250" t="s">
        <v>20</v>
      </c>
      <c r="G171" s="244">
        <v>8.0</v>
      </c>
      <c r="H171" s="206" t="s">
        <v>92</v>
      </c>
      <c r="I171" s="245"/>
      <c r="J171" s="245"/>
      <c r="K171" s="250">
        <v>8.0</v>
      </c>
      <c r="L171" s="244">
        <v>0.0</v>
      </c>
      <c r="M171" s="244">
        <v>0.0</v>
      </c>
      <c r="N171" s="244">
        <v>8.0</v>
      </c>
      <c r="O171" s="186" t="s">
        <v>271</v>
      </c>
      <c r="P171" s="249" t="s">
        <v>70</v>
      </c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</row>
    <row r="172" ht="35.25" customHeight="1">
      <c r="A172" s="148">
        <v>24.0</v>
      </c>
      <c r="B172" s="250" t="s">
        <v>18</v>
      </c>
      <c r="C172" s="250" t="s">
        <v>492</v>
      </c>
      <c r="D172" s="247" t="s">
        <v>493</v>
      </c>
      <c r="E172" s="250" t="s">
        <v>35</v>
      </c>
      <c r="F172" s="250" t="s">
        <v>20</v>
      </c>
      <c r="G172" s="244">
        <v>8.0</v>
      </c>
      <c r="H172" s="206" t="s">
        <v>92</v>
      </c>
      <c r="I172" s="245"/>
      <c r="J172" s="245"/>
      <c r="K172" s="250">
        <v>8.0</v>
      </c>
      <c r="L172" s="244">
        <v>0.0</v>
      </c>
      <c r="M172" s="244">
        <v>0.0</v>
      </c>
      <c r="N172" s="244">
        <v>8.0</v>
      </c>
      <c r="O172" s="186" t="s">
        <v>271</v>
      </c>
      <c r="P172" s="249" t="s">
        <v>70</v>
      </c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</row>
    <row r="173" ht="35.25" customHeight="1">
      <c r="A173" s="148">
        <v>24.0</v>
      </c>
      <c r="B173" s="250" t="s">
        <v>18</v>
      </c>
      <c r="C173" s="250" t="s">
        <v>492</v>
      </c>
      <c r="D173" s="247" t="s">
        <v>494</v>
      </c>
      <c r="E173" s="250" t="s">
        <v>35</v>
      </c>
      <c r="F173" s="250" t="s">
        <v>20</v>
      </c>
      <c r="G173" s="250">
        <v>30.0</v>
      </c>
      <c r="H173" s="244" t="s">
        <v>92</v>
      </c>
      <c r="I173" s="251"/>
      <c r="J173" s="251"/>
      <c r="K173" s="250">
        <v>8.0</v>
      </c>
      <c r="L173" s="244">
        <v>0.0</v>
      </c>
      <c r="M173" s="244">
        <v>8.0</v>
      </c>
      <c r="N173" s="244">
        <v>0.0</v>
      </c>
      <c r="O173" s="186" t="s">
        <v>375</v>
      </c>
      <c r="P173" s="249" t="s">
        <v>70</v>
      </c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</row>
    <row r="174" ht="35.25" customHeight="1">
      <c r="A174" s="148">
        <v>24.0</v>
      </c>
      <c r="B174" s="250" t="s">
        <v>18</v>
      </c>
      <c r="C174" s="250" t="s">
        <v>495</v>
      </c>
      <c r="D174" s="247" t="s">
        <v>496</v>
      </c>
      <c r="E174" s="250" t="s">
        <v>35</v>
      </c>
      <c r="F174" s="250" t="s">
        <v>20</v>
      </c>
      <c r="G174" s="244">
        <v>12.0</v>
      </c>
      <c r="H174" s="206" t="s">
        <v>92</v>
      </c>
      <c r="I174" s="245"/>
      <c r="J174" s="245"/>
      <c r="K174" s="250">
        <v>16.0</v>
      </c>
      <c r="L174" s="244">
        <v>0.0</v>
      </c>
      <c r="M174" s="244">
        <v>0.0</v>
      </c>
      <c r="N174" s="244">
        <v>16.0</v>
      </c>
      <c r="O174" s="186" t="s">
        <v>271</v>
      </c>
      <c r="P174" s="249" t="s">
        <v>70</v>
      </c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</row>
    <row r="175" ht="35.25" customHeight="1">
      <c r="A175" s="148">
        <v>24.0</v>
      </c>
      <c r="B175" s="250" t="s">
        <v>18</v>
      </c>
      <c r="C175" s="250" t="s">
        <v>495</v>
      </c>
      <c r="D175" s="247" t="s">
        <v>497</v>
      </c>
      <c r="E175" s="250" t="s">
        <v>34</v>
      </c>
      <c r="F175" s="250" t="s">
        <v>19</v>
      </c>
      <c r="G175" s="250">
        <v>30.0</v>
      </c>
      <c r="H175" s="244" t="s">
        <v>76</v>
      </c>
      <c r="I175" s="251">
        <v>45978.0</v>
      </c>
      <c r="J175" s="251">
        <v>45662.0</v>
      </c>
      <c r="K175" s="250">
        <v>65.0</v>
      </c>
      <c r="L175" s="244">
        <v>0.0</v>
      </c>
      <c r="M175" s="244">
        <v>12.0</v>
      </c>
      <c r="N175" s="244">
        <v>53.0</v>
      </c>
      <c r="O175" s="186" t="s">
        <v>498</v>
      </c>
      <c r="P175" s="249" t="s">
        <v>70</v>
      </c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</row>
    <row r="176" ht="35.25" customHeight="1">
      <c r="A176" s="148">
        <v>24.0</v>
      </c>
      <c r="B176" s="250" t="s">
        <v>18</v>
      </c>
      <c r="C176" s="250" t="s">
        <v>495</v>
      </c>
      <c r="D176" s="247" t="s">
        <v>499</v>
      </c>
      <c r="E176" s="250" t="s">
        <v>34</v>
      </c>
      <c r="F176" s="250" t="s">
        <v>23</v>
      </c>
      <c r="G176" s="250">
        <v>40.0</v>
      </c>
      <c r="H176" s="244" t="s">
        <v>76</v>
      </c>
      <c r="I176" s="251">
        <v>45663.0</v>
      </c>
      <c r="J176" s="251">
        <v>45677.0</v>
      </c>
      <c r="K176" s="250">
        <v>40.0</v>
      </c>
      <c r="L176" s="244">
        <v>0.0</v>
      </c>
      <c r="M176" s="244">
        <v>0.0</v>
      </c>
      <c r="N176" s="244">
        <v>40.0</v>
      </c>
      <c r="O176" s="186" t="s">
        <v>498</v>
      </c>
      <c r="P176" s="249" t="s">
        <v>70</v>
      </c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</row>
    <row r="177" ht="35.25" customHeight="1">
      <c r="A177" s="148">
        <v>24.0</v>
      </c>
      <c r="B177" s="250" t="s">
        <v>18</v>
      </c>
      <c r="C177" s="250" t="s">
        <v>500</v>
      </c>
      <c r="D177" s="247" t="s">
        <v>501</v>
      </c>
      <c r="E177" s="250" t="s">
        <v>35</v>
      </c>
      <c r="F177" s="250" t="s">
        <v>20</v>
      </c>
      <c r="G177" s="244">
        <v>15.0</v>
      </c>
      <c r="H177" s="206" t="s">
        <v>92</v>
      </c>
      <c r="I177" s="245"/>
      <c r="J177" s="245"/>
      <c r="K177" s="250">
        <v>25.0</v>
      </c>
      <c r="L177" s="244">
        <v>0.0</v>
      </c>
      <c r="M177" s="244">
        <v>0.0</v>
      </c>
      <c r="N177" s="244">
        <v>25.0</v>
      </c>
      <c r="O177" s="186" t="s">
        <v>271</v>
      </c>
      <c r="P177" s="249" t="s">
        <v>70</v>
      </c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</row>
    <row r="178" ht="35.25" customHeight="1">
      <c r="A178" s="148">
        <v>24.0</v>
      </c>
      <c r="B178" s="250" t="s">
        <v>18</v>
      </c>
      <c r="C178" s="250" t="s">
        <v>502</v>
      </c>
      <c r="D178" s="247" t="s">
        <v>503</v>
      </c>
      <c r="E178" s="250" t="s">
        <v>35</v>
      </c>
      <c r="F178" s="250" t="s">
        <v>20</v>
      </c>
      <c r="G178" s="244">
        <v>15.0</v>
      </c>
      <c r="H178" s="206" t="s">
        <v>92</v>
      </c>
      <c r="I178" s="245"/>
      <c r="J178" s="245"/>
      <c r="K178" s="250">
        <v>25.0</v>
      </c>
      <c r="L178" s="244">
        <v>0.0</v>
      </c>
      <c r="M178" s="244">
        <v>0.0</v>
      </c>
      <c r="N178" s="244">
        <v>25.0</v>
      </c>
      <c r="O178" s="186" t="s">
        <v>271</v>
      </c>
      <c r="P178" s="249" t="s">
        <v>70</v>
      </c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</row>
    <row r="179" ht="35.25" customHeight="1">
      <c r="A179" s="148">
        <v>24.0</v>
      </c>
      <c r="B179" s="250" t="s">
        <v>18</v>
      </c>
      <c r="C179" s="250" t="s">
        <v>504</v>
      </c>
      <c r="D179" s="247" t="s">
        <v>505</v>
      </c>
      <c r="E179" s="250" t="s">
        <v>34</v>
      </c>
      <c r="F179" s="250" t="s">
        <v>23</v>
      </c>
      <c r="G179" s="250">
        <v>30.0</v>
      </c>
      <c r="H179" s="244" t="s">
        <v>76</v>
      </c>
      <c r="I179" s="251">
        <v>45978.0</v>
      </c>
      <c r="J179" s="251">
        <v>45662.0</v>
      </c>
      <c r="K179" s="250">
        <v>65.0</v>
      </c>
      <c r="L179" s="244">
        <v>0.0</v>
      </c>
      <c r="M179" s="244">
        <v>0.0</v>
      </c>
      <c r="N179" s="244">
        <v>65.0</v>
      </c>
      <c r="O179" s="186" t="s">
        <v>498</v>
      </c>
      <c r="P179" s="249" t="s">
        <v>70</v>
      </c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</row>
    <row r="180" ht="32.25" customHeight="1">
      <c r="A180" s="201">
        <v>1.0</v>
      </c>
      <c r="B180" s="187" t="s">
        <v>18</v>
      </c>
      <c r="C180" s="186" t="s">
        <v>421</v>
      </c>
      <c r="D180" s="186" t="s">
        <v>459</v>
      </c>
      <c r="E180" s="186" t="s">
        <v>34</v>
      </c>
      <c r="F180" s="186" t="s">
        <v>23</v>
      </c>
      <c r="G180" s="186">
        <v>25.0</v>
      </c>
      <c r="H180" s="244" t="s">
        <v>76</v>
      </c>
      <c r="I180" s="188">
        <v>45784.0</v>
      </c>
      <c r="J180" s="188">
        <v>45813.0</v>
      </c>
      <c r="K180" s="186">
        <v>50.0</v>
      </c>
      <c r="L180" s="186">
        <v>0.0</v>
      </c>
      <c r="M180" s="186">
        <v>50.0</v>
      </c>
      <c r="N180" s="189">
        <f t="shared" ref="N180:N184" si="11">K180-M180-L180</f>
        <v>0</v>
      </c>
      <c r="O180" s="186" t="s">
        <v>323</v>
      </c>
      <c r="P180" s="201" t="s">
        <v>70</v>
      </c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</row>
    <row r="181" ht="32.25" customHeight="1">
      <c r="A181" s="201">
        <v>7.0</v>
      </c>
      <c r="B181" s="244" t="s">
        <v>18</v>
      </c>
      <c r="C181" s="244" t="s">
        <v>414</v>
      </c>
      <c r="D181" s="244" t="s">
        <v>506</v>
      </c>
      <c r="E181" s="244" t="s">
        <v>34</v>
      </c>
      <c r="F181" s="244" t="s">
        <v>23</v>
      </c>
      <c r="G181" s="244">
        <v>25.0</v>
      </c>
      <c r="H181" s="244" t="s">
        <v>76</v>
      </c>
      <c r="I181" s="245">
        <v>45779.0</v>
      </c>
      <c r="J181" s="245">
        <v>45808.0</v>
      </c>
      <c r="K181" s="244">
        <v>50.0</v>
      </c>
      <c r="L181" s="246">
        <v>0.0</v>
      </c>
      <c r="M181" s="244">
        <v>50.0</v>
      </c>
      <c r="N181" s="246">
        <f t="shared" si="11"/>
        <v>0</v>
      </c>
      <c r="O181" s="244" t="s">
        <v>507</v>
      </c>
      <c r="P181" s="201" t="s">
        <v>70</v>
      </c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</row>
    <row r="182" ht="32.25" customHeight="1">
      <c r="A182" s="201">
        <v>8.0</v>
      </c>
      <c r="B182" s="244" t="s">
        <v>18</v>
      </c>
      <c r="C182" s="244" t="s">
        <v>416</v>
      </c>
      <c r="D182" s="244" t="s">
        <v>506</v>
      </c>
      <c r="E182" s="244" t="s">
        <v>34</v>
      </c>
      <c r="F182" s="244" t="s">
        <v>23</v>
      </c>
      <c r="G182" s="244">
        <v>25.0</v>
      </c>
      <c r="H182" s="244" t="s">
        <v>76</v>
      </c>
      <c r="I182" s="245">
        <v>45779.0</v>
      </c>
      <c r="J182" s="245">
        <v>45808.0</v>
      </c>
      <c r="K182" s="244">
        <v>50.0</v>
      </c>
      <c r="L182" s="246">
        <v>0.0</v>
      </c>
      <c r="M182" s="244">
        <v>50.0</v>
      </c>
      <c r="N182" s="246">
        <f t="shared" si="11"/>
        <v>0</v>
      </c>
      <c r="O182" s="244" t="s">
        <v>507</v>
      </c>
      <c r="P182" s="201" t="s">
        <v>70</v>
      </c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</row>
    <row r="183" ht="33.0" customHeight="1">
      <c r="A183" s="201">
        <v>9.0</v>
      </c>
      <c r="B183" s="244" t="s">
        <v>18</v>
      </c>
      <c r="C183" s="244" t="s">
        <v>456</v>
      </c>
      <c r="D183" s="244" t="s">
        <v>506</v>
      </c>
      <c r="E183" s="244" t="s">
        <v>34</v>
      </c>
      <c r="F183" s="244" t="s">
        <v>23</v>
      </c>
      <c r="G183" s="244">
        <v>25.0</v>
      </c>
      <c r="H183" s="244" t="s">
        <v>76</v>
      </c>
      <c r="I183" s="245">
        <v>45779.0</v>
      </c>
      <c r="J183" s="245">
        <v>45808.0</v>
      </c>
      <c r="K183" s="244">
        <v>50.0</v>
      </c>
      <c r="L183" s="246">
        <v>0.0</v>
      </c>
      <c r="M183" s="244">
        <v>50.0</v>
      </c>
      <c r="N183" s="246">
        <f t="shared" si="11"/>
        <v>0</v>
      </c>
      <c r="O183" s="244" t="s">
        <v>507</v>
      </c>
      <c r="P183" s="201" t="s">
        <v>70</v>
      </c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</row>
    <row r="184" ht="28.5" customHeight="1">
      <c r="A184" s="201">
        <v>14.0</v>
      </c>
      <c r="B184" s="244" t="s">
        <v>18</v>
      </c>
      <c r="C184" s="244" t="s">
        <v>508</v>
      </c>
      <c r="D184" s="244" t="s">
        <v>509</v>
      </c>
      <c r="E184" s="244" t="s">
        <v>35</v>
      </c>
      <c r="F184" s="244" t="s">
        <v>20</v>
      </c>
      <c r="G184" s="244">
        <v>8.0</v>
      </c>
      <c r="H184" s="244" t="s">
        <v>92</v>
      </c>
      <c r="I184" s="245"/>
      <c r="J184" s="245"/>
      <c r="K184" s="244">
        <v>8.0</v>
      </c>
      <c r="L184" s="244">
        <v>0.0</v>
      </c>
      <c r="M184" s="186">
        <v>8.0</v>
      </c>
      <c r="N184" s="189">
        <f t="shared" si="11"/>
        <v>0</v>
      </c>
      <c r="O184" s="186" t="s">
        <v>307</v>
      </c>
      <c r="P184" s="201" t="s">
        <v>70</v>
      </c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</row>
    <row r="185" ht="35.25" customHeight="1">
      <c r="A185" s="148">
        <v>16.0</v>
      </c>
      <c r="B185" s="250" t="s">
        <v>18</v>
      </c>
      <c r="C185" s="250" t="s">
        <v>495</v>
      </c>
      <c r="D185" s="247" t="s">
        <v>510</v>
      </c>
      <c r="E185" s="250" t="s">
        <v>35</v>
      </c>
      <c r="F185" s="250" t="s">
        <v>20</v>
      </c>
      <c r="G185" s="250">
        <v>11.0</v>
      </c>
      <c r="H185" s="244" t="s">
        <v>92</v>
      </c>
      <c r="I185" s="251"/>
      <c r="J185" s="251"/>
      <c r="K185" s="250">
        <v>14.0</v>
      </c>
      <c r="L185" s="244">
        <v>0.0</v>
      </c>
      <c r="M185" s="248">
        <v>14.0</v>
      </c>
      <c r="N185" s="248">
        <v>0.0</v>
      </c>
      <c r="O185" s="186" t="s">
        <v>336</v>
      </c>
      <c r="P185" s="210" t="s">
        <v>70</v>
      </c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</row>
    <row r="186" ht="35.25" customHeight="1">
      <c r="A186" s="148">
        <v>16.0</v>
      </c>
      <c r="B186" s="250" t="s">
        <v>18</v>
      </c>
      <c r="C186" s="250" t="s">
        <v>495</v>
      </c>
      <c r="D186" s="247" t="s">
        <v>511</v>
      </c>
      <c r="E186" s="250" t="s">
        <v>35</v>
      </c>
      <c r="F186" s="250" t="s">
        <v>19</v>
      </c>
      <c r="G186" s="250">
        <v>10.0</v>
      </c>
      <c r="H186" s="244" t="s">
        <v>92</v>
      </c>
      <c r="I186" s="251"/>
      <c r="J186" s="251"/>
      <c r="K186" s="250">
        <v>10.0</v>
      </c>
      <c r="L186" s="244">
        <v>0.0</v>
      </c>
      <c r="M186" s="248">
        <v>10.0</v>
      </c>
      <c r="N186" s="248">
        <v>0.0</v>
      </c>
      <c r="O186" s="186" t="s">
        <v>336</v>
      </c>
      <c r="P186" s="210" t="s">
        <v>70</v>
      </c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</row>
    <row r="187" ht="35.25" customHeight="1">
      <c r="A187" s="148">
        <v>16.0</v>
      </c>
      <c r="B187" s="250" t="s">
        <v>18</v>
      </c>
      <c r="C187" s="250" t="s">
        <v>495</v>
      </c>
      <c r="D187" s="247" t="s">
        <v>512</v>
      </c>
      <c r="E187" s="250" t="s">
        <v>35</v>
      </c>
      <c r="F187" s="250" t="s">
        <v>19</v>
      </c>
      <c r="G187" s="250">
        <v>8.0</v>
      </c>
      <c r="H187" s="244" t="s">
        <v>92</v>
      </c>
      <c r="I187" s="251"/>
      <c r="J187" s="251"/>
      <c r="K187" s="250">
        <v>8.0</v>
      </c>
      <c r="L187" s="244">
        <v>0.0</v>
      </c>
      <c r="M187" s="248">
        <v>8.0</v>
      </c>
      <c r="N187" s="248">
        <v>0.0</v>
      </c>
      <c r="O187" s="186" t="s">
        <v>375</v>
      </c>
      <c r="P187" s="210" t="s">
        <v>70</v>
      </c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88" ht="35.25" customHeight="1">
      <c r="A188" s="148">
        <v>16.0</v>
      </c>
      <c r="B188" s="250" t="s">
        <v>18</v>
      </c>
      <c r="C188" s="250" t="s">
        <v>495</v>
      </c>
      <c r="D188" s="247" t="s">
        <v>494</v>
      </c>
      <c r="E188" s="250" t="s">
        <v>35</v>
      </c>
      <c r="F188" s="250" t="s">
        <v>20</v>
      </c>
      <c r="G188" s="250">
        <v>8.0</v>
      </c>
      <c r="H188" s="244" t="s">
        <v>92</v>
      </c>
      <c r="I188" s="251"/>
      <c r="J188" s="251"/>
      <c r="K188" s="250">
        <v>8.0</v>
      </c>
      <c r="L188" s="244">
        <v>0.0</v>
      </c>
      <c r="M188" s="248">
        <v>8.0</v>
      </c>
      <c r="N188" s="248">
        <v>0.0</v>
      </c>
      <c r="O188" s="186" t="s">
        <v>375</v>
      </c>
      <c r="P188" s="210" t="s">
        <v>70</v>
      </c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</row>
    <row r="189" ht="35.25" customHeight="1">
      <c r="A189" s="148">
        <v>17.0</v>
      </c>
      <c r="B189" s="250" t="s">
        <v>18</v>
      </c>
      <c r="C189" s="250" t="s">
        <v>502</v>
      </c>
      <c r="D189" s="247" t="s">
        <v>510</v>
      </c>
      <c r="E189" s="250" t="s">
        <v>35</v>
      </c>
      <c r="F189" s="250" t="s">
        <v>20</v>
      </c>
      <c r="G189" s="250">
        <v>11.0</v>
      </c>
      <c r="H189" s="244" t="s">
        <v>92</v>
      </c>
      <c r="I189" s="251"/>
      <c r="J189" s="251"/>
      <c r="K189" s="250">
        <v>14.0</v>
      </c>
      <c r="L189" s="244">
        <v>0.0</v>
      </c>
      <c r="M189" s="248">
        <v>14.0</v>
      </c>
      <c r="N189" s="248">
        <v>0.0</v>
      </c>
      <c r="O189" s="186" t="s">
        <v>336</v>
      </c>
      <c r="P189" s="210" t="s">
        <v>70</v>
      </c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</row>
    <row r="190" ht="35.25" customHeight="1">
      <c r="A190" s="148">
        <v>18.0</v>
      </c>
      <c r="B190" s="250" t="s">
        <v>18</v>
      </c>
      <c r="C190" s="250" t="s">
        <v>477</v>
      </c>
      <c r="D190" s="247" t="s">
        <v>510</v>
      </c>
      <c r="E190" s="250" t="s">
        <v>35</v>
      </c>
      <c r="F190" s="250" t="s">
        <v>20</v>
      </c>
      <c r="G190" s="250">
        <v>11.0</v>
      </c>
      <c r="H190" s="244" t="s">
        <v>92</v>
      </c>
      <c r="I190" s="251"/>
      <c r="J190" s="251"/>
      <c r="K190" s="250">
        <v>14.0</v>
      </c>
      <c r="L190" s="244">
        <v>0.0</v>
      </c>
      <c r="M190" s="248">
        <v>14.0</v>
      </c>
      <c r="N190" s="248">
        <v>0.0</v>
      </c>
      <c r="O190" s="186" t="s">
        <v>336</v>
      </c>
      <c r="P190" s="210" t="s">
        <v>70</v>
      </c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</row>
    <row r="191" ht="35.25" customHeight="1">
      <c r="A191" s="148">
        <v>19.0</v>
      </c>
      <c r="B191" s="250" t="s">
        <v>18</v>
      </c>
      <c r="C191" s="250" t="s">
        <v>513</v>
      </c>
      <c r="D191" s="247" t="s">
        <v>514</v>
      </c>
      <c r="E191" s="250" t="s">
        <v>35</v>
      </c>
      <c r="F191" s="250" t="s">
        <v>20</v>
      </c>
      <c r="G191" s="250">
        <v>8.0</v>
      </c>
      <c r="H191" s="244" t="s">
        <v>92</v>
      </c>
      <c r="I191" s="251"/>
      <c r="J191" s="251"/>
      <c r="K191" s="250">
        <v>8.0</v>
      </c>
      <c r="L191" s="244">
        <v>0.0</v>
      </c>
      <c r="M191" s="248">
        <v>8.0</v>
      </c>
      <c r="N191" s="244">
        <v>0.0</v>
      </c>
      <c r="O191" s="186" t="s">
        <v>336</v>
      </c>
      <c r="P191" s="210" t="s">
        <v>70</v>
      </c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</row>
    <row r="192" ht="35.25" customHeight="1">
      <c r="A192" s="148">
        <v>20.0</v>
      </c>
      <c r="B192" s="250" t="s">
        <v>18</v>
      </c>
      <c r="C192" s="250" t="s">
        <v>255</v>
      </c>
      <c r="D192" s="247" t="s">
        <v>514</v>
      </c>
      <c r="E192" s="250" t="s">
        <v>35</v>
      </c>
      <c r="F192" s="250" t="s">
        <v>20</v>
      </c>
      <c r="G192" s="250">
        <v>8.0</v>
      </c>
      <c r="H192" s="244" t="s">
        <v>92</v>
      </c>
      <c r="I192" s="251"/>
      <c r="J192" s="251"/>
      <c r="K192" s="250">
        <v>8.0</v>
      </c>
      <c r="L192" s="244">
        <v>0.0</v>
      </c>
      <c r="M192" s="248">
        <v>8.0</v>
      </c>
      <c r="N192" s="248">
        <v>0.0</v>
      </c>
      <c r="O192" s="186" t="s">
        <v>336</v>
      </c>
      <c r="P192" s="210" t="s">
        <v>70</v>
      </c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</row>
    <row r="193" ht="35.25" customHeight="1">
      <c r="A193" s="148">
        <v>21.0</v>
      </c>
      <c r="B193" s="250" t="s">
        <v>18</v>
      </c>
      <c r="C193" s="250" t="s">
        <v>488</v>
      </c>
      <c r="D193" s="247" t="s">
        <v>515</v>
      </c>
      <c r="E193" s="250" t="s">
        <v>35</v>
      </c>
      <c r="F193" s="250" t="s">
        <v>23</v>
      </c>
      <c r="G193" s="250">
        <v>8.0</v>
      </c>
      <c r="H193" s="244" t="s">
        <v>92</v>
      </c>
      <c r="I193" s="251"/>
      <c r="J193" s="251"/>
      <c r="K193" s="250">
        <v>8.0</v>
      </c>
      <c r="L193" s="244">
        <v>0.0</v>
      </c>
      <c r="M193" s="248">
        <v>8.0</v>
      </c>
      <c r="N193" s="248">
        <v>0.0</v>
      </c>
      <c r="O193" s="186" t="s">
        <v>375</v>
      </c>
      <c r="P193" s="210" t="s">
        <v>70</v>
      </c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</row>
    <row r="194" ht="35.25" customHeight="1">
      <c r="A194" s="148">
        <v>22.0</v>
      </c>
      <c r="B194" s="250" t="s">
        <v>18</v>
      </c>
      <c r="C194" s="250" t="s">
        <v>516</v>
      </c>
      <c r="D194" s="247" t="s">
        <v>517</v>
      </c>
      <c r="E194" s="250" t="s">
        <v>35</v>
      </c>
      <c r="F194" s="250" t="s">
        <v>20</v>
      </c>
      <c r="G194" s="250">
        <v>8.0</v>
      </c>
      <c r="H194" s="244" t="s">
        <v>92</v>
      </c>
      <c r="I194" s="251"/>
      <c r="J194" s="251"/>
      <c r="K194" s="250">
        <v>8.0</v>
      </c>
      <c r="L194" s="244">
        <v>0.0</v>
      </c>
      <c r="M194" s="248">
        <v>8.0</v>
      </c>
      <c r="N194" s="248">
        <v>0.0</v>
      </c>
      <c r="O194" s="186" t="s">
        <v>375</v>
      </c>
      <c r="P194" s="210" t="s">
        <v>70</v>
      </c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</row>
    <row r="195" ht="35.25" customHeight="1">
      <c r="A195" s="148">
        <v>23.0</v>
      </c>
      <c r="B195" s="250" t="s">
        <v>18</v>
      </c>
      <c r="C195" s="250" t="s">
        <v>482</v>
      </c>
      <c r="D195" s="247" t="s">
        <v>494</v>
      </c>
      <c r="E195" s="250" t="s">
        <v>35</v>
      </c>
      <c r="F195" s="250" t="s">
        <v>20</v>
      </c>
      <c r="G195" s="250">
        <v>8.0</v>
      </c>
      <c r="H195" s="244" t="s">
        <v>92</v>
      </c>
      <c r="I195" s="251"/>
      <c r="J195" s="251"/>
      <c r="K195" s="250">
        <v>8.0</v>
      </c>
      <c r="L195" s="244">
        <v>0.0</v>
      </c>
      <c r="M195" s="248">
        <v>8.0</v>
      </c>
      <c r="N195" s="248">
        <v>0.0</v>
      </c>
      <c r="O195" s="186" t="s">
        <v>375</v>
      </c>
      <c r="P195" s="210" t="s">
        <v>70</v>
      </c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</row>
    <row r="196" ht="35.25" customHeight="1">
      <c r="A196" s="148">
        <v>25.0</v>
      </c>
      <c r="B196" s="250" t="s">
        <v>18</v>
      </c>
      <c r="C196" s="250" t="s">
        <v>479</v>
      </c>
      <c r="D196" s="247" t="s">
        <v>494</v>
      </c>
      <c r="E196" s="250" t="s">
        <v>35</v>
      </c>
      <c r="F196" s="250" t="s">
        <v>20</v>
      </c>
      <c r="G196" s="250">
        <v>8.0</v>
      </c>
      <c r="H196" s="244" t="s">
        <v>92</v>
      </c>
      <c r="I196" s="251"/>
      <c r="J196" s="251"/>
      <c r="K196" s="250">
        <v>8.0</v>
      </c>
      <c r="L196" s="244">
        <v>0.0</v>
      </c>
      <c r="M196" s="248">
        <v>8.0</v>
      </c>
      <c r="N196" s="248">
        <v>0.0</v>
      </c>
      <c r="O196" s="186" t="s">
        <v>375</v>
      </c>
      <c r="P196" s="210" t="s">
        <v>70</v>
      </c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</row>
    <row r="197" ht="35.25" customHeight="1">
      <c r="A197" s="148">
        <v>26.0</v>
      </c>
      <c r="B197" s="250" t="s">
        <v>18</v>
      </c>
      <c r="C197" s="250" t="s">
        <v>246</v>
      </c>
      <c r="D197" s="247" t="s">
        <v>494</v>
      </c>
      <c r="E197" s="250" t="s">
        <v>35</v>
      </c>
      <c r="F197" s="250" t="s">
        <v>20</v>
      </c>
      <c r="G197" s="250">
        <v>8.0</v>
      </c>
      <c r="H197" s="244" t="s">
        <v>92</v>
      </c>
      <c r="I197" s="251"/>
      <c r="J197" s="251"/>
      <c r="K197" s="250">
        <v>8.0</v>
      </c>
      <c r="L197" s="244">
        <v>0.0</v>
      </c>
      <c r="M197" s="248">
        <v>8.0</v>
      </c>
      <c r="N197" s="248">
        <v>0.0</v>
      </c>
      <c r="O197" s="186" t="s">
        <v>375</v>
      </c>
      <c r="P197" s="210" t="s">
        <v>70</v>
      </c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</row>
    <row r="198" ht="35.25" customHeight="1">
      <c r="A198" s="148">
        <v>27.0</v>
      </c>
      <c r="B198" s="250" t="s">
        <v>18</v>
      </c>
      <c r="C198" s="250" t="s">
        <v>502</v>
      </c>
      <c r="D198" s="247" t="s">
        <v>518</v>
      </c>
      <c r="E198" s="250" t="s">
        <v>35</v>
      </c>
      <c r="F198" s="250" t="s">
        <v>20</v>
      </c>
      <c r="G198" s="250">
        <v>13.0</v>
      </c>
      <c r="H198" s="244" t="s">
        <v>92</v>
      </c>
      <c r="I198" s="251"/>
      <c r="J198" s="251"/>
      <c r="K198" s="250">
        <v>19.0</v>
      </c>
      <c r="L198" s="244">
        <v>0.0</v>
      </c>
      <c r="M198" s="248">
        <v>19.0</v>
      </c>
      <c r="N198" s="248">
        <v>0.0</v>
      </c>
      <c r="O198" s="186" t="s">
        <v>375</v>
      </c>
      <c r="P198" s="210" t="s">
        <v>70</v>
      </c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</row>
    <row r="199" ht="35.25" customHeight="1">
      <c r="A199" s="148">
        <v>6.0</v>
      </c>
      <c r="B199" s="250" t="s">
        <v>18</v>
      </c>
      <c r="C199" s="250" t="s">
        <v>259</v>
      </c>
      <c r="D199" s="247" t="s">
        <v>519</v>
      </c>
      <c r="E199" s="250" t="s">
        <v>35</v>
      </c>
      <c r="F199" s="250" t="s">
        <v>19</v>
      </c>
      <c r="G199" s="244">
        <v>10.0</v>
      </c>
      <c r="H199" s="206" t="s">
        <v>92</v>
      </c>
      <c r="I199" s="245"/>
      <c r="J199" s="245"/>
      <c r="K199" s="250">
        <v>10.0</v>
      </c>
      <c r="L199" s="244">
        <v>0.0</v>
      </c>
      <c r="M199" s="244">
        <v>0.0</v>
      </c>
      <c r="N199" s="201">
        <f t="shared" ref="N199:N210" si="12">K199-L199-M199</f>
        <v>10</v>
      </c>
      <c r="O199" s="186" t="s">
        <v>520</v>
      </c>
      <c r="P199" s="249" t="s">
        <v>70</v>
      </c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</row>
    <row r="200" ht="35.25" customHeight="1">
      <c r="A200" s="148">
        <v>7.0</v>
      </c>
      <c r="B200" s="250" t="s">
        <v>18</v>
      </c>
      <c r="C200" s="250" t="s">
        <v>255</v>
      </c>
      <c r="D200" s="247" t="s">
        <v>270</v>
      </c>
      <c r="E200" s="250" t="s">
        <v>35</v>
      </c>
      <c r="F200" s="250" t="s">
        <v>20</v>
      </c>
      <c r="G200" s="244">
        <v>8.0</v>
      </c>
      <c r="H200" s="206" t="s">
        <v>92</v>
      </c>
      <c r="I200" s="245"/>
      <c r="J200" s="245"/>
      <c r="K200" s="250">
        <v>8.0</v>
      </c>
      <c r="L200" s="244">
        <v>0.0</v>
      </c>
      <c r="M200" s="244">
        <v>0.0</v>
      </c>
      <c r="N200" s="201">
        <f t="shared" si="12"/>
        <v>8</v>
      </c>
      <c r="O200" s="186" t="s">
        <v>271</v>
      </c>
      <c r="P200" s="249" t="s">
        <v>70</v>
      </c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</row>
    <row r="201" ht="35.25" customHeight="1">
      <c r="A201" s="186">
        <v>1.0</v>
      </c>
      <c r="B201" s="244" t="s">
        <v>18</v>
      </c>
      <c r="C201" s="244" t="s">
        <v>521</v>
      </c>
      <c r="D201" s="244" t="s">
        <v>522</v>
      </c>
      <c r="E201" s="244" t="s">
        <v>35</v>
      </c>
      <c r="F201" s="244" t="s">
        <v>19</v>
      </c>
      <c r="G201" s="244">
        <v>10.0</v>
      </c>
      <c r="H201" s="206" t="s">
        <v>92</v>
      </c>
      <c r="I201" s="245"/>
      <c r="J201" s="245"/>
      <c r="K201" s="244">
        <v>10.0</v>
      </c>
      <c r="L201" s="246">
        <v>0.0</v>
      </c>
      <c r="M201" s="201">
        <v>0.0</v>
      </c>
      <c r="N201" s="201">
        <f t="shared" si="12"/>
        <v>10</v>
      </c>
      <c r="O201" s="186" t="s">
        <v>232</v>
      </c>
      <c r="P201" s="201" t="s">
        <v>70</v>
      </c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</row>
    <row r="202" ht="35.25" customHeight="1">
      <c r="A202" s="186">
        <v>1.0</v>
      </c>
      <c r="B202" s="244" t="s">
        <v>18</v>
      </c>
      <c r="C202" s="244" t="s">
        <v>523</v>
      </c>
      <c r="D202" s="244" t="s">
        <v>524</v>
      </c>
      <c r="E202" s="244" t="s">
        <v>35</v>
      </c>
      <c r="F202" s="244" t="s">
        <v>20</v>
      </c>
      <c r="G202" s="244">
        <v>8.0</v>
      </c>
      <c r="H202" s="206" t="s">
        <v>92</v>
      </c>
      <c r="I202" s="245"/>
      <c r="J202" s="245"/>
      <c r="K202" s="244">
        <v>8.0</v>
      </c>
      <c r="L202" s="246">
        <v>0.0</v>
      </c>
      <c r="M202" s="201">
        <v>0.0</v>
      </c>
      <c r="N202" s="201">
        <f t="shared" si="12"/>
        <v>8</v>
      </c>
      <c r="O202" s="186" t="s">
        <v>232</v>
      </c>
      <c r="P202" s="201" t="s">
        <v>70</v>
      </c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</row>
    <row r="203" ht="32.25" customHeight="1">
      <c r="A203" s="186">
        <v>1.0</v>
      </c>
      <c r="B203" s="244" t="s">
        <v>18</v>
      </c>
      <c r="C203" s="244" t="s">
        <v>525</v>
      </c>
      <c r="D203" s="244" t="s">
        <v>526</v>
      </c>
      <c r="E203" s="244" t="s">
        <v>35</v>
      </c>
      <c r="F203" s="244" t="s">
        <v>20</v>
      </c>
      <c r="G203" s="244">
        <v>8.0</v>
      </c>
      <c r="H203" s="206" t="s">
        <v>92</v>
      </c>
      <c r="I203" s="245"/>
      <c r="J203" s="245"/>
      <c r="K203" s="244">
        <v>8.0</v>
      </c>
      <c r="L203" s="246">
        <v>0.0</v>
      </c>
      <c r="M203" s="201">
        <v>0.0</v>
      </c>
      <c r="N203" s="201">
        <f t="shared" si="12"/>
        <v>8</v>
      </c>
      <c r="O203" s="186" t="s">
        <v>232</v>
      </c>
      <c r="P203" s="201" t="s">
        <v>70</v>
      </c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</row>
    <row r="204" ht="32.25" customHeight="1">
      <c r="A204" s="186">
        <v>1.0</v>
      </c>
      <c r="B204" s="244" t="s">
        <v>18</v>
      </c>
      <c r="C204" s="244" t="s">
        <v>527</v>
      </c>
      <c r="D204" s="244" t="s">
        <v>526</v>
      </c>
      <c r="E204" s="244" t="s">
        <v>35</v>
      </c>
      <c r="F204" s="244" t="s">
        <v>20</v>
      </c>
      <c r="G204" s="244">
        <v>8.0</v>
      </c>
      <c r="H204" s="206" t="s">
        <v>92</v>
      </c>
      <c r="I204" s="245"/>
      <c r="J204" s="245"/>
      <c r="K204" s="244">
        <v>8.0</v>
      </c>
      <c r="L204" s="246">
        <v>0.0</v>
      </c>
      <c r="M204" s="201">
        <v>0.0</v>
      </c>
      <c r="N204" s="201">
        <f t="shared" si="12"/>
        <v>8</v>
      </c>
      <c r="O204" s="186" t="s">
        <v>232</v>
      </c>
      <c r="P204" s="201" t="s">
        <v>70</v>
      </c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</row>
    <row r="205" ht="32.25" customHeight="1">
      <c r="A205" s="186">
        <v>1.0</v>
      </c>
      <c r="B205" s="244" t="s">
        <v>18</v>
      </c>
      <c r="C205" s="244" t="s">
        <v>527</v>
      </c>
      <c r="D205" s="244" t="s">
        <v>522</v>
      </c>
      <c r="E205" s="244" t="s">
        <v>35</v>
      </c>
      <c r="F205" s="244" t="s">
        <v>19</v>
      </c>
      <c r="G205" s="244">
        <v>10.0</v>
      </c>
      <c r="H205" s="206" t="s">
        <v>92</v>
      </c>
      <c r="I205" s="245"/>
      <c r="J205" s="245"/>
      <c r="K205" s="244">
        <v>10.0</v>
      </c>
      <c r="L205" s="246">
        <v>0.0</v>
      </c>
      <c r="M205" s="201">
        <v>0.0</v>
      </c>
      <c r="N205" s="201">
        <f t="shared" si="12"/>
        <v>10</v>
      </c>
      <c r="O205" s="186" t="s">
        <v>232</v>
      </c>
      <c r="P205" s="201" t="s">
        <v>70</v>
      </c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</row>
    <row r="206" ht="32.25" customHeight="1">
      <c r="A206" s="186">
        <v>1.0</v>
      </c>
      <c r="B206" s="244" t="s">
        <v>18</v>
      </c>
      <c r="C206" s="244" t="s">
        <v>527</v>
      </c>
      <c r="D206" s="244" t="s">
        <v>524</v>
      </c>
      <c r="E206" s="244" t="s">
        <v>35</v>
      </c>
      <c r="F206" s="244" t="s">
        <v>20</v>
      </c>
      <c r="G206" s="244">
        <v>8.0</v>
      </c>
      <c r="H206" s="206" t="s">
        <v>92</v>
      </c>
      <c r="I206" s="245"/>
      <c r="J206" s="245"/>
      <c r="K206" s="244">
        <v>8.0</v>
      </c>
      <c r="L206" s="246">
        <v>0.0</v>
      </c>
      <c r="M206" s="201">
        <v>0.0</v>
      </c>
      <c r="N206" s="201">
        <f t="shared" si="12"/>
        <v>8</v>
      </c>
      <c r="O206" s="186" t="s">
        <v>232</v>
      </c>
      <c r="P206" s="201" t="s">
        <v>70</v>
      </c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</row>
    <row r="207" ht="32.25" customHeight="1">
      <c r="A207" s="186">
        <v>1.0</v>
      </c>
      <c r="B207" s="244" t="s">
        <v>18</v>
      </c>
      <c r="C207" s="244" t="s">
        <v>516</v>
      </c>
      <c r="D207" s="244" t="s">
        <v>528</v>
      </c>
      <c r="E207" s="244" t="s">
        <v>35</v>
      </c>
      <c r="F207" s="244" t="s">
        <v>21</v>
      </c>
      <c r="G207" s="244">
        <v>10.0</v>
      </c>
      <c r="H207" s="206" t="s">
        <v>92</v>
      </c>
      <c r="I207" s="245"/>
      <c r="J207" s="245"/>
      <c r="K207" s="244">
        <v>10.0</v>
      </c>
      <c r="L207" s="246">
        <v>0.0</v>
      </c>
      <c r="M207" s="201">
        <v>0.0</v>
      </c>
      <c r="N207" s="201">
        <f t="shared" si="12"/>
        <v>10</v>
      </c>
      <c r="O207" s="186" t="s">
        <v>232</v>
      </c>
      <c r="P207" s="201" t="s">
        <v>70</v>
      </c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</row>
    <row r="208" ht="35.25" customHeight="1">
      <c r="A208" s="186">
        <v>1.0</v>
      </c>
      <c r="B208" s="244" t="s">
        <v>18</v>
      </c>
      <c r="C208" s="244" t="s">
        <v>482</v>
      </c>
      <c r="D208" s="244" t="s">
        <v>529</v>
      </c>
      <c r="E208" s="244" t="s">
        <v>35</v>
      </c>
      <c r="F208" s="244" t="s">
        <v>19</v>
      </c>
      <c r="G208" s="244">
        <v>10.0</v>
      </c>
      <c r="H208" s="206" t="s">
        <v>92</v>
      </c>
      <c r="I208" s="245"/>
      <c r="J208" s="245"/>
      <c r="K208" s="244">
        <v>10.0</v>
      </c>
      <c r="L208" s="246">
        <v>0.0</v>
      </c>
      <c r="M208" s="201">
        <v>0.0</v>
      </c>
      <c r="N208" s="201">
        <f t="shared" si="12"/>
        <v>10</v>
      </c>
      <c r="O208" s="186" t="s">
        <v>232</v>
      </c>
      <c r="P208" s="201" t="s">
        <v>70</v>
      </c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</row>
    <row r="209" ht="35.25" customHeight="1">
      <c r="A209" s="186">
        <v>1.0</v>
      </c>
      <c r="B209" s="244" t="s">
        <v>18</v>
      </c>
      <c r="C209" s="244" t="s">
        <v>250</v>
      </c>
      <c r="D209" s="244" t="s">
        <v>530</v>
      </c>
      <c r="E209" s="244" t="s">
        <v>35</v>
      </c>
      <c r="F209" s="244" t="s">
        <v>20</v>
      </c>
      <c r="G209" s="244">
        <v>8.0</v>
      </c>
      <c r="H209" s="206" t="s">
        <v>92</v>
      </c>
      <c r="I209" s="245"/>
      <c r="J209" s="245"/>
      <c r="K209" s="244">
        <v>8.0</v>
      </c>
      <c r="L209" s="246">
        <v>0.0</v>
      </c>
      <c r="M209" s="201">
        <v>0.0</v>
      </c>
      <c r="N209" s="201">
        <f t="shared" si="12"/>
        <v>8</v>
      </c>
      <c r="O209" s="186" t="s">
        <v>232</v>
      </c>
      <c r="P209" s="201" t="s">
        <v>70</v>
      </c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</row>
    <row r="210" ht="35.25" customHeight="1">
      <c r="A210" s="148">
        <v>6.0</v>
      </c>
      <c r="B210" s="250" t="s">
        <v>18</v>
      </c>
      <c r="C210" s="250" t="s">
        <v>479</v>
      </c>
      <c r="D210" s="247" t="s">
        <v>531</v>
      </c>
      <c r="E210" s="250" t="s">
        <v>35</v>
      </c>
      <c r="F210" s="250" t="s">
        <v>19</v>
      </c>
      <c r="G210" s="244">
        <v>10.0</v>
      </c>
      <c r="H210" s="206" t="s">
        <v>92</v>
      </c>
      <c r="I210" s="245"/>
      <c r="J210" s="245"/>
      <c r="K210" s="250">
        <v>10.0</v>
      </c>
      <c r="L210" s="244">
        <v>0.0</v>
      </c>
      <c r="M210" s="244">
        <v>0.0</v>
      </c>
      <c r="N210" s="201">
        <f t="shared" si="12"/>
        <v>10</v>
      </c>
      <c r="O210" s="186" t="s">
        <v>235</v>
      </c>
      <c r="P210" s="249" t="s">
        <v>70</v>
      </c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</row>
    <row r="211" ht="35.25" customHeight="1">
      <c r="A211" s="186"/>
      <c r="B211" s="244"/>
      <c r="C211" s="244"/>
      <c r="D211" s="244"/>
      <c r="E211" s="244"/>
      <c r="F211" s="244"/>
      <c r="G211" s="244"/>
      <c r="H211" s="244"/>
      <c r="I211" s="245"/>
      <c r="J211" s="245"/>
      <c r="K211" s="244"/>
      <c r="L211" s="244"/>
      <c r="M211" s="246"/>
      <c r="N211" s="189"/>
      <c r="O211" s="186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</row>
    <row r="212" ht="32.25" customHeight="1">
      <c r="A212" s="244"/>
      <c r="B212" s="244"/>
      <c r="C212" s="244"/>
      <c r="D212" s="244"/>
      <c r="E212" s="244"/>
      <c r="F212" s="244"/>
      <c r="G212" s="244"/>
      <c r="H212" s="244"/>
      <c r="I212" s="245"/>
      <c r="J212" s="245"/>
      <c r="K212" s="244"/>
      <c r="L212" s="244"/>
      <c r="M212" s="244"/>
      <c r="N212" s="246"/>
      <c r="O212" s="244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</row>
    <row r="213" ht="32.25" customHeight="1">
      <c r="A213" s="260"/>
      <c r="B213" s="244"/>
      <c r="C213" s="244"/>
      <c r="D213" s="244"/>
      <c r="E213" s="244"/>
      <c r="F213" s="244"/>
      <c r="G213" s="244"/>
      <c r="H213" s="244"/>
      <c r="I213" s="279"/>
      <c r="J213" s="279"/>
      <c r="K213" s="244"/>
      <c r="L213" s="244"/>
      <c r="M213" s="244"/>
      <c r="N213" s="246"/>
      <c r="O213" s="244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</row>
    <row r="214" ht="32.25" customHeight="1">
      <c r="A214" s="244"/>
      <c r="B214" s="244"/>
      <c r="C214" s="244"/>
      <c r="D214" s="244"/>
      <c r="E214" s="244"/>
      <c r="F214" s="244"/>
      <c r="G214" s="244"/>
      <c r="H214" s="244"/>
      <c r="I214" s="279"/>
      <c r="J214" s="279"/>
      <c r="K214" s="244"/>
      <c r="L214" s="244"/>
      <c r="M214" s="244"/>
      <c r="N214" s="246"/>
      <c r="O214" s="244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</row>
    <row r="215" ht="32.25" customHeight="1">
      <c r="A215" s="260"/>
      <c r="B215" s="244"/>
      <c r="C215" s="244"/>
      <c r="D215" s="244"/>
      <c r="E215" s="244"/>
      <c r="F215" s="244"/>
      <c r="G215" s="244"/>
      <c r="H215" s="244"/>
      <c r="I215" s="245"/>
      <c r="J215" s="245"/>
      <c r="K215" s="244"/>
      <c r="L215" s="244"/>
      <c r="M215" s="244"/>
      <c r="N215" s="246"/>
      <c r="O215" s="244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</row>
    <row r="216" ht="32.25" customHeight="1">
      <c r="A216" s="244"/>
      <c r="B216" s="244"/>
      <c r="C216" s="244"/>
      <c r="D216" s="244"/>
      <c r="E216" s="244"/>
      <c r="F216" s="244"/>
      <c r="G216" s="244"/>
      <c r="H216" s="244"/>
      <c r="I216" s="245"/>
      <c r="J216" s="245"/>
      <c r="K216" s="244"/>
      <c r="L216" s="244"/>
      <c r="M216" s="244"/>
      <c r="N216" s="246"/>
      <c r="O216" s="244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</row>
    <row r="217" ht="32.25" customHeight="1">
      <c r="A217" s="260"/>
      <c r="B217" s="244"/>
      <c r="C217" s="244"/>
      <c r="D217" s="244"/>
      <c r="E217" s="244"/>
      <c r="F217" s="244"/>
      <c r="G217" s="244"/>
      <c r="H217" s="244"/>
      <c r="I217" s="245"/>
      <c r="J217" s="245"/>
      <c r="K217" s="244"/>
      <c r="L217" s="244"/>
      <c r="M217" s="244"/>
      <c r="N217" s="246"/>
      <c r="O217" s="244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</row>
    <row r="218" ht="32.25" customHeight="1">
      <c r="A218" s="280"/>
      <c r="B218" s="244"/>
      <c r="C218" s="244"/>
      <c r="D218" s="244"/>
      <c r="E218" s="244"/>
      <c r="F218" s="280"/>
      <c r="G218" s="244"/>
      <c r="H218" s="280"/>
      <c r="I218" s="281"/>
      <c r="J218" s="281"/>
      <c r="K218" s="244"/>
      <c r="L218" s="280"/>
      <c r="M218" s="244"/>
      <c r="N218" s="280"/>
      <c r="O218" s="244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</row>
    <row r="219" ht="32.25" customHeight="1">
      <c r="A219" s="244"/>
      <c r="B219" s="244"/>
      <c r="C219" s="244"/>
      <c r="D219" s="244"/>
      <c r="E219" s="244"/>
      <c r="F219" s="244"/>
      <c r="G219" s="244"/>
      <c r="H219" s="244"/>
      <c r="I219" s="281"/>
      <c r="J219" s="281"/>
      <c r="K219" s="244"/>
      <c r="L219" s="244"/>
      <c r="M219" s="244"/>
      <c r="N219" s="244"/>
      <c r="O219" s="244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</row>
    <row r="220" ht="35.25" customHeight="1">
      <c r="A220" s="244"/>
      <c r="B220" s="280"/>
      <c r="C220" s="280"/>
      <c r="D220" s="280"/>
      <c r="E220" s="280"/>
      <c r="F220" s="280"/>
      <c r="G220" s="280"/>
      <c r="H220" s="280"/>
      <c r="I220" s="282"/>
      <c r="J220" s="282"/>
      <c r="K220" s="280"/>
      <c r="L220" s="280"/>
      <c r="M220" s="244"/>
      <c r="N220" s="246"/>
      <c r="O220" s="280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</row>
    <row r="221" ht="32.25" customHeight="1">
      <c r="A221" s="244"/>
      <c r="B221" s="244"/>
      <c r="C221" s="244"/>
      <c r="D221" s="244"/>
      <c r="E221" s="244"/>
      <c r="F221" s="244"/>
      <c r="G221" s="244"/>
      <c r="H221" s="244"/>
      <c r="I221" s="245"/>
      <c r="J221" s="245"/>
      <c r="K221" s="244"/>
      <c r="L221" s="244"/>
      <c r="M221" s="244"/>
      <c r="N221" s="246"/>
      <c r="O221" s="244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</row>
    <row r="222" ht="32.25" customHeight="1">
      <c r="A222" s="260"/>
      <c r="B222" s="244"/>
      <c r="C222" s="244"/>
      <c r="D222" s="244"/>
      <c r="E222" s="244"/>
      <c r="F222" s="244"/>
      <c r="G222" s="244"/>
      <c r="H222" s="244"/>
      <c r="I222" s="245"/>
      <c r="J222" s="245"/>
      <c r="K222" s="244"/>
      <c r="L222" s="244"/>
      <c r="M222" s="244"/>
      <c r="N222" s="246"/>
      <c r="O222" s="244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</row>
    <row r="223" ht="32.25" customHeight="1">
      <c r="A223" s="244"/>
      <c r="B223" s="244"/>
      <c r="C223" s="244"/>
      <c r="D223" s="244"/>
      <c r="E223" s="244"/>
      <c r="F223" s="244"/>
      <c r="G223" s="244"/>
      <c r="H223" s="244"/>
      <c r="I223" s="281"/>
      <c r="J223" s="281"/>
      <c r="K223" s="244"/>
      <c r="L223" s="244"/>
      <c r="M223" s="244"/>
      <c r="N223" s="246"/>
      <c r="O223" s="244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</row>
    <row r="224" ht="32.25" customHeight="1">
      <c r="A224" s="244"/>
      <c r="B224" s="244"/>
      <c r="C224" s="244"/>
      <c r="D224" s="244"/>
      <c r="E224" s="244"/>
      <c r="F224" s="280"/>
      <c r="G224" s="244"/>
      <c r="H224" s="280"/>
      <c r="I224" s="281"/>
      <c r="J224" s="281"/>
      <c r="K224" s="244"/>
      <c r="L224" s="280"/>
      <c r="M224" s="244"/>
      <c r="N224" s="280"/>
      <c r="O224" s="244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25" ht="32.25" customHeight="1">
      <c r="A225" s="260"/>
      <c r="B225" s="244"/>
      <c r="C225" s="244"/>
      <c r="D225" s="244"/>
      <c r="E225" s="244"/>
      <c r="F225" s="244"/>
      <c r="G225" s="244"/>
      <c r="H225" s="244"/>
      <c r="I225" s="245"/>
      <c r="J225" s="245"/>
      <c r="K225" s="244"/>
      <c r="L225" s="244"/>
      <c r="M225" s="244"/>
      <c r="N225" s="246"/>
      <c r="O225" s="244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</row>
    <row r="226" ht="32.25" customHeight="1">
      <c r="A226" s="244"/>
      <c r="B226" s="244"/>
      <c r="C226" s="244"/>
      <c r="D226" s="244"/>
      <c r="E226" s="244"/>
      <c r="F226" s="244"/>
      <c r="G226" s="244"/>
      <c r="H226" s="244"/>
      <c r="I226" s="245"/>
      <c r="J226" s="245"/>
      <c r="K226" s="244"/>
      <c r="L226" s="244"/>
      <c r="M226" s="244"/>
      <c r="N226" s="246"/>
      <c r="O226" s="244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</row>
    <row r="227" ht="32.25" customHeight="1">
      <c r="A227" s="260"/>
      <c r="B227" s="244"/>
      <c r="C227" s="244"/>
      <c r="D227" s="244"/>
      <c r="E227" s="244"/>
      <c r="F227" s="244"/>
      <c r="G227" s="244"/>
      <c r="H227" s="244"/>
      <c r="I227" s="245"/>
      <c r="J227" s="245"/>
      <c r="K227" s="244"/>
      <c r="L227" s="244"/>
      <c r="M227" s="244"/>
      <c r="N227" s="246"/>
      <c r="O227" s="244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</row>
    <row r="228" ht="32.25" customHeight="1">
      <c r="A228" s="244"/>
      <c r="B228" s="244"/>
      <c r="C228" s="244"/>
      <c r="D228" s="244"/>
      <c r="E228" s="244"/>
      <c r="F228" s="244"/>
      <c r="G228" s="244"/>
      <c r="H228" s="244"/>
      <c r="I228" s="245"/>
      <c r="J228" s="245"/>
      <c r="K228" s="244"/>
      <c r="L228" s="244"/>
      <c r="M228" s="244"/>
      <c r="N228" s="246"/>
      <c r="O228" s="244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</row>
    <row r="229" ht="32.25" customHeight="1">
      <c r="A229" s="260"/>
      <c r="B229" s="244"/>
      <c r="C229" s="244"/>
      <c r="D229" s="244"/>
      <c r="E229" s="244"/>
      <c r="F229" s="244"/>
      <c r="G229" s="244"/>
      <c r="H229" s="244"/>
      <c r="I229" s="279"/>
      <c r="J229" s="279"/>
      <c r="K229" s="244"/>
      <c r="L229" s="244"/>
      <c r="M229" s="244"/>
      <c r="N229" s="246"/>
      <c r="O229" s="244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</row>
    <row r="230" ht="32.25" customHeight="1">
      <c r="A230" s="244"/>
      <c r="B230" s="244"/>
      <c r="C230" s="244"/>
      <c r="D230" s="244"/>
      <c r="E230" s="244"/>
      <c r="F230" s="244"/>
      <c r="G230" s="244"/>
      <c r="H230" s="244"/>
      <c r="I230" s="245"/>
      <c r="J230" s="245"/>
      <c r="K230" s="244"/>
      <c r="L230" s="244"/>
      <c r="M230" s="244"/>
      <c r="N230" s="246"/>
      <c r="O230" s="244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</row>
    <row r="231" ht="32.25" customHeight="1">
      <c r="A231" s="260"/>
      <c r="B231" s="244"/>
      <c r="C231" s="244"/>
      <c r="D231" s="244"/>
      <c r="E231" s="244"/>
      <c r="F231" s="244"/>
      <c r="G231" s="244"/>
      <c r="H231" s="244"/>
      <c r="I231" s="279"/>
      <c r="J231" s="279"/>
      <c r="K231" s="244"/>
      <c r="L231" s="244"/>
      <c r="M231" s="244"/>
      <c r="N231" s="246"/>
      <c r="O231" s="244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</row>
    <row r="232" ht="35.25" customHeight="1">
      <c r="A232" s="186"/>
      <c r="B232" s="244"/>
      <c r="C232" s="244"/>
      <c r="D232" s="244"/>
      <c r="E232" s="244"/>
      <c r="F232" s="244"/>
      <c r="G232" s="244"/>
      <c r="H232" s="244"/>
      <c r="I232" s="245"/>
      <c r="J232" s="245"/>
      <c r="K232" s="244"/>
      <c r="L232" s="244"/>
      <c r="M232" s="244"/>
      <c r="N232" s="189"/>
      <c r="O232" s="186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</row>
    <row r="233" ht="32.25" customHeight="1">
      <c r="A233" s="244"/>
      <c r="B233" s="244"/>
      <c r="C233" s="244"/>
      <c r="D233" s="244"/>
      <c r="E233" s="244"/>
      <c r="F233" s="244"/>
      <c r="G233" s="244"/>
      <c r="H233" s="244"/>
      <c r="I233" s="245"/>
      <c r="J233" s="245"/>
      <c r="K233" s="244"/>
      <c r="L233" s="244"/>
      <c r="M233" s="244"/>
      <c r="N233" s="246"/>
      <c r="O233" s="244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</row>
    <row r="234" ht="32.25" customHeight="1">
      <c r="A234" s="260"/>
      <c r="B234" s="244"/>
      <c r="C234" s="244"/>
      <c r="D234" s="244"/>
      <c r="E234" s="244"/>
      <c r="F234" s="244"/>
      <c r="G234" s="244"/>
      <c r="H234" s="244"/>
      <c r="I234" s="245"/>
      <c r="J234" s="245"/>
      <c r="K234" s="244"/>
      <c r="L234" s="244"/>
      <c r="M234" s="244"/>
      <c r="N234" s="246"/>
      <c r="O234" s="244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</row>
    <row r="235" ht="32.25" customHeight="1">
      <c r="A235" s="244"/>
      <c r="B235" s="244"/>
      <c r="C235" s="244"/>
      <c r="D235" s="244"/>
      <c r="E235" s="244"/>
      <c r="F235" s="244"/>
      <c r="G235" s="244"/>
      <c r="H235" s="244"/>
      <c r="I235" s="245"/>
      <c r="J235" s="245"/>
      <c r="K235" s="244"/>
      <c r="L235" s="244"/>
      <c r="M235" s="244"/>
      <c r="N235" s="246"/>
      <c r="O235" s="244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</row>
    <row r="236" ht="32.25" customHeight="1">
      <c r="A236" s="260"/>
      <c r="B236" s="244"/>
      <c r="C236" s="244"/>
      <c r="D236" s="244"/>
      <c r="E236" s="244"/>
      <c r="F236" s="244"/>
      <c r="G236" s="244"/>
      <c r="H236" s="244"/>
      <c r="I236" s="245"/>
      <c r="J236" s="245"/>
      <c r="K236" s="244"/>
      <c r="L236" s="244"/>
      <c r="M236" s="244"/>
      <c r="N236" s="246"/>
      <c r="O236" s="244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</row>
    <row r="237" ht="32.25" customHeight="1">
      <c r="A237" s="244"/>
      <c r="B237" s="244"/>
      <c r="C237" s="244"/>
      <c r="D237" s="244"/>
      <c r="E237" s="244"/>
      <c r="F237" s="244"/>
      <c r="G237" s="244"/>
      <c r="H237" s="244"/>
      <c r="I237" s="245"/>
      <c r="J237" s="245"/>
      <c r="K237" s="244"/>
      <c r="L237" s="244"/>
      <c r="M237" s="244"/>
      <c r="N237" s="246"/>
      <c r="O237" s="244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</row>
    <row r="238" ht="32.25" customHeight="1">
      <c r="A238" s="260"/>
      <c r="B238" s="244"/>
      <c r="C238" s="244"/>
      <c r="D238" s="244"/>
      <c r="E238" s="244"/>
      <c r="F238" s="244"/>
      <c r="G238" s="244"/>
      <c r="H238" s="244"/>
      <c r="I238" s="245"/>
      <c r="J238" s="245"/>
      <c r="K238" s="244"/>
      <c r="L238" s="280"/>
      <c r="M238" s="244"/>
      <c r="N238" s="280"/>
      <c r="O238" s="244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</row>
    <row r="239" ht="33.0" customHeight="1">
      <c r="A239" s="186"/>
      <c r="B239" s="187"/>
      <c r="C239" s="186"/>
      <c r="D239" s="186"/>
      <c r="E239" s="186"/>
      <c r="F239" s="186"/>
      <c r="G239" s="186"/>
      <c r="H239" s="186"/>
      <c r="I239" s="188"/>
      <c r="J239" s="188"/>
      <c r="K239" s="186"/>
      <c r="L239" s="186"/>
      <c r="M239" s="186"/>
      <c r="N239" s="189"/>
      <c r="O239" s="186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</row>
    <row r="240" ht="33.0" customHeight="1">
      <c r="A240" s="186"/>
      <c r="B240" s="187"/>
      <c r="C240" s="186"/>
      <c r="D240" s="186"/>
      <c r="E240" s="186"/>
      <c r="F240" s="186"/>
      <c r="G240" s="186"/>
      <c r="H240" s="186"/>
      <c r="I240" s="188"/>
      <c r="J240" s="188"/>
      <c r="K240" s="186"/>
      <c r="L240" s="186"/>
      <c r="M240" s="186"/>
      <c r="N240" s="189"/>
      <c r="O240" s="186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</row>
    <row r="241" ht="32.25" customHeight="1">
      <c r="A241" s="244"/>
      <c r="B241" s="244"/>
      <c r="C241" s="244"/>
      <c r="D241" s="244"/>
      <c r="E241" s="244"/>
      <c r="F241" s="244"/>
      <c r="G241" s="244"/>
      <c r="H241" s="244"/>
      <c r="I241" s="245"/>
      <c r="J241" s="245"/>
      <c r="K241" s="244"/>
      <c r="L241" s="244"/>
      <c r="M241" s="244"/>
      <c r="N241" s="246"/>
      <c r="O241" s="244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</row>
    <row r="242" ht="32.25" customHeight="1">
      <c r="A242" s="260"/>
      <c r="B242" s="244"/>
      <c r="C242" s="244"/>
      <c r="D242" s="244"/>
      <c r="E242" s="244"/>
      <c r="F242" s="244"/>
      <c r="G242" s="244"/>
      <c r="H242" s="244"/>
      <c r="I242" s="245"/>
      <c r="J242" s="245"/>
      <c r="K242" s="244"/>
      <c r="L242" s="244"/>
      <c r="M242" s="244"/>
      <c r="N242" s="246"/>
      <c r="O242" s="244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</row>
    <row r="243" ht="32.25" customHeight="1">
      <c r="A243" s="244"/>
      <c r="B243" s="244"/>
      <c r="C243" s="244"/>
      <c r="D243" s="244"/>
      <c r="E243" s="244"/>
      <c r="F243" s="244"/>
      <c r="G243" s="244"/>
      <c r="H243" s="244"/>
      <c r="I243" s="245"/>
      <c r="J243" s="245"/>
      <c r="K243" s="244"/>
      <c r="L243" s="244"/>
      <c r="M243" s="244"/>
      <c r="N243" s="246"/>
      <c r="O243" s="244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</row>
    <row r="244" ht="32.25" customHeight="1">
      <c r="A244" s="260"/>
      <c r="B244" s="244"/>
      <c r="C244" s="244"/>
      <c r="D244" s="244"/>
      <c r="E244" s="244"/>
      <c r="F244" s="244"/>
      <c r="G244" s="244"/>
      <c r="H244" s="244"/>
      <c r="I244" s="245"/>
      <c r="J244" s="245"/>
      <c r="K244" s="244"/>
      <c r="L244" s="244"/>
      <c r="M244" s="244"/>
      <c r="N244" s="246"/>
      <c r="O244" s="244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</row>
    <row r="245" ht="32.25" customHeight="1">
      <c r="A245" s="244"/>
      <c r="B245" s="244"/>
      <c r="C245" s="244"/>
      <c r="D245" s="244"/>
      <c r="E245" s="244"/>
      <c r="F245" s="244"/>
      <c r="G245" s="244"/>
      <c r="H245" s="244"/>
      <c r="I245" s="281"/>
      <c r="J245" s="281"/>
      <c r="K245" s="244"/>
      <c r="L245" s="244"/>
      <c r="M245" s="244"/>
      <c r="N245" s="246"/>
      <c r="O245" s="244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</row>
    <row r="246" ht="32.25" customHeight="1">
      <c r="A246" s="260"/>
      <c r="B246" s="244"/>
      <c r="C246" s="244"/>
      <c r="D246" s="244"/>
      <c r="E246" s="244"/>
      <c r="F246" s="244"/>
      <c r="G246" s="244"/>
      <c r="H246" s="244"/>
      <c r="I246" s="245"/>
      <c r="J246" s="245"/>
      <c r="K246" s="244"/>
      <c r="L246" s="244"/>
      <c r="M246" s="244"/>
      <c r="N246" s="246"/>
      <c r="O246" s="244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</row>
    <row r="247" ht="32.25" customHeight="1">
      <c r="A247" s="244"/>
      <c r="B247" s="244"/>
      <c r="C247" s="244"/>
      <c r="D247" s="244"/>
      <c r="E247" s="244"/>
      <c r="F247" s="244"/>
      <c r="G247" s="244"/>
      <c r="H247" s="244"/>
      <c r="I247" s="245"/>
      <c r="J247" s="245"/>
      <c r="K247" s="244"/>
      <c r="L247" s="244"/>
      <c r="M247" s="244"/>
      <c r="N247" s="246"/>
      <c r="O247" s="244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</row>
    <row r="248" ht="32.25" customHeight="1">
      <c r="A248" s="260"/>
      <c r="B248" s="244"/>
      <c r="C248" s="244"/>
      <c r="D248" s="244"/>
      <c r="E248" s="244"/>
      <c r="F248" s="244"/>
      <c r="G248" s="244"/>
      <c r="H248" s="244"/>
      <c r="I248" s="245"/>
      <c r="J248" s="245"/>
      <c r="K248" s="244"/>
      <c r="L248" s="244"/>
      <c r="M248" s="244"/>
      <c r="N248" s="246"/>
      <c r="O248" s="244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</row>
    <row r="249" ht="32.25" customHeight="1">
      <c r="A249" s="244"/>
      <c r="B249" s="244"/>
      <c r="C249" s="244"/>
      <c r="D249" s="244"/>
      <c r="E249" s="244"/>
      <c r="F249" s="244"/>
      <c r="G249" s="244"/>
      <c r="H249" s="244"/>
      <c r="I249" s="245"/>
      <c r="J249" s="245"/>
      <c r="K249" s="244"/>
      <c r="L249" s="244"/>
      <c r="M249" s="244"/>
      <c r="N249" s="246"/>
      <c r="O249" s="244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</row>
    <row r="250" ht="32.25" customHeight="1">
      <c r="A250" s="260"/>
      <c r="B250" s="244"/>
      <c r="C250" s="244"/>
      <c r="D250" s="244"/>
      <c r="E250" s="244"/>
      <c r="F250" s="244"/>
      <c r="G250" s="244"/>
      <c r="H250" s="244"/>
      <c r="I250" s="245"/>
      <c r="J250" s="245"/>
      <c r="K250" s="244"/>
      <c r="L250" s="244"/>
      <c r="M250" s="244"/>
      <c r="N250" s="246"/>
      <c r="O250" s="244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</row>
    <row r="251" ht="32.25" customHeight="1">
      <c r="A251" s="244"/>
      <c r="B251" s="244"/>
      <c r="C251" s="244"/>
      <c r="D251" s="244"/>
      <c r="E251" s="244"/>
      <c r="F251" s="244"/>
      <c r="G251" s="244"/>
      <c r="H251" s="244"/>
      <c r="I251" s="245"/>
      <c r="J251" s="245"/>
      <c r="K251" s="244"/>
      <c r="L251" s="244"/>
      <c r="M251" s="244"/>
      <c r="N251" s="246"/>
      <c r="O251" s="244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</row>
    <row r="252" ht="32.25" customHeight="1">
      <c r="A252" s="260"/>
      <c r="B252" s="244"/>
      <c r="C252" s="244"/>
      <c r="D252" s="244"/>
      <c r="E252" s="244"/>
      <c r="F252" s="244"/>
      <c r="G252" s="244"/>
      <c r="H252" s="244"/>
      <c r="I252" s="245"/>
      <c r="J252" s="245"/>
      <c r="K252" s="244"/>
      <c r="L252" s="244"/>
      <c r="M252" s="244"/>
      <c r="N252" s="246"/>
      <c r="O252" s="244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</row>
    <row r="253" ht="32.25" customHeight="1">
      <c r="A253" s="244"/>
      <c r="B253" s="244"/>
      <c r="C253" s="244"/>
      <c r="D253" s="244"/>
      <c r="E253" s="244"/>
      <c r="F253" s="244"/>
      <c r="G253" s="244"/>
      <c r="H253" s="244"/>
      <c r="I253" s="245"/>
      <c r="J253" s="245"/>
      <c r="K253" s="244"/>
      <c r="L253" s="244"/>
      <c r="M253" s="244"/>
      <c r="N253" s="246"/>
      <c r="O253" s="244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</row>
    <row r="254" ht="32.25" customHeight="1">
      <c r="A254" s="260"/>
      <c r="B254" s="244"/>
      <c r="C254" s="244"/>
      <c r="D254" s="244"/>
      <c r="E254" s="244"/>
      <c r="F254" s="244"/>
      <c r="G254" s="244"/>
      <c r="H254" s="244"/>
      <c r="I254" s="245"/>
      <c r="J254" s="245"/>
      <c r="K254" s="244"/>
      <c r="L254" s="244"/>
      <c r="M254" s="244"/>
      <c r="N254" s="246"/>
      <c r="O254" s="244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</row>
    <row r="255" ht="32.25" customHeight="1">
      <c r="A255" s="244"/>
      <c r="B255" s="244"/>
      <c r="C255" s="244"/>
      <c r="D255" s="244"/>
      <c r="E255" s="244"/>
      <c r="F255" s="244"/>
      <c r="G255" s="244"/>
      <c r="H255" s="244"/>
      <c r="I255" s="245"/>
      <c r="J255" s="245"/>
      <c r="K255" s="244"/>
      <c r="L255" s="244"/>
      <c r="M255" s="244"/>
      <c r="N255" s="246"/>
      <c r="O255" s="244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</row>
    <row r="256" ht="32.25" customHeight="1">
      <c r="A256" s="260"/>
      <c r="B256" s="244"/>
      <c r="C256" s="244"/>
      <c r="D256" s="244"/>
      <c r="E256" s="244"/>
      <c r="F256" s="244"/>
      <c r="G256" s="244"/>
      <c r="H256" s="244"/>
      <c r="I256" s="245"/>
      <c r="J256" s="245"/>
      <c r="K256" s="244"/>
      <c r="L256" s="244"/>
      <c r="M256" s="244"/>
      <c r="N256" s="246"/>
      <c r="O256" s="244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</row>
    <row r="257" ht="32.25" customHeight="1">
      <c r="A257" s="244"/>
      <c r="B257" s="244"/>
      <c r="C257" s="244"/>
      <c r="D257" s="244"/>
      <c r="E257" s="244"/>
      <c r="F257" s="244"/>
      <c r="G257" s="244"/>
      <c r="H257" s="244"/>
      <c r="I257" s="245"/>
      <c r="J257" s="245"/>
      <c r="K257" s="244"/>
      <c r="L257" s="244"/>
      <c r="M257" s="244"/>
      <c r="N257" s="246"/>
      <c r="O257" s="244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</row>
    <row r="258" ht="32.25" customHeight="1">
      <c r="A258" s="260"/>
      <c r="B258" s="244"/>
      <c r="C258" s="244"/>
      <c r="D258" s="244"/>
      <c r="E258" s="244"/>
      <c r="F258" s="244"/>
      <c r="G258" s="244"/>
      <c r="H258" s="244"/>
      <c r="I258" s="245"/>
      <c r="J258" s="245"/>
      <c r="K258" s="244"/>
      <c r="L258" s="244"/>
      <c r="M258" s="244"/>
      <c r="N258" s="246"/>
      <c r="O258" s="244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</row>
    <row r="259" ht="32.25" customHeight="1">
      <c r="A259" s="244"/>
      <c r="B259" s="244"/>
      <c r="C259" s="244"/>
      <c r="D259" s="244"/>
      <c r="E259" s="244"/>
      <c r="F259" s="244"/>
      <c r="G259" s="244"/>
      <c r="H259" s="244"/>
      <c r="I259" s="245"/>
      <c r="J259" s="245"/>
      <c r="K259" s="244"/>
      <c r="L259" s="244"/>
      <c r="M259" s="244"/>
      <c r="N259" s="246"/>
      <c r="O259" s="244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</row>
    <row r="260" ht="32.25" customHeight="1">
      <c r="A260" s="260"/>
      <c r="B260" s="244"/>
      <c r="C260" s="244"/>
      <c r="D260" s="244"/>
      <c r="E260" s="244"/>
      <c r="F260" s="244"/>
      <c r="G260" s="244"/>
      <c r="H260" s="244"/>
      <c r="I260" s="245"/>
      <c r="J260" s="245"/>
      <c r="K260" s="244"/>
      <c r="L260" s="244"/>
      <c r="M260" s="244"/>
      <c r="N260" s="246"/>
      <c r="O260" s="244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</row>
    <row r="261" ht="32.25" customHeight="1">
      <c r="A261" s="244"/>
      <c r="B261" s="244"/>
      <c r="C261" s="244"/>
      <c r="D261" s="244"/>
      <c r="E261" s="244"/>
      <c r="F261" s="244"/>
      <c r="G261" s="244"/>
      <c r="H261" s="244"/>
      <c r="I261" s="245"/>
      <c r="J261" s="245"/>
      <c r="K261" s="244"/>
      <c r="L261" s="244"/>
      <c r="M261" s="244"/>
      <c r="N261" s="246"/>
      <c r="O261" s="244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</row>
    <row r="262" ht="32.25" customHeight="1">
      <c r="A262" s="260"/>
      <c r="B262" s="244"/>
      <c r="C262" s="244"/>
      <c r="D262" s="244"/>
      <c r="E262" s="244"/>
      <c r="F262" s="244"/>
      <c r="G262" s="244"/>
      <c r="H262" s="244"/>
      <c r="I262" s="245"/>
      <c r="J262" s="245"/>
      <c r="K262" s="244"/>
      <c r="L262" s="244"/>
      <c r="M262" s="244"/>
      <c r="N262" s="246"/>
      <c r="O262" s="244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</row>
    <row r="263" ht="32.25" customHeight="1">
      <c r="A263" s="244"/>
      <c r="B263" s="244"/>
      <c r="C263" s="244"/>
      <c r="D263" s="244"/>
      <c r="E263" s="244"/>
      <c r="F263" s="244"/>
      <c r="G263" s="244"/>
      <c r="H263" s="244"/>
      <c r="I263" s="245"/>
      <c r="J263" s="245"/>
      <c r="K263" s="244"/>
      <c r="L263" s="280"/>
      <c r="M263" s="244"/>
      <c r="N263" s="280"/>
      <c r="O263" s="244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4" ht="32.25" customHeight="1">
      <c r="A264" s="260"/>
      <c r="B264" s="244"/>
      <c r="C264" s="244"/>
      <c r="D264" s="244"/>
      <c r="E264" s="244"/>
      <c r="F264" s="244"/>
      <c r="G264" s="244"/>
      <c r="H264" s="244"/>
      <c r="I264" s="245"/>
      <c r="J264" s="245"/>
      <c r="K264" s="244"/>
      <c r="L264" s="244"/>
      <c r="M264" s="244"/>
      <c r="N264" s="246"/>
      <c r="O264" s="244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</row>
    <row r="265" ht="32.25" customHeight="1">
      <c r="A265" s="244"/>
      <c r="B265" s="244"/>
      <c r="C265" s="244"/>
      <c r="D265" s="244"/>
      <c r="E265" s="246"/>
      <c r="F265" s="246"/>
      <c r="G265" s="246"/>
      <c r="H265" s="246"/>
      <c r="I265" s="281"/>
      <c r="J265" s="281"/>
      <c r="K265" s="246"/>
      <c r="L265" s="246"/>
      <c r="M265" s="244"/>
      <c r="N265" s="246"/>
      <c r="O265" s="246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</row>
    <row r="266" ht="39.75" customHeight="1">
      <c r="A266" s="244"/>
      <c r="B266" s="244"/>
      <c r="C266" s="244"/>
      <c r="D266" s="244"/>
      <c r="E266" s="244"/>
      <c r="F266" s="244"/>
      <c r="G266" s="244"/>
      <c r="H266" s="244"/>
      <c r="I266" s="245"/>
      <c r="J266" s="245"/>
      <c r="K266" s="244"/>
      <c r="L266" s="280"/>
      <c r="M266" s="244"/>
      <c r="N266" s="246"/>
      <c r="O266" s="244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</row>
    <row r="267" ht="32.25" customHeight="1">
      <c r="A267" s="244"/>
      <c r="B267" s="244"/>
      <c r="C267" s="244"/>
      <c r="D267" s="244"/>
      <c r="E267" s="244"/>
      <c r="F267" s="244"/>
      <c r="G267" s="244"/>
      <c r="H267" s="244"/>
      <c r="I267" s="245"/>
      <c r="J267" s="245"/>
      <c r="K267" s="244"/>
      <c r="L267" s="280"/>
      <c r="M267" s="244"/>
      <c r="N267" s="246"/>
      <c r="O267" s="244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</row>
    <row r="268" ht="33.75" customHeight="1">
      <c r="A268" s="244"/>
      <c r="B268" s="244"/>
      <c r="C268" s="244"/>
      <c r="D268" s="244"/>
      <c r="E268" s="244"/>
      <c r="F268" s="244"/>
      <c r="G268" s="244"/>
      <c r="H268" s="244"/>
      <c r="I268" s="245"/>
      <c r="J268" s="245"/>
      <c r="K268" s="244"/>
      <c r="L268" s="280"/>
      <c r="M268" s="244"/>
      <c r="N268" s="280"/>
      <c r="O268" s="244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</row>
    <row r="269" ht="33.75" customHeight="1">
      <c r="A269" s="244"/>
      <c r="B269" s="244"/>
      <c r="C269" s="244"/>
      <c r="D269" s="244"/>
      <c r="E269" s="244"/>
      <c r="F269" s="244"/>
      <c r="G269" s="244"/>
      <c r="H269" s="244"/>
      <c r="I269" s="245"/>
      <c r="J269" s="245"/>
      <c r="K269" s="244"/>
      <c r="L269" s="280"/>
      <c r="M269" s="244"/>
      <c r="N269" s="246"/>
      <c r="O269" s="244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</row>
    <row r="270" ht="33.75" customHeight="1">
      <c r="A270" s="244"/>
      <c r="B270" s="244"/>
      <c r="C270" s="244"/>
      <c r="D270" s="244"/>
      <c r="E270" s="244"/>
      <c r="F270" s="244"/>
      <c r="G270" s="244"/>
      <c r="H270" s="244"/>
      <c r="I270" s="245"/>
      <c r="J270" s="245"/>
      <c r="K270" s="244"/>
      <c r="L270" s="280"/>
      <c r="M270" s="244"/>
      <c r="N270" s="246"/>
      <c r="O270" s="244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</row>
    <row r="271" ht="33.75" customHeight="1">
      <c r="A271" s="244"/>
      <c r="B271" s="244"/>
      <c r="C271" s="244"/>
      <c r="D271" s="244"/>
      <c r="E271" s="244"/>
      <c r="F271" s="244"/>
      <c r="G271" s="244"/>
      <c r="H271" s="244"/>
      <c r="I271" s="245"/>
      <c r="J271" s="245"/>
      <c r="K271" s="244"/>
      <c r="L271" s="246"/>
      <c r="M271" s="244"/>
      <c r="N271" s="244"/>
      <c r="O271" s="244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</row>
    <row r="272" ht="33.75" customHeight="1">
      <c r="A272" s="244"/>
      <c r="B272" s="244"/>
      <c r="C272" s="244"/>
      <c r="D272" s="244"/>
      <c r="E272" s="246"/>
      <c r="F272" s="244"/>
      <c r="G272" s="244"/>
      <c r="H272" s="246"/>
      <c r="I272" s="281"/>
      <c r="J272" s="281"/>
      <c r="K272" s="244"/>
      <c r="L272" s="246"/>
      <c r="M272" s="244"/>
      <c r="N272" s="246"/>
      <c r="O272" s="246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</row>
    <row r="273" ht="33.75" customHeight="1">
      <c r="A273" s="244"/>
      <c r="B273" s="246"/>
      <c r="C273" s="244"/>
      <c r="D273" s="246"/>
      <c r="E273" s="246"/>
      <c r="F273" s="244"/>
      <c r="G273" s="246"/>
      <c r="H273" s="244"/>
      <c r="I273" s="281"/>
      <c r="J273" s="281"/>
      <c r="K273" s="246"/>
      <c r="L273" s="246"/>
      <c r="M273" s="244"/>
      <c r="N273" s="244"/>
      <c r="O273" s="246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</row>
    <row r="274" ht="32.25" customHeight="1">
      <c r="A274" s="244"/>
      <c r="B274" s="244"/>
      <c r="C274" s="244"/>
      <c r="D274" s="244"/>
      <c r="E274" s="244"/>
      <c r="F274" s="244"/>
      <c r="G274" s="244"/>
      <c r="H274" s="244"/>
      <c r="I274" s="245"/>
      <c r="J274" s="245"/>
      <c r="K274" s="244"/>
      <c r="L274" s="246"/>
      <c r="M274" s="244"/>
      <c r="N274" s="246"/>
      <c r="O274" s="244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</row>
    <row r="275" ht="35.25" customHeight="1">
      <c r="A275" s="244"/>
      <c r="B275" s="244"/>
      <c r="C275" s="244"/>
      <c r="D275" s="244"/>
      <c r="E275" s="246"/>
      <c r="F275" s="244"/>
      <c r="G275" s="244"/>
      <c r="H275" s="246"/>
      <c r="I275" s="281"/>
      <c r="J275" s="281"/>
      <c r="K275" s="244"/>
      <c r="L275" s="246"/>
      <c r="M275" s="244"/>
      <c r="N275" s="246"/>
      <c r="O275" s="246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</row>
    <row r="276" ht="32.25" customHeight="1">
      <c r="A276" s="260"/>
      <c r="B276" s="244"/>
      <c r="C276" s="244"/>
      <c r="D276" s="244"/>
      <c r="E276" s="244"/>
      <c r="F276" s="244"/>
      <c r="G276" s="244"/>
      <c r="H276" s="244"/>
      <c r="I276" s="245"/>
      <c r="J276" s="245"/>
      <c r="K276" s="244"/>
      <c r="L276" s="244"/>
      <c r="M276" s="244"/>
      <c r="N276" s="246"/>
      <c r="O276" s="244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</row>
    <row r="277" ht="32.25" customHeight="1">
      <c r="A277" s="244"/>
      <c r="B277" s="244"/>
      <c r="C277" s="244"/>
      <c r="D277" s="244"/>
      <c r="E277" s="244"/>
      <c r="F277" s="244"/>
      <c r="G277" s="244"/>
      <c r="H277" s="244"/>
      <c r="I277" s="245"/>
      <c r="J277" s="245"/>
      <c r="K277" s="244"/>
      <c r="L277" s="244"/>
      <c r="M277" s="244"/>
      <c r="N277" s="246"/>
      <c r="O277" s="244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</row>
    <row r="278" ht="35.25" customHeight="1">
      <c r="A278" s="244"/>
      <c r="B278" s="244"/>
      <c r="C278" s="244"/>
      <c r="D278" s="244"/>
      <c r="E278" s="244"/>
      <c r="F278" s="244"/>
      <c r="G278" s="244"/>
      <c r="H278" s="244"/>
      <c r="I278" s="282"/>
      <c r="J278" s="282"/>
      <c r="K278" s="244"/>
      <c r="L278" s="244"/>
      <c r="M278" s="244"/>
      <c r="N278" s="246"/>
      <c r="O278" s="244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</row>
    <row r="279" ht="32.25" customHeight="1">
      <c r="A279" s="260"/>
      <c r="B279" s="244"/>
      <c r="C279" s="244"/>
      <c r="D279" s="244"/>
      <c r="E279" s="244"/>
      <c r="F279" s="244"/>
      <c r="G279" s="244"/>
      <c r="H279" s="244"/>
      <c r="I279" s="245"/>
      <c r="J279" s="245"/>
      <c r="K279" s="244"/>
      <c r="L279" s="246"/>
      <c r="M279" s="244"/>
      <c r="N279" s="246"/>
      <c r="O279" s="244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</row>
    <row r="280" ht="32.25" customHeight="1">
      <c r="A280" s="244"/>
      <c r="B280" s="244"/>
      <c r="C280" s="244"/>
      <c r="D280" s="244"/>
      <c r="E280" s="244"/>
      <c r="F280" s="244"/>
      <c r="G280" s="244"/>
      <c r="H280" s="244"/>
      <c r="I280" s="279"/>
      <c r="J280" s="279"/>
      <c r="K280" s="244"/>
      <c r="L280" s="244"/>
      <c r="M280" s="244"/>
      <c r="N280" s="246"/>
      <c r="O280" s="244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</row>
    <row r="281" ht="35.25" customHeight="1">
      <c r="A281" s="244"/>
      <c r="B281" s="244"/>
      <c r="C281" s="244"/>
      <c r="D281" s="244"/>
      <c r="E281" s="246"/>
      <c r="F281" s="244"/>
      <c r="G281" s="244"/>
      <c r="H281" s="246"/>
      <c r="I281" s="281"/>
      <c r="J281" s="281"/>
      <c r="K281" s="244"/>
      <c r="L281" s="246"/>
      <c r="M281" s="244"/>
      <c r="N281" s="246"/>
      <c r="O281" s="244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</row>
    <row r="282" ht="32.25" customHeight="1">
      <c r="A282" s="260"/>
      <c r="B282" s="244"/>
      <c r="C282" s="244"/>
      <c r="D282" s="244"/>
      <c r="E282" s="244"/>
      <c r="F282" s="244"/>
      <c r="G282" s="244"/>
      <c r="H282" s="244"/>
      <c r="I282" s="245"/>
      <c r="J282" s="245"/>
      <c r="K282" s="244"/>
      <c r="L282" s="244"/>
      <c r="M282" s="244"/>
      <c r="N282" s="246"/>
      <c r="O282" s="244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</row>
    <row r="283" ht="32.25" customHeight="1">
      <c r="A283" s="244"/>
      <c r="B283" s="244"/>
      <c r="C283" s="244"/>
      <c r="D283" s="244"/>
      <c r="E283" s="244"/>
      <c r="F283" s="244"/>
      <c r="G283" s="244"/>
      <c r="H283" s="244"/>
      <c r="I283" s="245"/>
      <c r="J283" s="245"/>
      <c r="K283" s="244"/>
      <c r="L283" s="244"/>
      <c r="M283" s="244"/>
      <c r="N283" s="246"/>
      <c r="O283" s="244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</row>
    <row r="284" ht="32.25" customHeight="1">
      <c r="A284" s="260"/>
      <c r="B284" s="244"/>
      <c r="C284" s="244"/>
      <c r="D284" s="244"/>
      <c r="E284" s="244"/>
      <c r="F284" s="244"/>
      <c r="G284" s="244"/>
      <c r="H284" s="244"/>
      <c r="I284" s="279"/>
      <c r="J284" s="279"/>
      <c r="K284" s="244"/>
      <c r="L284" s="244"/>
      <c r="M284" s="244"/>
      <c r="N284" s="246"/>
      <c r="O284" s="244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</row>
    <row r="285" ht="33.0" customHeight="1">
      <c r="A285" s="186"/>
      <c r="B285" s="187"/>
      <c r="C285" s="186"/>
      <c r="D285" s="186"/>
      <c r="E285" s="186"/>
      <c r="F285" s="186"/>
      <c r="G285" s="186"/>
      <c r="H285" s="186"/>
      <c r="I285" s="188"/>
      <c r="J285" s="188"/>
      <c r="K285" s="186"/>
      <c r="L285" s="186"/>
      <c r="M285" s="186"/>
      <c r="N285" s="189"/>
      <c r="O285" s="186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</row>
    <row r="286" ht="32.25" customHeight="1">
      <c r="A286" s="244"/>
      <c r="B286" s="244"/>
      <c r="C286" s="244"/>
      <c r="D286" s="244"/>
      <c r="E286" s="244"/>
      <c r="F286" s="244"/>
      <c r="G286" s="244"/>
      <c r="H286" s="244"/>
      <c r="I286" s="245"/>
      <c r="J286" s="245"/>
      <c r="K286" s="244"/>
      <c r="L286" s="244"/>
      <c r="M286" s="244"/>
      <c r="N286" s="246"/>
      <c r="O286" s="244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</row>
    <row r="287" ht="35.25" customHeight="1">
      <c r="A287" s="244"/>
      <c r="B287" s="244"/>
      <c r="C287" s="244"/>
      <c r="D287" s="244"/>
      <c r="E287" s="244"/>
      <c r="F287" s="244"/>
      <c r="G287" s="244"/>
      <c r="H287" s="244"/>
      <c r="I287" s="245"/>
      <c r="J287" s="245"/>
      <c r="K287" s="244"/>
      <c r="L287" s="280"/>
      <c r="M287" s="244"/>
      <c r="N287" s="246"/>
      <c r="O287" s="244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</row>
    <row r="288" ht="32.25" customHeight="1">
      <c r="A288" s="244"/>
      <c r="B288" s="244"/>
      <c r="C288" s="244"/>
      <c r="D288" s="244"/>
      <c r="E288" s="244"/>
      <c r="F288" s="244"/>
      <c r="G288" s="244"/>
      <c r="H288" s="280"/>
      <c r="I288" s="281"/>
      <c r="J288" s="281"/>
      <c r="K288" s="244"/>
      <c r="L288" s="280"/>
      <c r="M288" s="244"/>
      <c r="N288" s="280"/>
      <c r="O288" s="244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</row>
    <row r="289" ht="33.0" customHeight="1">
      <c r="A289" s="186"/>
      <c r="B289" s="187"/>
      <c r="C289" s="186"/>
      <c r="D289" s="186"/>
      <c r="E289" s="186"/>
      <c r="F289" s="186"/>
      <c r="G289" s="186"/>
      <c r="H289" s="186"/>
      <c r="I289" s="188"/>
      <c r="J289" s="188"/>
      <c r="K289" s="186"/>
      <c r="L289" s="186"/>
      <c r="M289" s="186"/>
      <c r="N289" s="189"/>
      <c r="O289" s="186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</row>
    <row r="290" ht="32.25" customHeight="1">
      <c r="A290" s="244"/>
      <c r="B290" s="244"/>
      <c r="C290" s="244"/>
      <c r="D290" s="244"/>
      <c r="E290" s="246"/>
      <c r="F290" s="244"/>
      <c r="G290" s="244"/>
      <c r="H290" s="246"/>
      <c r="I290" s="281"/>
      <c r="J290" s="281"/>
      <c r="K290" s="244"/>
      <c r="L290" s="246"/>
      <c r="M290" s="244"/>
      <c r="N290" s="246"/>
      <c r="O290" s="246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</row>
    <row r="291" ht="35.25" customHeight="1">
      <c r="A291" s="244"/>
      <c r="B291" s="244"/>
      <c r="C291" s="244"/>
      <c r="D291" s="244"/>
      <c r="E291" s="244"/>
      <c r="F291" s="244"/>
      <c r="G291" s="244"/>
      <c r="H291" s="244"/>
      <c r="I291" s="282"/>
      <c r="J291" s="282"/>
      <c r="K291" s="244"/>
      <c r="L291" s="244"/>
      <c r="M291" s="244"/>
      <c r="N291" s="246"/>
      <c r="O291" s="244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</row>
    <row r="292" ht="32.25" customHeight="1">
      <c r="A292" s="260"/>
      <c r="B292" s="244"/>
      <c r="C292" s="244"/>
      <c r="D292" s="244"/>
      <c r="E292" s="244"/>
      <c r="F292" s="244"/>
      <c r="G292" s="244"/>
      <c r="H292" s="244"/>
      <c r="I292" s="245"/>
      <c r="J292" s="245"/>
      <c r="K292" s="244"/>
      <c r="L292" s="244"/>
      <c r="M292" s="244"/>
      <c r="N292" s="246"/>
      <c r="O292" s="244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</row>
    <row r="293" ht="32.25" customHeight="1">
      <c r="A293" s="244"/>
      <c r="B293" s="244"/>
      <c r="C293" s="244"/>
      <c r="D293" s="244"/>
      <c r="E293" s="244"/>
      <c r="F293" s="244"/>
      <c r="G293" s="244"/>
      <c r="H293" s="244"/>
      <c r="I293" s="245"/>
      <c r="J293" s="245"/>
      <c r="K293" s="244"/>
      <c r="L293" s="244"/>
      <c r="M293" s="244"/>
      <c r="N293" s="246"/>
      <c r="O293" s="244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</row>
    <row r="294" ht="35.25" customHeight="1">
      <c r="A294" s="244"/>
      <c r="B294" s="244"/>
      <c r="C294" s="244"/>
      <c r="D294" s="244"/>
      <c r="E294" s="246"/>
      <c r="F294" s="244"/>
      <c r="G294" s="244"/>
      <c r="H294" s="246"/>
      <c r="I294" s="281"/>
      <c r="J294" s="281"/>
      <c r="K294" s="244"/>
      <c r="L294" s="246"/>
      <c r="M294" s="244"/>
      <c r="N294" s="246"/>
      <c r="O294" s="244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</row>
    <row r="295" ht="32.25" customHeight="1">
      <c r="A295" s="244"/>
      <c r="B295" s="244"/>
      <c r="C295" s="244"/>
      <c r="D295" s="244"/>
      <c r="E295" s="246"/>
      <c r="F295" s="244"/>
      <c r="G295" s="244"/>
      <c r="H295" s="246"/>
      <c r="I295" s="281"/>
      <c r="J295" s="281"/>
      <c r="K295" s="244"/>
      <c r="L295" s="246"/>
      <c r="M295" s="244"/>
      <c r="N295" s="246"/>
      <c r="O295" s="246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</row>
    <row r="296" ht="32.25" customHeight="1">
      <c r="A296" s="260"/>
      <c r="B296" s="244"/>
      <c r="C296" s="244"/>
      <c r="D296" s="244"/>
      <c r="E296" s="244"/>
      <c r="F296" s="244"/>
      <c r="G296" s="244"/>
      <c r="H296" s="244"/>
      <c r="I296" s="245"/>
      <c r="J296" s="245"/>
      <c r="K296" s="244"/>
      <c r="L296" s="244"/>
      <c r="M296" s="244"/>
      <c r="N296" s="246"/>
      <c r="O296" s="244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</row>
    <row r="297" ht="35.25" customHeight="1">
      <c r="A297" s="244"/>
      <c r="B297" s="244"/>
      <c r="C297" s="244"/>
      <c r="D297" s="244"/>
      <c r="E297" s="280"/>
      <c r="F297" s="244"/>
      <c r="G297" s="244"/>
      <c r="H297" s="280"/>
      <c r="I297" s="282"/>
      <c r="J297" s="282"/>
      <c r="K297" s="244"/>
      <c r="L297" s="280"/>
      <c r="M297" s="280"/>
      <c r="N297" s="246"/>
      <c r="O297" s="244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</row>
    <row r="298" ht="35.25" customHeight="1">
      <c r="A298" s="244"/>
      <c r="B298" s="244"/>
      <c r="C298" s="244"/>
      <c r="D298" s="244"/>
      <c r="E298" s="244"/>
      <c r="F298" s="244"/>
      <c r="G298" s="244"/>
      <c r="H298" s="244"/>
      <c r="I298" s="245"/>
      <c r="J298" s="245"/>
      <c r="K298" s="244"/>
      <c r="L298" s="280"/>
      <c r="M298" s="244"/>
      <c r="N298" s="246"/>
      <c r="O298" s="244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</row>
    <row r="299" ht="32.25" customHeight="1">
      <c r="A299" s="244"/>
      <c r="B299" s="244"/>
      <c r="C299" s="244"/>
      <c r="D299" s="244"/>
      <c r="E299" s="244"/>
      <c r="F299" s="244"/>
      <c r="G299" s="244"/>
      <c r="H299" s="244"/>
      <c r="I299" s="245"/>
      <c r="J299" s="245"/>
      <c r="K299" s="244"/>
      <c r="L299" s="244"/>
      <c r="M299" s="244"/>
      <c r="N299" s="246"/>
      <c r="O299" s="244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</row>
    <row r="300" ht="32.25" customHeight="1">
      <c r="A300" s="260"/>
      <c r="B300" s="244"/>
      <c r="C300" s="244"/>
      <c r="D300" s="244"/>
      <c r="E300" s="244"/>
      <c r="F300" s="244"/>
      <c r="G300" s="244"/>
      <c r="H300" s="244"/>
      <c r="I300" s="245"/>
      <c r="J300" s="245"/>
      <c r="K300" s="244"/>
      <c r="L300" s="244"/>
      <c r="M300" s="244"/>
      <c r="N300" s="246"/>
      <c r="O300" s="244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</row>
    <row r="301" ht="35.25" customHeight="1">
      <c r="A301" s="244"/>
      <c r="B301" s="244"/>
      <c r="C301" s="244"/>
      <c r="D301" s="244"/>
      <c r="E301" s="244"/>
      <c r="F301" s="244"/>
      <c r="G301" s="244"/>
      <c r="H301" s="244"/>
      <c r="I301" s="282"/>
      <c r="J301" s="282"/>
      <c r="K301" s="244"/>
      <c r="L301" s="244"/>
      <c r="M301" s="244"/>
      <c r="N301" s="246"/>
      <c r="O301" s="244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</row>
    <row r="302" ht="32.25" customHeight="1">
      <c r="A302" s="244"/>
      <c r="B302" s="244"/>
      <c r="C302" s="244"/>
      <c r="D302" s="244"/>
      <c r="E302" s="244"/>
      <c r="F302" s="244"/>
      <c r="G302" s="244"/>
      <c r="H302" s="244"/>
      <c r="I302" s="245"/>
      <c r="J302" s="245"/>
      <c r="K302" s="244"/>
      <c r="L302" s="244"/>
      <c r="M302" s="244"/>
      <c r="N302" s="246"/>
      <c r="O302" s="244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</row>
    <row r="303" ht="35.25" customHeight="1">
      <c r="A303" s="244"/>
      <c r="B303" s="246"/>
      <c r="C303" s="244"/>
      <c r="D303" s="244"/>
      <c r="E303" s="246"/>
      <c r="F303" s="244"/>
      <c r="G303" s="244"/>
      <c r="H303" s="246"/>
      <c r="I303" s="282"/>
      <c r="J303" s="282"/>
      <c r="K303" s="244"/>
      <c r="L303" s="246"/>
      <c r="M303" s="244"/>
      <c r="N303" s="246"/>
      <c r="O303" s="246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</row>
    <row r="304" ht="35.25" customHeight="1">
      <c r="A304" s="244"/>
      <c r="B304" s="244"/>
      <c r="C304" s="244"/>
      <c r="D304" s="244"/>
      <c r="E304" s="244"/>
      <c r="F304" s="244"/>
      <c r="G304" s="244"/>
      <c r="H304" s="244"/>
      <c r="I304" s="245"/>
      <c r="J304" s="245"/>
      <c r="K304" s="244"/>
      <c r="L304" s="246"/>
      <c r="M304" s="244"/>
      <c r="N304" s="246"/>
      <c r="O304" s="244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</row>
    <row r="305" ht="32.25" customHeight="1">
      <c r="A305" s="260"/>
      <c r="B305" s="244"/>
      <c r="C305" s="244"/>
      <c r="D305" s="244"/>
      <c r="E305" s="244"/>
      <c r="F305" s="244"/>
      <c r="G305" s="244"/>
      <c r="H305" s="244"/>
      <c r="I305" s="279"/>
      <c r="J305" s="279"/>
      <c r="K305" s="244"/>
      <c r="L305" s="244"/>
      <c r="M305" s="244"/>
      <c r="N305" s="246"/>
      <c r="O305" s="244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</row>
    <row r="306" ht="35.25" customHeight="1">
      <c r="A306" s="244"/>
      <c r="B306" s="244"/>
      <c r="C306" s="244"/>
      <c r="D306" s="244"/>
      <c r="E306" s="280"/>
      <c r="F306" s="244"/>
      <c r="G306" s="244"/>
      <c r="H306" s="280"/>
      <c r="I306" s="282"/>
      <c r="J306" s="282"/>
      <c r="K306" s="244"/>
      <c r="L306" s="280"/>
      <c r="M306" s="280"/>
      <c r="N306" s="246"/>
      <c r="O306" s="244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</row>
    <row r="307" ht="32.25" customHeight="1">
      <c r="A307" s="244"/>
      <c r="B307" s="244"/>
      <c r="C307" s="244"/>
      <c r="D307" s="244"/>
      <c r="E307" s="244"/>
      <c r="F307" s="244"/>
      <c r="G307" s="244"/>
      <c r="H307" s="244"/>
      <c r="I307" s="245"/>
      <c r="J307" s="245"/>
      <c r="K307" s="244"/>
      <c r="L307" s="244"/>
      <c r="M307" s="244"/>
      <c r="N307" s="246"/>
      <c r="O307" s="244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</row>
    <row r="308" ht="35.25" customHeight="1">
      <c r="A308" s="244"/>
      <c r="B308" s="244"/>
      <c r="C308" s="244"/>
      <c r="D308" s="244"/>
      <c r="E308" s="244"/>
      <c r="F308" s="244"/>
      <c r="G308" s="244"/>
      <c r="H308" s="244"/>
      <c r="I308" s="245"/>
      <c r="J308" s="245"/>
      <c r="K308" s="244"/>
      <c r="L308" s="246"/>
      <c r="M308" s="244"/>
      <c r="N308" s="246"/>
      <c r="O308" s="244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</row>
    <row r="309" ht="32.25" customHeight="1">
      <c r="A309" s="260"/>
      <c r="B309" s="244"/>
      <c r="C309" s="244"/>
      <c r="D309" s="244"/>
      <c r="E309" s="244"/>
      <c r="F309" s="244"/>
      <c r="G309" s="244"/>
      <c r="H309" s="244"/>
      <c r="I309" s="245"/>
      <c r="J309" s="245"/>
      <c r="K309" s="244"/>
      <c r="L309" s="244"/>
      <c r="M309" s="244"/>
      <c r="N309" s="246"/>
      <c r="O309" s="244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</row>
    <row r="310" ht="32.25" customHeight="1">
      <c r="A310" s="244"/>
      <c r="B310" s="244"/>
      <c r="C310" s="244"/>
      <c r="D310" s="244"/>
      <c r="E310" s="244"/>
      <c r="F310" s="244"/>
      <c r="G310" s="244"/>
      <c r="H310" s="244"/>
      <c r="I310" s="279"/>
      <c r="J310" s="245"/>
      <c r="K310" s="244"/>
      <c r="L310" s="244"/>
      <c r="M310" s="244"/>
      <c r="N310" s="246"/>
      <c r="O310" s="244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</row>
    <row r="311" ht="32.25" customHeight="1">
      <c r="A311" s="260"/>
      <c r="B311" s="244"/>
      <c r="C311" s="244"/>
      <c r="D311" s="244"/>
      <c r="E311" s="244"/>
      <c r="F311" s="244"/>
      <c r="G311" s="244"/>
      <c r="H311" s="244"/>
      <c r="I311" s="245"/>
      <c r="J311" s="245"/>
      <c r="K311" s="244"/>
      <c r="L311" s="244"/>
      <c r="M311" s="244"/>
      <c r="N311" s="246"/>
      <c r="O311" s="244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</row>
    <row r="312" ht="32.25" customHeight="1">
      <c r="A312" s="244"/>
      <c r="B312" s="244"/>
      <c r="C312" s="244"/>
      <c r="D312" s="244"/>
      <c r="E312" s="244"/>
      <c r="F312" s="244"/>
      <c r="G312" s="244"/>
      <c r="H312" s="244"/>
      <c r="I312" s="245"/>
      <c r="J312" s="245"/>
      <c r="K312" s="244"/>
      <c r="L312" s="244"/>
      <c r="M312" s="244"/>
      <c r="N312" s="246"/>
      <c r="O312" s="244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</row>
    <row r="313" ht="32.25" customHeight="1">
      <c r="A313" s="260"/>
      <c r="B313" s="244"/>
      <c r="C313" s="244"/>
      <c r="D313" s="244"/>
      <c r="E313" s="244"/>
      <c r="F313" s="244"/>
      <c r="G313" s="244"/>
      <c r="H313" s="244"/>
      <c r="I313" s="279"/>
      <c r="J313" s="245"/>
      <c r="K313" s="244"/>
      <c r="L313" s="244"/>
      <c r="M313" s="244"/>
      <c r="N313" s="246"/>
      <c r="O313" s="244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</row>
    <row r="314" ht="32.25" customHeight="1">
      <c r="A314" s="244"/>
      <c r="B314" s="244"/>
      <c r="C314" s="244"/>
      <c r="D314" s="244"/>
      <c r="E314" s="244"/>
      <c r="F314" s="244"/>
      <c r="G314" s="244"/>
      <c r="H314" s="244"/>
      <c r="I314" s="279"/>
      <c r="J314" s="245"/>
      <c r="K314" s="244"/>
      <c r="L314" s="244"/>
      <c r="M314" s="244"/>
      <c r="N314" s="246"/>
      <c r="O314" s="244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</row>
    <row r="315" ht="32.25" customHeight="1">
      <c r="A315" s="260"/>
      <c r="B315" s="244"/>
      <c r="C315" s="244"/>
      <c r="D315" s="244"/>
      <c r="E315" s="244"/>
      <c r="F315" s="244"/>
      <c r="G315" s="244"/>
      <c r="H315" s="244"/>
      <c r="I315" s="245"/>
      <c r="J315" s="245"/>
      <c r="K315" s="244"/>
      <c r="L315" s="244"/>
      <c r="M315" s="244"/>
      <c r="N315" s="246"/>
      <c r="O315" s="244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</row>
    <row r="316" ht="32.25" customHeight="1">
      <c r="A316" s="244"/>
      <c r="B316" s="244"/>
      <c r="C316" s="244"/>
      <c r="D316" s="244"/>
      <c r="E316" s="244"/>
      <c r="F316" s="244"/>
      <c r="G316" s="244"/>
      <c r="H316" s="244"/>
      <c r="I316" s="245"/>
      <c r="J316" s="245"/>
      <c r="K316" s="244"/>
      <c r="L316" s="244"/>
      <c r="M316" s="244"/>
      <c r="N316" s="246"/>
      <c r="O316" s="244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</row>
    <row r="317" ht="32.25" customHeight="1">
      <c r="A317" s="260"/>
      <c r="B317" s="244"/>
      <c r="C317" s="244"/>
      <c r="D317" s="244"/>
      <c r="E317" s="244"/>
      <c r="F317" s="244"/>
      <c r="G317" s="244"/>
      <c r="H317" s="244"/>
      <c r="I317" s="245"/>
      <c r="J317" s="245"/>
      <c r="K317" s="244"/>
      <c r="L317" s="244"/>
      <c r="M317" s="244"/>
      <c r="N317" s="246"/>
      <c r="O317" s="244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</row>
    <row r="318" ht="33.75" customHeight="1">
      <c r="A318" s="244"/>
      <c r="B318" s="244"/>
      <c r="C318" s="244"/>
      <c r="D318" s="244"/>
      <c r="E318" s="246"/>
      <c r="F318" s="244"/>
      <c r="G318" s="244"/>
      <c r="H318" s="246"/>
      <c r="I318" s="281"/>
      <c r="J318" s="281"/>
      <c r="K318" s="244"/>
      <c r="L318" s="246"/>
      <c r="M318" s="246"/>
      <c r="N318" s="246"/>
      <c r="O318" s="244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</row>
    <row r="319" ht="32.25" customHeight="1">
      <c r="A319" s="244"/>
      <c r="B319" s="244"/>
      <c r="C319" s="244"/>
      <c r="D319" s="244"/>
      <c r="E319" s="246"/>
      <c r="F319" s="244"/>
      <c r="G319" s="244"/>
      <c r="H319" s="246"/>
      <c r="I319" s="281"/>
      <c r="J319" s="281"/>
      <c r="K319" s="244"/>
      <c r="L319" s="246"/>
      <c r="M319" s="246"/>
      <c r="N319" s="246"/>
      <c r="O319" s="246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</row>
    <row r="320" ht="32.25" customHeight="1">
      <c r="A320" s="244"/>
      <c r="B320" s="244"/>
      <c r="C320" s="244"/>
      <c r="D320" s="244"/>
      <c r="E320" s="244"/>
      <c r="F320" s="244"/>
      <c r="G320" s="244"/>
      <c r="H320" s="244"/>
      <c r="I320" s="245"/>
      <c r="J320" s="245"/>
      <c r="K320" s="244"/>
      <c r="L320" s="244"/>
      <c r="M320" s="244"/>
      <c r="N320" s="246"/>
      <c r="O320" s="244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</row>
    <row r="321" ht="32.25" customHeight="1">
      <c r="A321" s="260"/>
      <c r="B321" s="244"/>
      <c r="C321" s="244"/>
      <c r="D321" s="244"/>
      <c r="E321" s="244"/>
      <c r="F321" s="244"/>
      <c r="G321" s="244"/>
      <c r="H321" s="244"/>
      <c r="I321" s="245"/>
      <c r="J321" s="245"/>
      <c r="K321" s="244"/>
      <c r="L321" s="244"/>
      <c r="M321" s="244"/>
      <c r="N321" s="246"/>
      <c r="O321" s="244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</row>
    <row r="322" ht="32.25" customHeight="1">
      <c r="A322" s="244"/>
      <c r="B322" s="244"/>
      <c r="C322" s="244"/>
      <c r="D322" s="244"/>
      <c r="E322" s="244"/>
      <c r="F322" s="244"/>
      <c r="G322" s="244"/>
      <c r="H322" s="244"/>
      <c r="I322" s="279"/>
      <c r="J322" s="279"/>
      <c r="K322" s="244"/>
      <c r="L322" s="244"/>
      <c r="M322" s="244"/>
      <c r="N322" s="246"/>
      <c r="O322" s="244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</row>
    <row r="323" ht="32.25" customHeight="1">
      <c r="A323" s="260"/>
      <c r="B323" s="244"/>
      <c r="C323" s="244"/>
      <c r="D323" s="244"/>
      <c r="E323" s="244"/>
      <c r="F323" s="244"/>
      <c r="G323" s="244"/>
      <c r="H323" s="244"/>
      <c r="I323" s="245"/>
      <c r="J323" s="245"/>
      <c r="K323" s="244"/>
      <c r="L323" s="244"/>
      <c r="M323" s="244"/>
      <c r="N323" s="246"/>
      <c r="O323" s="244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</row>
    <row r="324" ht="35.25" customHeight="1">
      <c r="A324" s="244"/>
      <c r="B324" s="244"/>
      <c r="C324" s="244"/>
      <c r="D324" s="244"/>
      <c r="E324" s="244"/>
      <c r="F324" s="244"/>
      <c r="G324" s="244"/>
      <c r="H324" s="244"/>
      <c r="I324" s="245"/>
      <c r="J324" s="245"/>
      <c r="K324" s="244"/>
      <c r="L324" s="246"/>
      <c r="M324" s="244"/>
      <c r="N324" s="246"/>
      <c r="O324" s="244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</row>
    <row r="325" ht="33.0" customHeight="1">
      <c r="A325" s="186"/>
      <c r="B325" s="187"/>
      <c r="C325" s="186"/>
      <c r="D325" s="186"/>
      <c r="E325" s="186"/>
      <c r="F325" s="186"/>
      <c r="G325" s="186"/>
      <c r="H325" s="186"/>
      <c r="I325" s="188"/>
      <c r="J325" s="188"/>
      <c r="K325" s="186"/>
      <c r="L325" s="186"/>
      <c r="M325" s="186"/>
      <c r="N325" s="189"/>
      <c r="O325" s="186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</row>
    <row r="326" ht="32.25" customHeight="1">
      <c r="A326" s="244"/>
      <c r="B326" s="244"/>
      <c r="C326" s="244"/>
      <c r="D326" s="244"/>
      <c r="E326" s="244"/>
      <c r="F326" s="244"/>
      <c r="G326" s="244"/>
      <c r="H326" s="244"/>
      <c r="I326" s="245"/>
      <c r="J326" s="245"/>
      <c r="K326" s="244"/>
      <c r="L326" s="244"/>
      <c r="M326" s="244"/>
      <c r="N326" s="246"/>
      <c r="O326" s="244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</row>
    <row r="327" ht="32.25" customHeight="1">
      <c r="A327" s="260"/>
      <c r="B327" s="244"/>
      <c r="C327" s="244"/>
      <c r="D327" s="244"/>
      <c r="E327" s="244"/>
      <c r="F327" s="244"/>
      <c r="G327" s="244"/>
      <c r="H327" s="244"/>
      <c r="I327" s="245"/>
      <c r="J327" s="245"/>
      <c r="K327" s="244"/>
      <c r="L327" s="244"/>
      <c r="M327" s="244"/>
      <c r="N327" s="246"/>
      <c r="O327" s="244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</row>
    <row r="328" ht="32.25" customHeight="1">
      <c r="A328" s="244"/>
      <c r="B328" s="244"/>
      <c r="C328" s="244"/>
      <c r="D328" s="244"/>
      <c r="E328" s="244"/>
      <c r="F328" s="244"/>
      <c r="G328" s="244"/>
      <c r="H328" s="244"/>
      <c r="I328" s="245"/>
      <c r="J328" s="245"/>
      <c r="K328" s="244"/>
      <c r="L328" s="244"/>
      <c r="M328" s="244"/>
      <c r="N328" s="246"/>
      <c r="O328" s="244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</row>
    <row r="329" ht="32.25" customHeight="1">
      <c r="A329" s="260"/>
      <c r="B329" s="244"/>
      <c r="C329" s="244"/>
      <c r="D329" s="244"/>
      <c r="E329" s="244"/>
      <c r="F329" s="244"/>
      <c r="G329" s="244"/>
      <c r="H329" s="244"/>
      <c r="I329" s="279"/>
      <c r="J329" s="279"/>
      <c r="K329" s="244"/>
      <c r="L329" s="244"/>
      <c r="M329" s="244"/>
      <c r="N329" s="246"/>
      <c r="O329" s="244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</row>
    <row r="330" ht="32.25" customHeight="1">
      <c r="A330" s="244"/>
      <c r="B330" s="244"/>
      <c r="C330" s="244"/>
      <c r="D330" s="244"/>
      <c r="E330" s="244"/>
      <c r="F330" s="244"/>
      <c r="G330" s="244"/>
      <c r="H330" s="244"/>
      <c r="I330" s="245"/>
      <c r="J330" s="245"/>
      <c r="K330" s="244"/>
      <c r="L330" s="244"/>
      <c r="M330" s="244"/>
      <c r="N330" s="244"/>
      <c r="O330" s="244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</row>
    <row r="331" ht="32.25" customHeight="1">
      <c r="A331" s="260"/>
      <c r="B331" s="244"/>
      <c r="C331" s="244"/>
      <c r="D331" s="244"/>
      <c r="E331" s="244"/>
      <c r="F331" s="244"/>
      <c r="G331" s="244"/>
      <c r="H331" s="244"/>
      <c r="I331" s="245"/>
      <c r="J331" s="245"/>
      <c r="K331" s="244"/>
      <c r="L331" s="244"/>
      <c r="M331" s="244"/>
      <c r="N331" s="246"/>
      <c r="O331" s="244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</row>
    <row r="332" ht="32.25" customHeight="1">
      <c r="A332" s="244"/>
      <c r="B332" s="244"/>
      <c r="C332" s="244"/>
      <c r="D332" s="244"/>
      <c r="E332" s="244"/>
      <c r="F332" s="244"/>
      <c r="G332" s="244"/>
      <c r="H332" s="244"/>
      <c r="I332" s="245"/>
      <c r="J332" s="245"/>
      <c r="K332" s="244"/>
      <c r="L332" s="244"/>
      <c r="M332" s="244"/>
      <c r="N332" s="246"/>
      <c r="O332" s="244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</row>
    <row r="333" ht="32.25" customHeight="1">
      <c r="A333" s="260"/>
      <c r="B333" s="244"/>
      <c r="C333" s="244"/>
      <c r="D333" s="244"/>
      <c r="E333" s="244"/>
      <c r="F333" s="244"/>
      <c r="G333" s="244"/>
      <c r="H333" s="244"/>
      <c r="I333" s="279"/>
      <c r="J333" s="279"/>
      <c r="K333" s="244"/>
      <c r="L333" s="244"/>
      <c r="M333" s="244"/>
      <c r="N333" s="246"/>
      <c r="O333" s="244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</row>
    <row r="334" ht="32.25" customHeight="1">
      <c r="A334" s="244"/>
      <c r="B334" s="244"/>
      <c r="C334" s="244"/>
      <c r="D334" s="244"/>
      <c r="E334" s="244"/>
      <c r="F334" s="244"/>
      <c r="G334" s="244"/>
      <c r="H334" s="244"/>
      <c r="I334" s="245"/>
      <c r="J334" s="245"/>
      <c r="K334" s="244"/>
      <c r="L334" s="244"/>
      <c r="M334" s="244"/>
      <c r="N334" s="246"/>
      <c r="O334" s="244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</row>
    <row r="335" ht="32.25" customHeight="1">
      <c r="A335" s="260"/>
      <c r="B335" s="244"/>
      <c r="C335" s="244"/>
      <c r="D335" s="244"/>
      <c r="E335" s="244"/>
      <c r="F335" s="244"/>
      <c r="G335" s="244"/>
      <c r="H335" s="244"/>
      <c r="I335" s="245"/>
      <c r="J335" s="245"/>
      <c r="K335" s="244"/>
      <c r="L335" s="244"/>
      <c r="M335" s="244"/>
      <c r="N335" s="246"/>
      <c r="O335" s="244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</row>
    <row r="336" ht="32.25" customHeight="1">
      <c r="A336" s="244"/>
      <c r="B336" s="244"/>
      <c r="C336" s="244"/>
      <c r="D336" s="244"/>
      <c r="E336" s="244"/>
      <c r="F336" s="244"/>
      <c r="G336" s="244"/>
      <c r="H336" s="244"/>
      <c r="I336" s="245"/>
      <c r="J336" s="245"/>
      <c r="K336" s="244"/>
      <c r="L336" s="244"/>
      <c r="M336" s="244"/>
      <c r="N336" s="246"/>
      <c r="O336" s="244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</row>
    <row r="337" ht="32.25" customHeight="1">
      <c r="A337" s="260"/>
      <c r="B337" s="244"/>
      <c r="C337" s="244"/>
      <c r="D337" s="244"/>
      <c r="E337" s="244"/>
      <c r="F337" s="244"/>
      <c r="G337" s="244"/>
      <c r="H337" s="244"/>
      <c r="I337" s="245"/>
      <c r="J337" s="245"/>
      <c r="K337" s="244"/>
      <c r="L337" s="244"/>
      <c r="M337" s="244"/>
      <c r="N337" s="246"/>
      <c r="O337" s="244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</row>
    <row r="338" ht="32.25" customHeight="1">
      <c r="A338" s="244"/>
      <c r="B338" s="244"/>
      <c r="C338" s="244"/>
      <c r="D338" s="244"/>
      <c r="E338" s="244"/>
      <c r="F338" s="244"/>
      <c r="G338" s="244"/>
      <c r="H338" s="244"/>
      <c r="I338" s="245"/>
      <c r="J338" s="245"/>
      <c r="K338" s="244"/>
      <c r="L338" s="244"/>
      <c r="M338" s="244"/>
      <c r="N338" s="246"/>
      <c r="O338" s="244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</row>
    <row r="339" ht="32.25" customHeight="1">
      <c r="A339" s="260"/>
      <c r="B339" s="244"/>
      <c r="C339" s="244"/>
      <c r="D339" s="244"/>
      <c r="E339" s="244"/>
      <c r="F339" s="244"/>
      <c r="G339" s="244"/>
      <c r="H339" s="244"/>
      <c r="I339" s="245"/>
      <c r="J339" s="245"/>
      <c r="K339" s="244"/>
      <c r="L339" s="244"/>
      <c r="M339" s="244"/>
      <c r="N339" s="246"/>
      <c r="O339" s="244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</row>
    <row r="340" ht="32.25" customHeight="1">
      <c r="A340" s="244"/>
      <c r="B340" s="244"/>
      <c r="C340" s="244"/>
      <c r="D340" s="244"/>
      <c r="E340" s="244"/>
      <c r="F340" s="244"/>
      <c r="G340" s="244"/>
      <c r="H340" s="244"/>
      <c r="I340" s="279"/>
      <c r="J340" s="279"/>
      <c r="K340" s="244"/>
      <c r="L340" s="244"/>
      <c r="M340" s="244"/>
      <c r="N340" s="246"/>
      <c r="O340" s="244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</row>
    <row r="341" ht="32.25" customHeight="1">
      <c r="A341" s="260"/>
      <c r="B341" s="244"/>
      <c r="C341" s="244"/>
      <c r="D341" s="244"/>
      <c r="E341" s="244"/>
      <c r="F341" s="244"/>
      <c r="G341" s="244"/>
      <c r="H341" s="244"/>
      <c r="I341" s="245"/>
      <c r="J341" s="245"/>
      <c r="K341" s="244"/>
      <c r="L341" s="244"/>
      <c r="M341" s="244"/>
      <c r="N341" s="246"/>
      <c r="O341" s="244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</row>
    <row r="342" ht="32.25" customHeight="1">
      <c r="A342" s="244"/>
      <c r="B342" s="244"/>
      <c r="C342" s="244"/>
      <c r="D342" s="244"/>
      <c r="E342" s="244"/>
      <c r="F342" s="244"/>
      <c r="G342" s="244"/>
      <c r="H342" s="244"/>
      <c r="I342" s="245"/>
      <c r="J342" s="245"/>
      <c r="K342" s="244"/>
      <c r="L342" s="244"/>
      <c r="M342" s="244"/>
      <c r="N342" s="246"/>
      <c r="O342" s="244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</row>
    <row r="343" ht="32.25" customHeight="1">
      <c r="A343" s="260"/>
      <c r="B343" s="244"/>
      <c r="C343" s="244"/>
      <c r="D343" s="244"/>
      <c r="E343" s="244"/>
      <c r="F343" s="244"/>
      <c r="G343" s="244"/>
      <c r="H343" s="244"/>
      <c r="I343" s="279"/>
      <c r="J343" s="279"/>
      <c r="K343" s="244"/>
      <c r="L343" s="244"/>
      <c r="M343" s="244"/>
      <c r="N343" s="246"/>
      <c r="O343" s="244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</row>
    <row r="344" ht="32.25" customHeight="1">
      <c r="A344" s="244"/>
      <c r="B344" s="244"/>
      <c r="C344" s="244"/>
      <c r="D344" s="244"/>
      <c r="E344" s="244"/>
      <c r="F344" s="244"/>
      <c r="G344" s="244"/>
      <c r="H344" s="244"/>
      <c r="I344" s="279"/>
      <c r="J344" s="279"/>
      <c r="K344" s="244"/>
      <c r="L344" s="244"/>
      <c r="M344" s="244"/>
      <c r="N344" s="246"/>
      <c r="O344" s="244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</row>
    <row r="345" ht="32.25" customHeight="1">
      <c r="A345" s="260"/>
      <c r="B345" s="244"/>
      <c r="C345" s="244"/>
      <c r="D345" s="244"/>
      <c r="E345" s="244"/>
      <c r="F345" s="244"/>
      <c r="G345" s="244"/>
      <c r="H345" s="244"/>
      <c r="I345" s="279"/>
      <c r="J345" s="279"/>
      <c r="K345" s="244"/>
      <c r="L345" s="244"/>
      <c r="M345" s="244"/>
      <c r="N345" s="246"/>
      <c r="O345" s="244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</row>
    <row r="346" ht="32.25" customHeight="1">
      <c r="A346" s="244"/>
      <c r="B346" s="244"/>
      <c r="C346" s="244"/>
      <c r="D346" s="244"/>
      <c r="E346" s="244"/>
      <c r="F346" s="244"/>
      <c r="G346" s="244"/>
      <c r="H346" s="244"/>
      <c r="I346" s="245"/>
      <c r="J346" s="245"/>
      <c r="K346" s="244"/>
      <c r="L346" s="244"/>
      <c r="M346" s="244"/>
      <c r="N346" s="246"/>
      <c r="O346" s="244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</row>
    <row r="347" ht="32.25" customHeight="1">
      <c r="A347" s="260"/>
      <c r="B347" s="244"/>
      <c r="C347" s="244"/>
      <c r="D347" s="244"/>
      <c r="E347" s="244"/>
      <c r="F347" s="244"/>
      <c r="G347" s="244"/>
      <c r="H347" s="244"/>
      <c r="I347" s="279"/>
      <c r="J347" s="279"/>
      <c r="K347" s="244"/>
      <c r="L347" s="244"/>
      <c r="M347" s="244"/>
      <c r="N347" s="246"/>
      <c r="O347" s="244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</row>
    <row r="348" ht="32.25" customHeight="1">
      <c r="A348" s="244"/>
      <c r="B348" s="244"/>
      <c r="C348" s="244"/>
      <c r="D348" s="244"/>
      <c r="E348" s="244"/>
      <c r="F348" s="244"/>
      <c r="G348" s="244"/>
      <c r="H348" s="244"/>
      <c r="I348" s="279"/>
      <c r="J348" s="279"/>
      <c r="K348" s="244"/>
      <c r="L348" s="244"/>
      <c r="M348" s="244"/>
      <c r="N348" s="246"/>
      <c r="O348" s="244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</row>
    <row r="349" ht="32.25" customHeight="1">
      <c r="A349" s="260"/>
      <c r="B349" s="244"/>
      <c r="C349" s="244"/>
      <c r="D349" s="244"/>
      <c r="E349" s="244"/>
      <c r="F349" s="244"/>
      <c r="G349" s="244"/>
      <c r="H349" s="244"/>
      <c r="I349" s="279"/>
      <c r="J349" s="279"/>
      <c r="K349" s="244"/>
      <c r="L349" s="244"/>
      <c r="M349" s="244"/>
      <c r="N349" s="246"/>
      <c r="O349" s="244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</row>
    <row r="350" ht="32.25" customHeight="1">
      <c r="A350" s="244"/>
      <c r="B350" s="244"/>
      <c r="C350" s="244"/>
      <c r="D350" s="244"/>
      <c r="E350" s="244"/>
      <c r="F350" s="244"/>
      <c r="G350" s="244"/>
      <c r="H350" s="244"/>
      <c r="I350" s="245"/>
      <c r="J350" s="245"/>
      <c r="K350" s="244"/>
      <c r="L350" s="244"/>
      <c r="M350" s="244"/>
      <c r="N350" s="246"/>
      <c r="O350" s="244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</row>
    <row r="351" ht="32.25" customHeight="1">
      <c r="A351" s="260"/>
      <c r="B351" s="244"/>
      <c r="C351" s="244"/>
      <c r="D351" s="244"/>
      <c r="E351" s="244"/>
      <c r="F351" s="244"/>
      <c r="G351" s="244"/>
      <c r="H351" s="244"/>
      <c r="I351" s="245"/>
      <c r="J351" s="245"/>
      <c r="K351" s="244"/>
      <c r="L351" s="244"/>
      <c r="M351" s="244"/>
      <c r="N351" s="246"/>
      <c r="O351" s="244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</row>
    <row r="352" ht="32.25" customHeight="1">
      <c r="A352" s="244"/>
      <c r="B352" s="244"/>
      <c r="C352" s="244"/>
      <c r="D352" s="244"/>
      <c r="E352" s="244"/>
      <c r="F352" s="244"/>
      <c r="G352" s="244"/>
      <c r="H352" s="244"/>
      <c r="I352" s="245"/>
      <c r="J352" s="245"/>
      <c r="K352" s="244"/>
      <c r="L352" s="244"/>
      <c r="M352" s="244"/>
      <c r="N352" s="246"/>
      <c r="O352" s="244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</row>
    <row r="353" ht="32.25" customHeight="1">
      <c r="A353" s="260"/>
      <c r="B353" s="244"/>
      <c r="C353" s="244"/>
      <c r="D353" s="244"/>
      <c r="E353" s="244"/>
      <c r="F353" s="244"/>
      <c r="G353" s="244"/>
      <c r="H353" s="244"/>
      <c r="I353" s="245"/>
      <c r="J353" s="245"/>
      <c r="K353" s="244"/>
      <c r="L353" s="244"/>
      <c r="M353" s="244"/>
      <c r="N353" s="246"/>
      <c r="O353" s="244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</row>
    <row r="354" ht="32.25" customHeight="1">
      <c r="A354" s="244"/>
      <c r="B354" s="244"/>
      <c r="C354" s="244"/>
      <c r="D354" s="244"/>
      <c r="E354" s="244"/>
      <c r="F354" s="244"/>
      <c r="G354" s="244"/>
      <c r="H354" s="244"/>
      <c r="I354" s="279"/>
      <c r="J354" s="245"/>
      <c r="K354" s="244"/>
      <c r="L354" s="244"/>
      <c r="M354" s="244"/>
      <c r="N354" s="246"/>
      <c r="O354" s="244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</row>
    <row r="355" ht="32.25" customHeight="1">
      <c r="A355" s="260"/>
      <c r="B355" s="244"/>
      <c r="C355" s="244"/>
      <c r="D355" s="244"/>
      <c r="E355" s="244"/>
      <c r="F355" s="244"/>
      <c r="G355" s="244"/>
      <c r="H355" s="244"/>
      <c r="I355" s="245"/>
      <c r="J355" s="245"/>
      <c r="K355" s="244"/>
      <c r="L355" s="244"/>
      <c r="M355" s="244"/>
      <c r="N355" s="246"/>
      <c r="O355" s="244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</row>
    <row r="356" ht="32.25" customHeight="1">
      <c r="A356" s="244"/>
      <c r="B356" s="244"/>
      <c r="C356" s="244"/>
      <c r="D356" s="244"/>
      <c r="E356" s="244"/>
      <c r="F356" s="244"/>
      <c r="G356" s="244"/>
      <c r="H356" s="244"/>
      <c r="I356" s="245"/>
      <c r="J356" s="245"/>
      <c r="K356" s="244"/>
      <c r="L356" s="244"/>
      <c r="M356" s="244"/>
      <c r="N356" s="246"/>
      <c r="O356" s="244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</row>
    <row r="357" ht="32.25" customHeight="1">
      <c r="A357" s="260"/>
      <c r="B357" s="244"/>
      <c r="C357" s="244"/>
      <c r="D357" s="244"/>
      <c r="E357" s="244"/>
      <c r="F357" s="244"/>
      <c r="G357" s="244"/>
      <c r="H357" s="244"/>
      <c r="I357" s="245"/>
      <c r="J357" s="245"/>
      <c r="K357" s="244"/>
      <c r="L357" s="244"/>
      <c r="M357" s="244"/>
      <c r="N357" s="246"/>
      <c r="O357" s="244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</row>
    <row r="358" ht="32.25" customHeight="1">
      <c r="A358" s="244"/>
      <c r="B358" s="244"/>
      <c r="C358" s="244"/>
      <c r="D358" s="244"/>
      <c r="E358" s="244"/>
      <c r="F358" s="244"/>
      <c r="G358" s="244"/>
      <c r="H358" s="244"/>
      <c r="I358" s="279"/>
      <c r="J358" s="279"/>
      <c r="K358" s="244"/>
      <c r="L358" s="244"/>
      <c r="M358" s="244"/>
      <c r="N358" s="246"/>
      <c r="O358" s="244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</row>
    <row r="359" ht="32.25" customHeight="1">
      <c r="A359" s="260"/>
      <c r="B359" s="244"/>
      <c r="C359" s="244"/>
      <c r="D359" s="244"/>
      <c r="E359" s="244"/>
      <c r="F359" s="244"/>
      <c r="G359" s="244"/>
      <c r="H359" s="244"/>
      <c r="I359" s="279"/>
      <c r="J359" s="279"/>
      <c r="K359" s="244"/>
      <c r="L359" s="244"/>
      <c r="M359" s="244"/>
      <c r="N359" s="246"/>
      <c r="O359" s="244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</row>
    <row r="360" ht="32.25" customHeight="1">
      <c r="A360" s="244"/>
      <c r="B360" s="244"/>
      <c r="C360" s="244"/>
      <c r="D360" s="244"/>
      <c r="E360" s="244"/>
      <c r="F360" s="244"/>
      <c r="G360" s="244"/>
      <c r="H360" s="244"/>
      <c r="I360" s="279"/>
      <c r="J360" s="279"/>
      <c r="K360" s="244"/>
      <c r="L360" s="244"/>
      <c r="M360" s="244"/>
      <c r="N360" s="246"/>
      <c r="O360" s="244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</row>
    <row r="361" ht="32.25" customHeight="1">
      <c r="A361" s="260"/>
      <c r="B361" s="244"/>
      <c r="C361" s="244"/>
      <c r="D361" s="244"/>
      <c r="E361" s="244"/>
      <c r="F361" s="244"/>
      <c r="G361" s="244"/>
      <c r="H361" s="244"/>
      <c r="I361" s="245"/>
      <c r="J361" s="245"/>
      <c r="K361" s="244"/>
      <c r="L361" s="244"/>
      <c r="M361" s="244"/>
      <c r="N361" s="246"/>
      <c r="O361" s="244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</row>
    <row r="362" ht="32.25" customHeight="1">
      <c r="A362" s="244"/>
      <c r="B362" s="244"/>
      <c r="C362" s="244"/>
      <c r="D362" s="244"/>
      <c r="E362" s="244"/>
      <c r="F362" s="244"/>
      <c r="G362" s="244"/>
      <c r="H362" s="244"/>
      <c r="I362" s="245"/>
      <c r="J362" s="245"/>
      <c r="K362" s="244"/>
      <c r="L362" s="244"/>
      <c r="M362" s="244"/>
      <c r="N362" s="246"/>
      <c r="O362" s="244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</row>
    <row r="363" ht="32.25" customHeight="1">
      <c r="A363" s="260"/>
      <c r="B363" s="244"/>
      <c r="C363" s="244"/>
      <c r="D363" s="244"/>
      <c r="E363" s="244"/>
      <c r="F363" s="244"/>
      <c r="G363" s="244"/>
      <c r="H363" s="244"/>
      <c r="I363" s="245"/>
      <c r="J363" s="245"/>
      <c r="K363" s="244"/>
      <c r="L363" s="244"/>
      <c r="M363" s="244"/>
      <c r="N363" s="246"/>
      <c r="O363" s="244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</row>
    <row r="364" ht="33.75" customHeight="1">
      <c r="A364" s="244"/>
      <c r="B364" s="244"/>
      <c r="C364" s="244"/>
      <c r="D364" s="244"/>
      <c r="E364" s="246"/>
      <c r="F364" s="244"/>
      <c r="G364" s="244"/>
      <c r="H364" s="246"/>
      <c r="I364" s="281"/>
      <c r="J364" s="281"/>
      <c r="K364" s="244"/>
      <c r="L364" s="246"/>
      <c r="M364" s="244"/>
      <c r="N364" s="246"/>
      <c r="O364" s="244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</row>
    <row r="365" ht="32.25" customHeight="1">
      <c r="A365" s="244"/>
      <c r="B365" s="244"/>
      <c r="C365" s="244"/>
      <c r="D365" s="244"/>
      <c r="E365" s="244"/>
      <c r="F365" s="244"/>
      <c r="G365" s="244"/>
      <c r="H365" s="244"/>
      <c r="I365" s="245"/>
      <c r="J365" s="245"/>
      <c r="K365" s="244"/>
      <c r="L365" s="244"/>
      <c r="M365" s="244"/>
      <c r="N365" s="246"/>
      <c r="O365" s="244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</row>
    <row r="366" ht="32.25" customHeight="1">
      <c r="A366" s="260"/>
      <c r="B366" s="244"/>
      <c r="C366" s="244"/>
      <c r="D366" s="244"/>
      <c r="E366" s="244"/>
      <c r="F366" s="244"/>
      <c r="G366" s="244"/>
      <c r="H366" s="244"/>
      <c r="I366" s="245"/>
      <c r="J366" s="245"/>
      <c r="K366" s="244"/>
      <c r="L366" s="244"/>
      <c r="M366" s="244"/>
      <c r="N366" s="246"/>
      <c r="O366" s="244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</row>
    <row r="367" ht="32.25" customHeight="1">
      <c r="A367" s="244"/>
      <c r="B367" s="244"/>
      <c r="C367" s="244"/>
      <c r="D367" s="244"/>
      <c r="E367" s="244"/>
      <c r="F367" s="244"/>
      <c r="G367" s="244"/>
      <c r="H367" s="244"/>
      <c r="I367" s="245"/>
      <c r="J367" s="245"/>
      <c r="K367" s="244"/>
      <c r="L367" s="244"/>
      <c r="M367" s="244"/>
      <c r="N367" s="246"/>
      <c r="O367" s="244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</row>
    <row r="368" ht="32.25" customHeight="1">
      <c r="A368" s="260"/>
      <c r="B368" s="244"/>
      <c r="C368" s="244"/>
      <c r="D368" s="244"/>
      <c r="E368" s="244"/>
      <c r="F368" s="244"/>
      <c r="G368" s="244"/>
      <c r="H368" s="244"/>
      <c r="I368" s="245"/>
      <c r="J368" s="245"/>
      <c r="K368" s="244"/>
      <c r="L368" s="280"/>
      <c r="M368" s="244"/>
      <c r="N368" s="280"/>
      <c r="O368" s="244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</row>
    <row r="369" ht="32.25" customHeight="1">
      <c r="A369" s="244"/>
      <c r="B369" s="244"/>
      <c r="C369" s="244"/>
      <c r="D369" s="244"/>
      <c r="E369" s="244"/>
      <c r="F369" s="244"/>
      <c r="G369" s="244"/>
      <c r="H369" s="244"/>
      <c r="I369" s="245"/>
      <c r="J369" s="245"/>
      <c r="K369" s="244"/>
      <c r="L369" s="244"/>
      <c r="M369" s="244"/>
      <c r="N369" s="246"/>
      <c r="O369" s="244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</row>
    <row r="370" ht="32.25" customHeight="1">
      <c r="A370" s="260"/>
      <c r="B370" s="244"/>
      <c r="C370" s="244"/>
      <c r="D370" s="244"/>
      <c r="E370" s="244"/>
      <c r="F370" s="244"/>
      <c r="G370" s="244"/>
      <c r="H370" s="244"/>
      <c r="I370" s="279"/>
      <c r="J370" s="245"/>
      <c r="K370" s="244"/>
      <c r="L370" s="244"/>
      <c r="M370" s="244"/>
      <c r="N370" s="246"/>
      <c r="O370" s="244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</row>
    <row r="371" ht="32.25" customHeight="1">
      <c r="A371" s="244"/>
      <c r="B371" s="244"/>
      <c r="C371" s="244"/>
      <c r="D371" s="244"/>
      <c r="E371" s="244"/>
      <c r="F371" s="244"/>
      <c r="G371" s="244"/>
      <c r="H371" s="244"/>
      <c r="I371" s="245"/>
      <c r="J371" s="245"/>
      <c r="K371" s="244"/>
      <c r="L371" s="280"/>
      <c r="M371" s="244"/>
      <c r="N371" s="246"/>
      <c r="O371" s="244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</row>
    <row r="372" ht="32.25" customHeight="1">
      <c r="A372" s="244"/>
      <c r="B372" s="244"/>
      <c r="C372" s="244"/>
      <c r="D372" s="244"/>
      <c r="E372" s="244"/>
      <c r="F372" s="244"/>
      <c r="G372" s="244"/>
      <c r="H372" s="244"/>
      <c r="I372" s="245"/>
      <c r="J372" s="245"/>
      <c r="K372" s="244"/>
      <c r="L372" s="244"/>
      <c r="M372" s="244"/>
      <c r="N372" s="246"/>
      <c r="O372" s="244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</row>
    <row r="373" ht="32.25" customHeight="1">
      <c r="A373" s="260"/>
      <c r="B373" s="244"/>
      <c r="C373" s="244"/>
      <c r="D373" s="244"/>
      <c r="E373" s="244"/>
      <c r="F373" s="244"/>
      <c r="G373" s="244"/>
      <c r="H373" s="244"/>
      <c r="I373" s="245"/>
      <c r="J373" s="245"/>
      <c r="K373" s="244"/>
      <c r="L373" s="280"/>
      <c r="M373" s="244"/>
      <c r="N373" s="280"/>
      <c r="O373" s="244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</row>
    <row r="374" ht="32.25" customHeight="1">
      <c r="A374" s="244"/>
      <c r="B374" s="280"/>
      <c r="C374" s="244"/>
      <c r="D374" s="244"/>
      <c r="E374" s="280"/>
      <c r="F374" s="244"/>
      <c r="G374" s="244"/>
      <c r="H374" s="280"/>
      <c r="I374" s="281"/>
      <c r="J374" s="281"/>
      <c r="K374" s="244"/>
      <c r="L374" s="280"/>
      <c r="M374" s="244"/>
      <c r="N374" s="280"/>
      <c r="O374" s="244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</row>
    <row r="375" ht="32.25" customHeight="1">
      <c r="A375" s="260"/>
      <c r="B375" s="244"/>
      <c r="C375" s="244"/>
      <c r="D375" s="244"/>
      <c r="E375" s="244"/>
      <c r="F375" s="244"/>
      <c r="G375" s="244"/>
      <c r="H375" s="244"/>
      <c r="I375" s="279"/>
      <c r="J375" s="245"/>
      <c r="K375" s="244"/>
      <c r="L375" s="244"/>
      <c r="M375" s="244"/>
      <c r="N375" s="246"/>
      <c r="O375" s="244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</row>
    <row r="376" ht="32.25" customHeight="1">
      <c r="A376" s="244"/>
      <c r="B376" s="244"/>
      <c r="C376" s="244"/>
      <c r="D376" s="244"/>
      <c r="E376" s="244"/>
      <c r="F376" s="244"/>
      <c r="G376" s="244"/>
      <c r="H376" s="244"/>
      <c r="I376" s="279"/>
      <c r="J376" s="245"/>
      <c r="K376" s="244"/>
      <c r="L376" s="244"/>
      <c r="M376" s="244"/>
      <c r="N376" s="246"/>
      <c r="O376" s="244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</row>
    <row r="377" ht="32.25" customHeight="1">
      <c r="A377" s="260"/>
      <c r="B377" s="280"/>
      <c r="C377" s="244"/>
      <c r="D377" s="280"/>
      <c r="E377" s="280"/>
      <c r="F377" s="280"/>
      <c r="G377" s="244"/>
      <c r="H377" s="280"/>
      <c r="I377" s="281"/>
      <c r="J377" s="281"/>
      <c r="K377" s="280"/>
      <c r="L377" s="280"/>
      <c r="M377" s="244"/>
      <c r="N377" s="280"/>
      <c r="O377" s="244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</row>
    <row r="378" ht="32.25" customHeight="1">
      <c r="A378" s="280"/>
      <c r="B378" s="244"/>
      <c r="C378" s="244"/>
      <c r="D378" s="244"/>
      <c r="E378" s="244"/>
      <c r="F378" s="244"/>
      <c r="G378" s="244"/>
      <c r="H378" s="244"/>
      <c r="I378" s="245"/>
      <c r="J378" s="245"/>
      <c r="K378" s="244"/>
      <c r="L378" s="244"/>
      <c r="M378" s="244"/>
      <c r="N378" s="246"/>
      <c r="O378" s="244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</row>
    <row r="379" ht="32.25" customHeight="1">
      <c r="A379" s="244"/>
      <c r="B379" s="244"/>
      <c r="C379" s="244"/>
      <c r="D379" s="244"/>
      <c r="E379" s="244"/>
      <c r="F379" s="244"/>
      <c r="G379" s="244"/>
      <c r="H379" s="244"/>
      <c r="I379" s="245"/>
      <c r="J379" s="245"/>
      <c r="K379" s="244"/>
      <c r="L379" s="280"/>
      <c r="M379" s="244"/>
      <c r="N379" s="280"/>
      <c r="O379" s="244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</row>
    <row r="380" ht="32.25" customHeight="1">
      <c r="A380" s="260"/>
      <c r="B380" s="280"/>
      <c r="C380" s="244"/>
      <c r="D380" s="244"/>
      <c r="E380" s="280"/>
      <c r="F380" s="244"/>
      <c r="G380" s="244"/>
      <c r="H380" s="280"/>
      <c r="I380" s="281"/>
      <c r="J380" s="281"/>
      <c r="K380" s="244"/>
      <c r="L380" s="280"/>
      <c r="M380" s="244"/>
      <c r="N380" s="280"/>
      <c r="O380" s="244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</row>
    <row r="381" ht="32.25" customHeight="1">
      <c r="A381" s="244"/>
      <c r="B381" s="244"/>
      <c r="C381" s="244"/>
      <c r="D381" s="244"/>
      <c r="E381" s="244"/>
      <c r="F381" s="244"/>
      <c r="G381" s="244"/>
      <c r="H381" s="244"/>
      <c r="I381" s="245"/>
      <c r="J381" s="245"/>
      <c r="K381" s="244"/>
      <c r="L381" s="244"/>
      <c r="M381" s="244"/>
      <c r="N381" s="246"/>
      <c r="O381" s="244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</row>
    <row r="382" ht="32.25" customHeight="1">
      <c r="A382" s="260"/>
      <c r="B382" s="244"/>
      <c r="C382" s="244"/>
      <c r="D382" s="244"/>
      <c r="E382" s="244"/>
      <c r="F382" s="244"/>
      <c r="G382" s="244"/>
      <c r="H382" s="244"/>
      <c r="I382" s="245"/>
      <c r="J382" s="245"/>
      <c r="K382" s="244"/>
      <c r="L382" s="244"/>
      <c r="M382" s="244"/>
      <c r="N382" s="246"/>
      <c r="O382" s="244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</row>
    <row r="383" ht="35.25" customHeight="1">
      <c r="A383" s="244"/>
      <c r="B383" s="244"/>
      <c r="C383" s="244"/>
      <c r="D383" s="244"/>
      <c r="E383" s="244"/>
      <c r="F383" s="244"/>
      <c r="G383" s="244"/>
      <c r="H383" s="244"/>
      <c r="I383" s="259"/>
      <c r="J383" s="245"/>
      <c r="K383" s="244"/>
      <c r="L383" s="246"/>
      <c r="M383" s="244"/>
      <c r="N383" s="246"/>
      <c r="O383" s="246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</row>
    <row r="384" ht="35.25" customHeight="1">
      <c r="A384" s="244"/>
      <c r="B384" s="244"/>
      <c r="C384" s="246"/>
      <c r="D384" s="246"/>
      <c r="E384" s="246"/>
      <c r="F384" s="246"/>
      <c r="G384" s="246"/>
      <c r="H384" s="246"/>
      <c r="I384" s="282"/>
      <c r="J384" s="282"/>
      <c r="K384" s="246"/>
      <c r="L384" s="246"/>
      <c r="M384" s="246"/>
      <c r="N384" s="246"/>
      <c r="O384" s="246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</row>
    <row r="385" ht="35.25" customHeight="1">
      <c r="A385" s="244"/>
      <c r="B385" s="244"/>
      <c r="C385" s="244"/>
      <c r="D385" s="280"/>
      <c r="E385" s="280"/>
      <c r="F385" s="280"/>
      <c r="G385" s="280"/>
      <c r="H385" s="280"/>
      <c r="I385" s="282"/>
      <c r="J385" s="282"/>
      <c r="K385" s="280"/>
      <c r="L385" s="280"/>
      <c r="M385" s="244"/>
      <c r="N385" s="246"/>
      <c r="O385" s="280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</row>
    <row r="386" ht="32.25" customHeight="1">
      <c r="A386" s="244"/>
      <c r="B386" s="244"/>
      <c r="C386" s="244"/>
      <c r="D386" s="244"/>
      <c r="E386" s="244"/>
      <c r="F386" s="244"/>
      <c r="G386" s="244"/>
      <c r="H386" s="244"/>
      <c r="I386" s="245"/>
      <c r="J386" s="245"/>
      <c r="K386" s="244"/>
      <c r="L386" s="244"/>
      <c r="M386" s="244"/>
      <c r="N386" s="246"/>
      <c r="O386" s="244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</row>
    <row r="387" ht="32.25" customHeight="1">
      <c r="A387" s="260"/>
      <c r="B387" s="244"/>
      <c r="C387" s="244"/>
      <c r="D387" s="244"/>
      <c r="E387" s="244"/>
      <c r="F387" s="244"/>
      <c r="G387" s="244"/>
      <c r="H387" s="244"/>
      <c r="I387" s="245"/>
      <c r="J387" s="245"/>
      <c r="K387" s="244"/>
      <c r="L387" s="244"/>
      <c r="M387" s="244"/>
      <c r="N387" s="246"/>
      <c r="O387" s="244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</row>
    <row r="388" ht="32.25" customHeight="1">
      <c r="A388" s="244"/>
      <c r="B388" s="244"/>
      <c r="C388" s="244"/>
      <c r="D388" s="244"/>
      <c r="E388" s="244"/>
      <c r="F388" s="244"/>
      <c r="G388" s="244"/>
      <c r="H388" s="244"/>
      <c r="I388" s="245"/>
      <c r="J388" s="245"/>
      <c r="K388" s="244"/>
      <c r="L388" s="244"/>
      <c r="M388" s="244"/>
      <c r="N388" s="246"/>
      <c r="O388" s="244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</row>
    <row r="389" ht="32.25" customHeight="1">
      <c r="A389" s="260"/>
      <c r="B389" s="244"/>
      <c r="C389" s="244"/>
      <c r="D389" s="244"/>
      <c r="E389" s="244"/>
      <c r="F389" s="244"/>
      <c r="G389" s="244"/>
      <c r="H389" s="244"/>
      <c r="I389" s="245"/>
      <c r="J389" s="245"/>
      <c r="K389" s="244"/>
      <c r="L389" s="244"/>
      <c r="M389" s="244"/>
      <c r="N389" s="246"/>
      <c r="O389" s="244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</row>
    <row r="390" ht="32.25" customHeight="1">
      <c r="A390" s="244"/>
      <c r="B390" s="244"/>
      <c r="C390" s="244"/>
      <c r="D390" s="244"/>
      <c r="E390" s="244"/>
      <c r="F390" s="244"/>
      <c r="G390" s="244"/>
      <c r="H390" s="244"/>
      <c r="I390" s="245"/>
      <c r="J390" s="245"/>
      <c r="K390" s="244"/>
      <c r="L390" s="244"/>
      <c r="M390" s="244"/>
      <c r="N390" s="246"/>
      <c r="O390" s="244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</row>
    <row r="391" ht="35.25" customHeight="1">
      <c r="A391" s="244"/>
      <c r="B391" s="244"/>
      <c r="C391" s="244"/>
      <c r="D391" s="244"/>
      <c r="E391" s="244"/>
      <c r="F391" s="244"/>
      <c r="G391" s="244"/>
      <c r="H391" s="244"/>
      <c r="I391" s="245"/>
      <c r="J391" s="245"/>
      <c r="K391" s="244"/>
      <c r="L391" s="280"/>
      <c r="M391" s="244"/>
      <c r="N391" s="246"/>
      <c r="O391" s="244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</row>
    <row r="392" ht="35.25" customHeight="1">
      <c r="A392" s="244"/>
      <c r="B392" s="244"/>
      <c r="C392" s="244"/>
      <c r="D392" s="244"/>
      <c r="E392" s="246"/>
      <c r="F392" s="246"/>
      <c r="G392" s="246"/>
      <c r="H392" s="246"/>
      <c r="I392" s="282"/>
      <c r="J392" s="282"/>
      <c r="K392" s="246"/>
      <c r="L392" s="246"/>
      <c r="M392" s="244"/>
      <c r="N392" s="246"/>
      <c r="O392" s="246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</row>
    <row r="393" ht="35.25" customHeight="1">
      <c r="A393" s="244"/>
      <c r="B393" s="244"/>
      <c r="C393" s="244"/>
      <c r="D393" s="244"/>
      <c r="E393" s="244"/>
      <c r="F393" s="244"/>
      <c r="G393" s="244"/>
      <c r="H393" s="244"/>
      <c r="I393" s="245"/>
      <c r="J393" s="245"/>
      <c r="K393" s="244"/>
      <c r="L393" s="280"/>
      <c r="M393" s="244"/>
      <c r="N393" s="246"/>
      <c r="O393" s="244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</row>
    <row r="394" ht="35.25" customHeight="1">
      <c r="A394" s="244"/>
      <c r="B394" s="244"/>
      <c r="C394" s="244"/>
      <c r="D394" s="244"/>
      <c r="E394" s="244"/>
      <c r="F394" s="244"/>
      <c r="G394" s="244"/>
      <c r="H394" s="244"/>
      <c r="I394" s="282"/>
      <c r="J394" s="282"/>
      <c r="K394" s="244"/>
      <c r="L394" s="244"/>
      <c r="M394" s="244"/>
      <c r="N394" s="244"/>
      <c r="O394" s="244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</row>
    <row r="395" ht="35.25" customHeight="1">
      <c r="A395" s="244"/>
      <c r="B395" s="246"/>
      <c r="C395" s="244"/>
      <c r="D395" s="244"/>
      <c r="E395" s="246"/>
      <c r="F395" s="246"/>
      <c r="G395" s="246"/>
      <c r="H395" s="246"/>
      <c r="I395" s="282"/>
      <c r="J395" s="282"/>
      <c r="K395" s="246"/>
      <c r="L395" s="246"/>
      <c r="M395" s="244"/>
      <c r="N395" s="246"/>
      <c r="O395" s="246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</row>
    <row r="396" ht="29.25" customHeight="1">
      <c r="A396" s="186"/>
      <c r="B396" s="187"/>
      <c r="C396" s="186"/>
      <c r="D396" s="186"/>
      <c r="E396" s="186"/>
      <c r="F396" s="186"/>
      <c r="G396" s="186"/>
      <c r="H396" s="186"/>
      <c r="I396" s="188"/>
      <c r="J396" s="188"/>
      <c r="K396" s="186"/>
      <c r="L396" s="186"/>
      <c r="M396" s="186"/>
      <c r="N396" s="189"/>
      <c r="O396" s="186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</row>
    <row r="397" ht="35.25" customHeight="1">
      <c r="A397" s="244"/>
      <c r="B397" s="244"/>
      <c r="C397" s="244"/>
      <c r="D397" s="244"/>
      <c r="E397" s="244"/>
      <c r="F397" s="244"/>
      <c r="G397" s="244"/>
      <c r="H397" s="244"/>
      <c r="I397" s="281"/>
      <c r="J397" s="281"/>
      <c r="K397" s="244"/>
      <c r="L397" s="244"/>
      <c r="M397" s="244"/>
      <c r="N397" s="246"/>
      <c r="O397" s="244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</row>
    <row r="398" ht="32.25" customHeight="1">
      <c r="A398" s="260"/>
      <c r="B398" s="244"/>
      <c r="C398" s="244"/>
      <c r="D398" s="244"/>
      <c r="E398" s="280"/>
      <c r="F398" s="244"/>
      <c r="G398" s="244"/>
      <c r="H398" s="244"/>
      <c r="I398" s="245"/>
      <c r="J398" s="245"/>
      <c r="K398" s="244"/>
      <c r="L398" s="246"/>
      <c r="M398" s="244"/>
      <c r="N398" s="280"/>
      <c r="O398" s="244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</row>
    <row r="399" ht="32.25" customHeight="1">
      <c r="A399" s="244"/>
      <c r="B399" s="244"/>
      <c r="C399" s="244"/>
      <c r="D399" s="244"/>
      <c r="E399" s="280"/>
      <c r="F399" s="244"/>
      <c r="G399" s="244"/>
      <c r="H399" s="244"/>
      <c r="I399" s="245"/>
      <c r="J399" s="245"/>
      <c r="K399" s="244"/>
      <c r="L399" s="246"/>
      <c r="M399" s="244"/>
      <c r="N399" s="280"/>
      <c r="O399" s="244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</row>
    <row r="400" ht="32.25" customHeight="1">
      <c r="A400" s="260"/>
      <c r="B400" s="244"/>
      <c r="C400" s="244"/>
      <c r="D400" s="244"/>
      <c r="E400" s="244"/>
      <c r="F400" s="244"/>
      <c r="G400" s="244"/>
      <c r="H400" s="244"/>
      <c r="I400" s="245"/>
      <c r="J400" s="245"/>
      <c r="K400" s="244"/>
      <c r="L400" s="244"/>
      <c r="M400" s="244"/>
      <c r="N400" s="246"/>
      <c r="O400" s="244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</row>
    <row r="401" ht="32.25" customHeight="1">
      <c r="A401" s="244"/>
      <c r="B401" s="280"/>
      <c r="C401" s="244"/>
      <c r="D401" s="244"/>
      <c r="E401" s="280"/>
      <c r="F401" s="244"/>
      <c r="G401" s="244"/>
      <c r="H401" s="280"/>
      <c r="I401" s="281"/>
      <c r="J401" s="281"/>
      <c r="K401" s="244"/>
      <c r="L401" s="280"/>
      <c r="M401" s="244"/>
      <c r="N401" s="280"/>
      <c r="O401" s="244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</row>
    <row r="402" ht="32.25" customHeight="1">
      <c r="A402" s="260"/>
      <c r="B402" s="244"/>
      <c r="C402" s="244"/>
      <c r="D402" s="244"/>
      <c r="E402" s="244"/>
      <c r="F402" s="244"/>
      <c r="G402" s="244"/>
      <c r="H402" s="244"/>
      <c r="I402" s="245"/>
      <c r="J402" s="245"/>
      <c r="K402" s="244"/>
      <c r="L402" s="244"/>
      <c r="M402" s="244"/>
      <c r="N402" s="246"/>
      <c r="O402" s="244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</row>
    <row r="403" ht="32.25" customHeight="1">
      <c r="A403" s="244"/>
      <c r="B403" s="244"/>
      <c r="C403" s="244"/>
      <c r="D403" s="244"/>
      <c r="E403" s="244"/>
      <c r="F403" s="244"/>
      <c r="G403" s="244"/>
      <c r="H403" s="244"/>
      <c r="I403" s="245"/>
      <c r="J403" s="245"/>
      <c r="K403" s="244"/>
      <c r="L403" s="280"/>
      <c r="M403" s="244"/>
      <c r="N403" s="246"/>
      <c r="O403" s="244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</row>
    <row r="404" ht="32.25" customHeight="1">
      <c r="A404" s="260"/>
      <c r="B404" s="244"/>
      <c r="C404" s="244"/>
      <c r="D404" s="244"/>
      <c r="E404" s="244"/>
      <c r="F404" s="244"/>
      <c r="G404" s="244"/>
      <c r="H404" s="244"/>
      <c r="I404" s="245"/>
      <c r="J404" s="245"/>
      <c r="K404" s="244"/>
      <c r="L404" s="244"/>
      <c r="M404" s="244"/>
      <c r="N404" s="246"/>
      <c r="O404" s="244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</row>
    <row r="405" ht="32.25" customHeight="1">
      <c r="A405" s="244"/>
      <c r="B405" s="244"/>
      <c r="C405" s="244"/>
      <c r="D405" s="244"/>
      <c r="E405" s="244"/>
      <c r="F405" s="244"/>
      <c r="G405" s="244"/>
      <c r="H405" s="244"/>
      <c r="I405" s="245"/>
      <c r="J405" s="245"/>
      <c r="K405" s="244"/>
      <c r="L405" s="244"/>
      <c r="M405" s="244"/>
      <c r="N405" s="246"/>
      <c r="O405" s="244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</row>
    <row r="406" ht="32.25" customHeight="1">
      <c r="A406" s="260"/>
      <c r="B406" s="244"/>
      <c r="C406" s="244"/>
      <c r="D406" s="244"/>
      <c r="E406" s="244"/>
      <c r="F406" s="244"/>
      <c r="G406" s="244"/>
      <c r="H406" s="244"/>
      <c r="I406" s="245"/>
      <c r="J406" s="245"/>
      <c r="K406" s="244"/>
      <c r="L406" s="244"/>
      <c r="M406" s="244"/>
      <c r="N406" s="246"/>
      <c r="O406" s="244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</row>
    <row r="407" ht="32.25" customHeight="1">
      <c r="A407" s="244"/>
      <c r="B407" s="244"/>
      <c r="C407" s="244"/>
      <c r="D407" s="244"/>
      <c r="E407" s="280"/>
      <c r="F407" s="244"/>
      <c r="G407" s="244"/>
      <c r="H407" s="244"/>
      <c r="I407" s="245"/>
      <c r="J407" s="245"/>
      <c r="K407" s="244"/>
      <c r="L407" s="246"/>
      <c r="M407" s="244"/>
      <c r="N407" s="280"/>
      <c r="O407" s="244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</row>
    <row r="408" ht="33.75" customHeight="1">
      <c r="A408" s="244"/>
      <c r="B408" s="246"/>
      <c r="C408" s="244"/>
      <c r="D408" s="244"/>
      <c r="E408" s="246"/>
      <c r="F408" s="246"/>
      <c r="G408" s="244"/>
      <c r="H408" s="246"/>
      <c r="I408" s="282"/>
      <c r="J408" s="282"/>
      <c r="K408" s="244"/>
      <c r="L408" s="246"/>
      <c r="M408" s="244"/>
      <c r="N408" s="246"/>
      <c r="O408" s="246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</row>
    <row r="409" ht="33.0" customHeight="1">
      <c r="A409" s="186"/>
      <c r="B409" s="187"/>
      <c r="C409" s="186"/>
      <c r="D409" s="186"/>
      <c r="E409" s="186"/>
      <c r="F409" s="186"/>
      <c r="G409" s="186"/>
      <c r="H409" s="186"/>
      <c r="I409" s="188"/>
      <c r="J409" s="188"/>
      <c r="K409" s="186"/>
      <c r="L409" s="186"/>
      <c r="M409" s="186"/>
      <c r="N409" s="189"/>
      <c r="O409" s="186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</row>
    <row r="410" ht="33.0" customHeight="1">
      <c r="A410" s="186"/>
      <c r="B410" s="187"/>
      <c r="C410" s="186"/>
      <c r="D410" s="186"/>
      <c r="E410" s="186"/>
      <c r="F410" s="186"/>
      <c r="G410" s="186"/>
      <c r="H410" s="186"/>
      <c r="I410" s="188"/>
      <c r="J410" s="188"/>
      <c r="K410" s="186"/>
      <c r="L410" s="186"/>
      <c r="M410" s="186"/>
      <c r="N410" s="189"/>
      <c r="O410" s="186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</row>
    <row r="411" ht="35.25" customHeight="1">
      <c r="A411" s="244"/>
      <c r="B411" s="244"/>
      <c r="C411" s="244"/>
      <c r="D411" s="244"/>
      <c r="E411" s="246"/>
      <c r="F411" s="246"/>
      <c r="G411" s="244"/>
      <c r="H411" s="246"/>
      <c r="I411" s="282"/>
      <c r="J411" s="282"/>
      <c r="K411" s="244"/>
      <c r="L411" s="246"/>
      <c r="M411" s="244"/>
      <c r="N411" s="246"/>
      <c r="O411" s="246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</row>
    <row r="412" ht="35.25" customHeight="1">
      <c r="A412" s="244"/>
      <c r="B412" s="246"/>
      <c r="C412" s="244"/>
      <c r="D412" s="244"/>
      <c r="E412" s="244"/>
      <c r="F412" s="244"/>
      <c r="G412" s="244"/>
      <c r="H412" s="244"/>
      <c r="I412" s="245"/>
      <c r="J412" s="245"/>
      <c r="K412" s="244"/>
      <c r="L412" s="244"/>
      <c r="M412" s="244"/>
      <c r="N412" s="246"/>
      <c r="O412" s="244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</row>
    <row r="413" ht="35.25" customHeight="1">
      <c r="A413" s="244"/>
      <c r="B413" s="244"/>
      <c r="C413" s="244"/>
      <c r="D413" s="244"/>
      <c r="E413" s="244"/>
      <c r="F413" s="244"/>
      <c r="G413" s="244"/>
      <c r="H413" s="244"/>
      <c r="I413" s="245"/>
      <c r="J413" s="245"/>
      <c r="K413" s="244"/>
      <c r="L413" s="246"/>
      <c r="M413" s="244"/>
      <c r="N413" s="246"/>
      <c r="O413" s="246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</row>
    <row r="414" ht="32.25" customHeight="1">
      <c r="A414" s="244"/>
      <c r="B414" s="244"/>
      <c r="C414" s="244"/>
      <c r="D414" s="244"/>
      <c r="E414" s="244"/>
      <c r="F414" s="244"/>
      <c r="G414" s="244"/>
      <c r="H414" s="244"/>
      <c r="I414" s="279"/>
      <c r="J414" s="245"/>
      <c r="K414" s="244"/>
      <c r="L414" s="244"/>
      <c r="M414" s="244"/>
      <c r="N414" s="246"/>
      <c r="O414" s="244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</row>
    <row r="415" ht="32.25" customHeight="1">
      <c r="A415" s="244"/>
      <c r="B415" s="244"/>
      <c r="C415" s="244"/>
      <c r="D415" s="244"/>
      <c r="E415" s="244"/>
      <c r="F415" s="244"/>
      <c r="G415" s="244"/>
      <c r="H415" s="186"/>
      <c r="I415" s="245"/>
      <c r="J415" s="245"/>
      <c r="K415" s="244"/>
      <c r="L415" s="244"/>
      <c r="M415" s="244"/>
      <c r="N415" s="246"/>
      <c r="O415" s="244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</row>
    <row r="416" ht="35.25" customHeight="1">
      <c r="A416" s="244"/>
      <c r="B416" s="280"/>
      <c r="C416" s="244"/>
      <c r="D416" s="244"/>
      <c r="E416" s="280"/>
      <c r="F416" s="244"/>
      <c r="G416" s="244"/>
      <c r="H416" s="244"/>
      <c r="I416" s="245"/>
      <c r="J416" s="245"/>
      <c r="K416" s="244"/>
      <c r="L416" s="246"/>
      <c r="M416" s="244"/>
      <c r="N416" s="246"/>
      <c r="O416" s="244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</row>
    <row r="417" ht="35.25" customHeight="1">
      <c r="A417" s="244"/>
      <c r="B417" s="244"/>
      <c r="C417" s="244"/>
      <c r="D417" s="244"/>
      <c r="E417" s="244"/>
      <c r="F417" s="244"/>
      <c r="G417" s="244"/>
      <c r="H417" s="246"/>
      <c r="I417" s="282"/>
      <c r="J417" s="282"/>
      <c r="K417" s="244"/>
      <c r="L417" s="246"/>
      <c r="M417" s="244"/>
      <c r="N417" s="246"/>
      <c r="O417" s="246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</row>
    <row r="418" ht="32.25" customHeight="1">
      <c r="A418" s="260"/>
      <c r="B418" s="244"/>
      <c r="C418" s="244"/>
      <c r="D418" s="244"/>
      <c r="E418" s="244"/>
      <c r="F418" s="244"/>
      <c r="G418" s="244"/>
      <c r="H418" s="244"/>
      <c r="I418" s="245"/>
      <c r="J418" s="245"/>
      <c r="K418" s="244"/>
      <c r="L418" s="244"/>
      <c r="M418" s="244"/>
      <c r="N418" s="246"/>
      <c r="O418" s="244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</row>
    <row r="419" ht="32.25" customHeight="1">
      <c r="A419" s="244"/>
      <c r="B419" s="244"/>
      <c r="C419" s="244"/>
      <c r="D419" s="244"/>
      <c r="E419" s="244"/>
      <c r="F419" s="244"/>
      <c r="G419" s="244"/>
      <c r="H419" s="244"/>
      <c r="I419" s="245"/>
      <c r="J419" s="245"/>
      <c r="K419" s="244"/>
      <c r="L419" s="244"/>
      <c r="M419" s="244"/>
      <c r="N419" s="246"/>
      <c r="O419" s="244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</row>
    <row r="420" ht="35.25" customHeight="1">
      <c r="A420" s="244"/>
      <c r="B420" s="244"/>
      <c r="C420" s="244"/>
      <c r="D420" s="244"/>
      <c r="E420" s="244"/>
      <c r="F420" s="244"/>
      <c r="G420" s="244"/>
      <c r="H420" s="244"/>
      <c r="I420" s="282"/>
      <c r="J420" s="282"/>
      <c r="K420" s="244"/>
      <c r="L420" s="244"/>
      <c r="M420" s="244"/>
      <c r="N420" s="244"/>
      <c r="O420" s="244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</row>
    <row r="421" ht="35.25" customHeight="1">
      <c r="A421" s="244"/>
      <c r="B421" s="244"/>
      <c r="C421" s="244"/>
      <c r="D421" s="244"/>
      <c r="E421" s="244"/>
      <c r="F421" s="244"/>
      <c r="G421" s="244"/>
      <c r="H421" s="244"/>
      <c r="I421" s="282"/>
      <c r="J421" s="282"/>
      <c r="K421" s="244"/>
      <c r="L421" s="244"/>
      <c r="M421" s="244"/>
      <c r="N421" s="244"/>
      <c r="O421" s="244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</row>
    <row r="422" ht="35.25" customHeight="1">
      <c r="A422" s="244"/>
      <c r="B422" s="244"/>
      <c r="C422" s="244"/>
      <c r="D422" s="244"/>
      <c r="E422" s="244"/>
      <c r="F422" s="244"/>
      <c r="G422" s="244"/>
      <c r="H422" s="244"/>
      <c r="I422" s="282"/>
      <c r="J422" s="282"/>
      <c r="K422" s="244"/>
      <c r="L422" s="244"/>
      <c r="M422" s="244"/>
      <c r="N422" s="246"/>
      <c r="O422" s="244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</row>
    <row r="423" ht="33.0" customHeight="1">
      <c r="A423" s="186"/>
      <c r="B423" s="187"/>
      <c r="C423" s="186"/>
      <c r="D423" s="186"/>
      <c r="E423" s="186"/>
      <c r="F423" s="186"/>
      <c r="G423" s="186"/>
      <c r="H423" s="186"/>
      <c r="I423" s="188"/>
      <c r="J423" s="188"/>
      <c r="K423" s="186"/>
      <c r="L423" s="186"/>
      <c r="M423" s="186"/>
      <c r="N423" s="189"/>
      <c r="O423" s="186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</row>
    <row r="424" ht="35.25" customHeight="1">
      <c r="A424" s="244"/>
      <c r="B424" s="244"/>
      <c r="C424" s="244"/>
      <c r="D424" s="244"/>
      <c r="E424" s="246"/>
      <c r="F424" s="244"/>
      <c r="G424" s="246"/>
      <c r="H424" s="246"/>
      <c r="I424" s="282"/>
      <c r="J424" s="282"/>
      <c r="K424" s="246"/>
      <c r="L424" s="246"/>
      <c r="M424" s="244"/>
      <c r="N424" s="246"/>
      <c r="O424" s="246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</row>
    <row r="425" ht="35.25" customHeight="1">
      <c r="A425" s="244"/>
      <c r="B425" s="244"/>
      <c r="C425" s="244"/>
      <c r="D425" s="244"/>
      <c r="E425" s="244"/>
      <c r="F425" s="244"/>
      <c r="G425" s="244"/>
      <c r="H425" s="244"/>
      <c r="I425" s="282"/>
      <c r="J425" s="282"/>
      <c r="K425" s="244"/>
      <c r="L425" s="244"/>
      <c r="M425" s="244"/>
      <c r="N425" s="244"/>
      <c r="O425" s="244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</row>
    <row r="426" ht="35.25" customHeight="1">
      <c r="A426" s="244"/>
      <c r="B426" s="244"/>
      <c r="C426" s="244"/>
      <c r="D426" s="244"/>
      <c r="E426" s="246"/>
      <c r="F426" s="244"/>
      <c r="G426" s="244"/>
      <c r="H426" s="246"/>
      <c r="I426" s="282"/>
      <c r="J426" s="282"/>
      <c r="K426" s="244"/>
      <c r="L426" s="246"/>
      <c r="M426" s="244"/>
      <c r="N426" s="246"/>
      <c r="O426" s="246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</row>
    <row r="427" ht="35.25" customHeight="1">
      <c r="A427" s="244"/>
      <c r="B427" s="246"/>
      <c r="C427" s="244"/>
      <c r="D427" s="244"/>
      <c r="E427" s="246"/>
      <c r="F427" s="244"/>
      <c r="G427" s="244"/>
      <c r="H427" s="246"/>
      <c r="I427" s="282"/>
      <c r="J427" s="282"/>
      <c r="K427" s="244"/>
      <c r="L427" s="246"/>
      <c r="M427" s="244"/>
      <c r="N427" s="246"/>
      <c r="O427" s="246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</row>
    <row r="428" ht="35.25" customHeight="1">
      <c r="A428" s="244"/>
      <c r="B428" s="244"/>
      <c r="C428" s="244"/>
      <c r="D428" s="244"/>
      <c r="E428" s="244"/>
      <c r="F428" s="244"/>
      <c r="G428" s="244"/>
      <c r="H428" s="244"/>
      <c r="I428" s="245"/>
      <c r="J428" s="245"/>
      <c r="K428" s="244"/>
      <c r="L428" s="280"/>
      <c r="M428" s="244"/>
      <c r="N428" s="246"/>
      <c r="O428" s="244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</row>
    <row r="429" ht="35.25" customHeight="1">
      <c r="A429" s="244"/>
      <c r="B429" s="246"/>
      <c r="C429" s="244"/>
      <c r="D429" s="244"/>
      <c r="E429" s="244"/>
      <c r="F429" s="244"/>
      <c r="G429" s="244"/>
      <c r="H429" s="244"/>
      <c r="I429" s="282"/>
      <c r="J429" s="282"/>
      <c r="K429" s="244"/>
      <c r="L429" s="244"/>
      <c r="M429" s="244"/>
      <c r="N429" s="244"/>
      <c r="O429" s="244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</row>
    <row r="430" ht="35.25" customHeight="1">
      <c r="A430" s="244"/>
      <c r="B430" s="244"/>
      <c r="C430" s="244"/>
      <c r="D430" s="244"/>
      <c r="E430" s="244"/>
      <c r="F430" s="244"/>
      <c r="G430" s="244"/>
      <c r="H430" s="244"/>
      <c r="I430" s="245"/>
      <c r="J430" s="245"/>
      <c r="K430" s="244"/>
      <c r="L430" s="244"/>
      <c r="M430" s="244"/>
      <c r="N430" s="244"/>
      <c r="O430" s="244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</row>
    <row r="431" ht="35.25" customHeight="1">
      <c r="A431" s="244"/>
      <c r="B431" s="244"/>
      <c r="C431" s="244"/>
      <c r="D431" s="244"/>
      <c r="E431" s="244"/>
      <c r="F431" s="244"/>
      <c r="G431" s="244"/>
      <c r="H431" s="244"/>
      <c r="I431" s="245"/>
      <c r="J431" s="245"/>
      <c r="K431" s="244"/>
      <c r="L431" s="280"/>
      <c r="M431" s="244"/>
      <c r="N431" s="246"/>
      <c r="O431" s="244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</row>
    <row r="432" ht="35.25" customHeight="1">
      <c r="A432" s="244"/>
      <c r="B432" s="244"/>
      <c r="C432" s="244"/>
      <c r="D432" s="244"/>
      <c r="E432" s="246"/>
      <c r="F432" s="246"/>
      <c r="G432" s="244"/>
      <c r="H432" s="246"/>
      <c r="I432" s="282"/>
      <c r="J432" s="282"/>
      <c r="K432" s="244"/>
      <c r="L432" s="246"/>
      <c r="M432" s="244"/>
      <c r="N432" s="246"/>
      <c r="O432" s="246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</row>
    <row r="433" ht="35.25" customHeight="1">
      <c r="A433" s="244"/>
      <c r="B433" s="246"/>
      <c r="C433" s="244"/>
      <c r="D433" s="244"/>
      <c r="E433" s="244"/>
      <c r="F433" s="244"/>
      <c r="G433" s="244"/>
      <c r="H433" s="244"/>
      <c r="I433" s="245"/>
      <c r="J433" s="245"/>
      <c r="K433" s="244"/>
      <c r="L433" s="280"/>
      <c r="M433" s="244"/>
      <c r="N433" s="280"/>
      <c r="O433" s="244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</row>
    <row r="434" ht="32.25" customHeight="1">
      <c r="A434" s="260"/>
      <c r="B434" s="280"/>
      <c r="C434" s="244"/>
      <c r="D434" s="244"/>
      <c r="E434" s="280"/>
      <c r="F434" s="244"/>
      <c r="G434" s="244"/>
      <c r="H434" s="280"/>
      <c r="I434" s="281"/>
      <c r="J434" s="281"/>
      <c r="K434" s="244"/>
      <c r="L434" s="280"/>
      <c r="M434" s="244"/>
      <c r="N434" s="280"/>
      <c r="O434" s="244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</row>
    <row r="435" ht="32.25" customHeight="1">
      <c r="A435" s="244"/>
      <c r="B435" s="244"/>
      <c r="C435" s="244"/>
      <c r="D435" s="244"/>
      <c r="E435" s="244"/>
      <c r="F435" s="244"/>
      <c r="G435" s="244"/>
      <c r="H435" s="244"/>
      <c r="I435" s="245"/>
      <c r="J435" s="245"/>
      <c r="K435" s="244"/>
      <c r="L435" s="244"/>
      <c r="M435" s="244"/>
      <c r="N435" s="246"/>
      <c r="O435" s="244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</row>
    <row r="436" ht="32.25" customHeight="1">
      <c r="A436" s="260"/>
      <c r="B436" s="244"/>
      <c r="C436" s="244"/>
      <c r="D436" s="244"/>
      <c r="E436" s="244"/>
      <c r="F436" s="244"/>
      <c r="G436" s="244"/>
      <c r="H436" s="244"/>
      <c r="I436" s="245"/>
      <c r="J436" s="245"/>
      <c r="K436" s="244"/>
      <c r="L436" s="244"/>
      <c r="M436" s="244"/>
      <c r="N436" s="246"/>
      <c r="O436" s="244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</row>
    <row r="437" ht="32.25" customHeight="1">
      <c r="A437" s="244"/>
      <c r="B437" s="244"/>
      <c r="C437" s="244"/>
      <c r="D437" s="244"/>
      <c r="E437" s="280"/>
      <c r="F437" s="244"/>
      <c r="G437" s="244"/>
      <c r="H437" s="244"/>
      <c r="I437" s="245"/>
      <c r="J437" s="245"/>
      <c r="K437" s="244"/>
      <c r="L437" s="246"/>
      <c r="M437" s="244"/>
      <c r="N437" s="280"/>
      <c r="O437" s="244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</row>
    <row r="438">
      <c r="A438" s="244"/>
      <c r="B438" s="244"/>
      <c r="C438" s="244"/>
      <c r="D438" s="244"/>
      <c r="E438" s="244"/>
      <c r="F438" s="244"/>
      <c r="G438" s="244"/>
      <c r="H438" s="246"/>
      <c r="I438" s="282"/>
      <c r="J438" s="282"/>
      <c r="K438" s="244"/>
      <c r="L438" s="246"/>
      <c r="M438" s="244"/>
      <c r="N438" s="246"/>
      <c r="O438" s="246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</row>
    <row r="439" ht="32.25" customHeight="1">
      <c r="A439" s="260"/>
      <c r="B439" s="244"/>
      <c r="C439" s="244"/>
      <c r="D439" s="244"/>
      <c r="E439" s="244"/>
      <c r="F439" s="244"/>
      <c r="G439" s="244"/>
      <c r="H439" s="244"/>
      <c r="I439" s="279"/>
      <c r="J439" s="245"/>
      <c r="K439" s="244"/>
      <c r="L439" s="244"/>
      <c r="M439" s="244"/>
      <c r="N439" s="246"/>
      <c r="O439" s="244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</row>
    <row r="440" ht="32.25" customHeight="1">
      <c r="A440" s="244"/>
      <c r="B440" s="244"/>
      <c r="C440" s="244"/>
      <c r="D440" s="244"/>
      <c r="E440" s="244"/>
      <c r="F440" s="244"/>
      <c r="G440" s="244"/>
      <c r="H440" s="244"/>
      <c r="I440" s="245"/>
      <c r="J440" s="245"/>
      <c r="K440" s="244"/>
      <c r="L440" s="244"/>
      <c r="M440" s="244"/>
      <c r="N440" s="246"/>
      <c r="O440" s="244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</row>
    <row r="441" ht="32.25" customHeight="1">
      <c r="A441" s="260"/>
      <c r="B441" s="280"/>
      <c r="C441" s="244"/>
      <c r="D441" s="244"/>
      <c r="E441" s="280"/>
      <c r="F441" s="244"/>
      <c r="G441" s="244"/>
      <c r="H441" s="280"/>
      <c r="I441" s="281"/>
      <c r="J441" s="281"/>
      <c r="K441" s="244"/>
      <c r="L441" s="280"/>
      <c r="M441" s="244"/>
      <c r="N441" s="280"/>
      <c r="O441" s="244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</row>
    <row r="442" ht="32.25" customHeight="1">
      <c r="A442" s="244"/>
      <c r="B442" s="280"/>
      <c r="C442" s="280"/>
      <c r="D442" s="244"/>
      <c r="E442" s="280"/>
      <c r="F442" s="280"/>
      <c r="G442" s="244"/>
      <c r="H442" s="280"/>
      <c r="I442" s="281"/>
      <c r="J442" s="281"/>
      <c r="K442" s="280"/>
      <c r="L442" s="280"/>
      <c r="M442" s="244"/>
      <c r="N442" s="280"/>
      <c r="O442" s="244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</row>
    <row r="443" ht="32.25" customHeight="1">
      <c r="A443" s="260"/>
      <c r="B443" s="280"/>
      <c r="C443" s="244"/>
      <c r="D443" s="244"/>
      <c r="E443" s="280"/>
      <c r="F443" s="244"/>
      <c r="G443" s="244"/>
      <c r="H443" s="280"/>
      <c r="I443" s="281"/>
      <c r="J443" s="281"/>
      <c r="K443" s="280"/>
      <c r="L443" s="280"/>
      <c r="M443" s="244"/>
      <c r="N443" s="280"/>
      <c r="O443" s="244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</row>
    <row r="444" ht="32.25" customHeight="1">
      <c r="A444" s="244"/>
      <c r="B444" s="280"/>
      <c r="C444" s="244"/>
      <c r="D444" s="244"/>
      <c r="E444" s="280"/>
      <c r="F444" s="244"/>
      <c r="G444" s="244"/>
      <c r="H444" s="280"/>
      <c r="I444" s="281"/>
      <c r="J444" s="281"/>
      <c r="K444" s="244"/>
      <c r="L444" s="280"/>
      <c r="M444" s="244"/>
      <c r="N444" s="280"/>
      <c r="O444" s="244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</row>
    <row r="445" ht="32.25" customHeight="1">
      <c r="A445" s="260"/>
      <c r="B445" s="244"/>
      <c r="C445" s="244"/>
      <c r="D445" s="244"/>
      <c r="E445" s="244"/>
      <c r="F445" s="244"/>
      <c r="G445" s="244"/>
      <c r="H445" s="244"/>
      <c r="I445" s="245"/>
      <c r="J445" s="245"/>
      <c r="K445" s="244"/>
      <c r="L445" s="244"/>
      <c r="M445" s="244"/>
      <c r="N445" s="246"/>
      <c r="O445" s="244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</row>
    <row r="446" ht="32.25" customHeight="1">
      <c r="A446" s="244"/>
      <c r="B446" s="280"/>
      <c r="C446" s="244"/>
      <c r="D446" s="244"/>
      <c r="E446" s="280"/>
      <c r="F446" s="244"/>
      <c r="G446" s="244"/>
      <c r="H446" s="280"/>
      <c r="I446" s="281"/>
      <c r="J446" s="281"/>
      <c r="K446" s="244"/>
      <c r="L446" s="280"/>
      <c r="M446" s="244"/>
      <c r="N446" s="280"/>
      <c r="O446" s="244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</row>
    <row r="447" ht="32.25" customHeight="1">
      <c r="A447" s="260"/>
      <c r="B447" s="244"/>
      <c r="C447" s="244"/>
      <c r="D447" s="244"/>
      <c r="E447" s="244"/>
      <c r="F447" s="244"/>
      <c r="G447" s="244"/>
      <c r="H447" s="244"/>
      <c r="I447" s="245"/>
      <c r="J447" s="245"/>
      <c r="K447" s="244"/>
      <c r="L447" s="244"/>
      <c r="M447" s="244"/>
      <c r="N447" s="246"/>
      <c r="O447" s="244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</row>
    <row r="448" ht="32.25" customHeight="1">
      <c r="A448" s="244"/>
      <c r="B448" s="280"/>
      <c r="C448" s="244"/>
      <c r="D448" s="244"/>
      <c r="E448" s="280"/>
      <c r="F448" s="244"/>
      <c r="G448" s="244"/>
      <c r="H448" s="280"/>
      <c r="I448" s="281"/>
      <c r="J448" s="281"/>
      <c r="K448" s="244"/>
      <c r="L448" s="280"/>
      <c r="M448" s="244"/>
      <c r="N448" s="280"/>
      <c r="O448" s="244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</row>
    <row r="449" ht="32.25" customHeight="1">
      <c r="A449" s="260"/>
      <c r="B449" s="244"/>
      <c r="C449" s="244"/>
      <c r="D449" s="244"/>
      <c r="E449" s="244"/>
      <c r="F449" s="244"/>
      <c r="G449" s="244"/>
      <c r="H449" s="244"/>
      <c r="I449" s="245"/>
      <c r="J449" s="245"/>
      <c r="K449" s="244"/>
      <c r="L449" s="244"/>
      <c r="M449" s="244"/>
      <c r="N449" s="246"/>
      <c r="O449" s="244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</row>
    <row r="450" ht="32.25" customHeight="1">
      <c r="A450" s="244"/>
      <c r="B450" s="244"/>
      <c r="C450" s="244"/>
      <c r="D450" s="244"/>
      <c r="E450" s="244"/>
      <c r="F450" s="244"/>
      <c r="G450" s="244"/>
      <c r="H450" s="244"/>
      <c r="I450" s="245"/>
      <c r="J450" s="245"/>
      <c r="K450" s="244"/>
      <c r="L450" s="244"/>
      <c r="M450" s="244"/>
      <c r="N450" s="246"/>
      <c r="O450" s="244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</row>
    <row r="451" ht="32.25" customHeight="1">
      <c r="A451" s="260"/>
      <c r="B451" s="280"/>
      <c r="C451" s="244"/>
      <c r="D451" s="280"/>
      <c r="E451" s="280"/>
      <c r="F451" s="280"/>
      <c r="G451" s="244"/>
      <c r="H451" s="280"/>
      <c r="I451" s="281"/>
      <c r="J451" s="281"/>
      <c r="K451" s="280"/>
      <c r="L451" s="280"/>
      <c r="M451" s="244"/>
      <c r="N451" s="280"/>
      <c r="O451" s="244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</row>
    <row r="452" ht="32.25" customHeight="1">
      <c r="A452" s="244"/>
      <c r="B452" s="280"/>
      <c r="C452" s="244"/>
      <c r="D452" s="244"/>
      <c r="E452" s="280"/>
      <c r="F452" s="244"/>
      <c r="G452" s="244"/>
      <c r="H452" s="280"/>
      <c r="I452" s="281"/>
      <c r="J452" s="281"/>
      <c r="K452" s="244"/>
      <c r="L452" s="280"/>
      <c r="M452" s="244"/>
      <c r="N452" s="280"/>
      <c r="O452" s="244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</row>
    <row r="453" ht="32.25" customHeight="1">
      <c r="A453" s="260"/>
      <c r="B453" s="244"/>
      <c r="C453" s="244"/>
      <c r="D453" s="244"/>
      <c r="E453" s="244"/>
      <c r="F453" s="244"/>
      <c r="G453" s="244"/>
      <c r="H453" s="244"/>
      <c r="I453" s="245"/>
      <c r="J453" s="245"/>
      <c r="K453" s="244"/>
      <c r="L453" s="244"/>
      <c r="M453" s="244"/>
      <c r="N453" s="246"/>
      <c r="O453" s="244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</row>
    <row r="454" ht="32.25" customHeight="1">
      <c r="A454" s="244"/>
      <c r="B454" s="244"/>
      <c r="C454" s="244"/>
      <c r="D454" s="244"/>
      <c r="E454" s="244"/>
      <c r="F454" s="244"/>
      <c r="G454" s="244"/>
      <c r="H454" s="244"/>
      <c r="I454" s="245"/>
      <c r="J454" s="245"/>
      <c r="K454" s="244"/>
      <c r="L454" s="244"/>
      <c r="M454" s="244"/>
      <c r="N454" s="246"/>
      <c r="O454" s="244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</row>
    <row r="455" ht="32.25" customHeight="1">
      <c r="A455" s="260"/>
      <c r="B455" s="244"/>
      <c r="C455" s="244"/>
      <c r="D455" s="244"/>
      <c r="E455" s="244"/>
      <c r="F455" s="244"/>
      <c r="G455" s="244"/>
      <c r="H455" s="244"/>
      <c r="I455" s="245"/>
      <c r="J455" s="245"/>
      <c r="K455" s="244"/>
      <c r="L455" s="244"/>
      <c r="M455" s="244"/>
      <c r="N455" s="246"/>
      <c r="O455" s="244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</row>
    <row r="456" ht="32.25" customHeight="1">
      <c r="A456" s="244"/>
      <c r="B456" s="244"/>
      <c r="C456" s="244"/>
      <c r="D456" s="244"/>
      <c r="E456" s="244"/>
      <c r="F456" s="244"/>
      <c r="G456" s="244"/>
      <c r="H456" s="244"/>
      <c r="I456" s="245"/>
      <c r="J456" s="245"/>
      <c r="K456" s="244"/>
      <c r="L456" s="244"/>
      <c r="M456" s="244"/>
      <c r="N456" s="246"/>
      <c r="O456" s="244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</row>
    <row r="457" ht="32.25" customHeight="1">
      <c r="A457" s="260"/>
      <c r="B457" s="244"/>
      <c r="C457" s="244"/>
      <c r="D457" s="244"/>
      <c r="E457" s="244"/>
      <c r="F457" s="244"/>
      <c r="G457" s="244"/>
      <c r="H457" s="244"/>
      <c r="I457" s="245"/>
      <c r="J457" s="245"/>
      <c r="K457" s="244"/>
      <c r="L457" s="244"/>
      <c r="M457" s="244"/>
      <c r="N457" s="246"/>
      <c r="O457" s="244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</row>
    <row r="458" ht="32.25" customHeight="1">
      <c r="A458" s="244"/>
      <c r="B458" s="244"/>
      <c r="C458" s="244"/>
      <c r="D458" s="244"/>
      <c r="E458" s="244"/>
      <c r="F458" s="244"/>
      <c r="G458" s="244"/>
      <c r="H458" s="244"/>
      <c r="I458" s="245"/>
      <c r="J458" s="245"/>
      <c r="K458" s="244"/>
      <c r="L458" s="244"/>
      <c r="M458" s="244"/>
      <c r="N458" s="246"/>
      <c r="O458" s="244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</row>
    <row r="459" ht="32.25" customHeight="1">
      <c r="A459" s="260"/>
      <c r="B459" s="244"/>
      <c r="C459" s="244"/>
      <c r="D459" s="244"/>
      <c r="E459" s="244"/>
      <c r="F459" s="244"/>
      <c r="G459" s="244"/>
      <c r="H459" s="244"/>
      <c r="I459" s="245"/>
      <c r="J459" s="245"/>
      <c r="K459" s="244"/>
      <c r="L459" s="244"/>
      <c r="M459" s="244"/>
      <c r="N459" s="246"/>
      <c r="O459" s="244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</row>
    <row r="460" ht="32.25" customHeight="1">
      <c r="A460" s="244"/>
      <c r="B460" s="244"/>
      <c r="C460" s="244"/>
      <c r="D460" s="244"/>
      <c r="E460" s="244"/>
      <c r="F460" s="244"/>
      <c r="G460" s="244"/>
      <c r="H460" s="244"/>
      <c r="I460" s="245"/>
      <c r="J460" s="245"/>
      <c r="K460" s="244"/>
      <c r="L460" s="244"/>
      <c r="M460" s="244"/>
      <c r="N460" s="246"/>
      <c r="O460" s="244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</row>
    <row r="461" ht="32.25" customHeight="1">
      <c r="A461" s="260"/>
      <c r="B461" s="244"/>
      <c r="C461" s="244"/>
      <c r="D461" s="244"/>
      <c r="E461" s="244"/>
      <c r="F461" s="244"/>
      <c r="G461" s="244"/>
      <c r="H461" s="244"/>
      <c r="I461" s="245"/>
      <c r="J461" s="245"/>
      <c r="K461" s="244"/>
      <c r="L461" s="244"/>
      <c r="M461" s="244"/>
      <c r="N461" s="246"/>
      <c r="O461" s="244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</row>
    <row r="462" ht="32.25" customHeight="1">
      <c r="A462" s="244"/>
      <c r="B462" s="244"/>
      <c r="C462" s="244"/>
      <c r="D462" s="244"/>
      <c r="E462" s="244"/>
      <c r="F462" s="244"/>
      <c r="G462" s="244"/>
      <c r="H462" s="244"/>
      <c r="I462" s="245"/>
      <c r="J462" s="245"/>
      <c r="K462" s="244"/>
      <c r="L462" s="244"/>
      <c r="M462" s="244"/>
      <c r="N462" s="246"/>
      <c r="O462" s="244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</row>
    <row r="463" ht="32.25" customHeight="1">
      <c r="A463" s="260"/>
      <c r="B463" s="244"/>
      <c r="C463" s="244"/>
      <c r="D463" s="244"/>
      <c r="E463" s="244"/>
      <c r="F463" s="244"/>
      <c r="G463" s="244"/>
      <c r="H463" s="244"/>
      <c r="I463" s="245"/>
      <c r="J463" s="245"/>
      <c r="K463" s="244"/>
      <c r="L463" s="244"/>
      <c r="M463" s="244"/>
      <c r="N463" s="246"/>
      <c r="O463" s="244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</row>
    <row r="464" ht="32.25" customHeight="1">
      <c r="A464" s="244"/>
      <c r="B464" s="244"/>
      <c r="C464" s="244"/>
      <c r="D464" s="244"/>
      <c r="E464" s="244"/>
      <c r="F464" s="244"/>
      <c r="G464" s="244"/>
      <c r="H464" s="244"/>
      <c r="I464" s="245"/>
      <c r="J464" s="245"/>
      <c r="K464" s="244"/>
      <c r="L464" s="244"/>
      <c r="M464" s="244"/>
      <c r="N464" s="246"/>
      <c r="O464" s="244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</row>
    <row r="465" ht="32.25" customHeight="1">
      <c r="A465" s="260"/>
      <c r="B465" s="280"/>
      <c r="C465" s="244"/>
      <c r="D465" s="280"/>
      <c r="E465" s="280"/>
      <c r="F465" s="280"/>
      <c r="G465" s="244"/>
      <c r="H465" s="280"/>
      <c r="I465" s="281"/>
      <c r="J465" s="281"/>
      <c r="K465" s="280"/>
      <c r="L465" s="280"/>
      <c r="M465" s="244"/>
      <c r="N465" s="280"/>
      <c r="O465" s="244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</row>
    <row r="466" ht="32.25" customHeight="1">
      <c r="A466" s="244"/>
      <c r="B466" s="244"/>
      <c r="C466" s="244"/>
      <c r="D466" s="244"/>
      <c r="E466" s="244"/>
      <c r="F466" s="244"/>
      <c r="G466" s="244"/>
      <c r="H466" s="244"/>
      <c r="I466" s="245"/>
      <c r="J466" s="245"/>
      <c r="K466" s="244"/>
      <c r="L466" s="244"/>
      <c r="M466" s="244"/>
      <c r="N466" s="246"/>
      <c r="O466" s="244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</row>
    <row r="467" ht="32.25" customHeight="1">
      <c r="A467" s="260"/>
      <c r="B467" s="280"/>
      <c r="C467" s="244"/>
      <c r="D467" s="280"/>
      <c r="E467" s="280"/>
      <c r="F467" s="280"/>
      <c r="G467" s="244"/>
      <c r="H467" s="280"/>
      <c r="I467" s="281"/>
      <c r="J467" s="281"/>
      <c r="K467" s="280"/>
      <c r="L467" s="280"/>
      <c r="M467" s="244"/>
      <c r="N467" s="280"/>
      <c r="O467" s="244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</row>
    <row r="468" ht="32.25" customHeight="1">
      <c r="A468" s="244"/>
      <c r="B468" s="280"/>
      <c r="C468" s="244"/>
      <c r="D468" s="244"/>
      <c r="E468" s="280"/>
      <c r="F468" s="244"/>
      <c r="G468" s="244"/>
      <c r="H468" s="280"/>
      <c r="I468" s="281"/>
      <c r="J468" s="281"/>
      <c r="K468" s="244"/>
      <c r="L468" s="280"/>
      <c r="M468" s="244"/>
      <c r="N468" s="280"/>
      <c r="O468" s="244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</row>
    <row r="469" ht="32.25" customHeight="1">
      <c r="A469" s="260"/>
      <c r="B469" s="244"/>
      <c r="C469" s="244"/>
      <c r="D469" s="244"/>
      <c r="E469" s="244"/>
      <c r="F469" s="244"/>
      <c r="G469" s="244"/>
      <c r="H469" s="244"/>
      <c r="I469" s="245"/>
      <c r="J469" s="245"/>
      <c r="K469" s="244"/>
      <c r="L469" s="280"/>
      <c r="M469" s="244"/>
      <c r="N469" s="280"/>
      <c r="O469" s="244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</row>
    <row r="470" ht="32.25" customHeight="1">
      <c r="A470" s="244"/>
      <c r="B470" s="244"/>
      <c r="C470" s="244"/>
      <c r="D470" s="244"/>
      <c r="E470" s="244"/>
      <c r="F470" s="244"/>
      <c r="G470" s="244"/>
      <c r="H470" s="244"/>
      <c r="I470" s="245"/>
      <c r="J470" s="245"/>
      <c r="K470" s="244"/>
      <c r="L470" s="280"/>
      <c r="M470" s="244"/>
      <c r="N470" s="280"/>
      <c r="O470" s="244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</row>
    <row r="471" ht="32.25" customHeight="1">
      <c r="A471" s="260"/>
      <c r="B471" s="244"/>
      <c r="C471" s="244"/>
      <c r="D471" s="244"/>
      <c r="E471" s="244"/>
      <c r="F471" s="244"/>
      <c r="G471" s="244"/>
      <c r="H471" s="244"/>
      <c r="I471" s="245"/>
      <c r="J471" s="245"/>
      <c r="K471" s="244"/>
      <c r="L471" s="244"/>
      <c r="M471" s="244"/>
      <c r="N471" s="246"/>
      <c r="O471" s="244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</row>
    <row r="472" ht="32.25" customHeight="1">
      <c r="A472" s="244"/>
      <c r="B472" s="244"/>
      <c r="C472" s="244"/>
      <c r="D472" s="244"/>
      <c r="E472" s="244"/>
      <c r="F472" s="244"/>
      <c r="G472" s="244"/>
      <c r="H472" s="244"/>
      <c r="I472" s="245"/>
      <c r="J472" s="245"/>
      <c r="K472" s="244"/>
      <c r="L472" s="244"/>
      <c r="M472" s="244"/>
      <c r="N472" s="246"/>
      <c r="O472" s="244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</row>
    <row r="473" ht="32.25" customHeight="1">
      <c r="A473" s="260"/>
      <c r="B473" s="244"/>
      <c r="C473" s="244"/>
      <c r="D473" s="244"/>
      <c r="E473" s="244"/>
      <c r="F473" s="244"/>
      <c r="G473" s="244"/>
      <c r="H473" s="244"/>
      <c r="I473" s="245"/>
      <c r="J473" s="245"/>
      <c r="K473" s="244"/>
      <c r="L473" s="244"/>
      <c r="M473" s="244"/>
      <c r="N473" s="246"/>
      <c r="O473" s="244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</row>
    <row r="474" ht="35.25" customHeight="1">
      <c r="A474" s="244"/>
      <c r="B474" s="244"/>
      <c r="C474" s="244"/>
      <c r="D474" s="244"/>
      <c r="E474" s="246"/>
      <c r="F474" s="246"/>
      <c r="G474" s="244"/>
      <c r="H474" s="246"/>
      <c r="I474" s="282"/>
      <c r="J474" s="282"/>
      <c r="K474" s="244"/>
      <c r="L474" s="246"/>
      <c r="M474" s="244"/>
      <c r="N474" s="246"/>
      <c r="O474" s="246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</row>
    <row r="475" ht="35.25" customHeight="1">
      <c r="A475" s="244"/>
      <c r="B475" s="244"/>
      <c r="C475" s="244"/>
      <c r="D475" s="244"/>
      <c r="E475" s="244"/>
      <c r="F475" s="244"/>
      <c r="G475" s="244"/>
      <c r="H475" s="244"/>
      <c r="I475" s="282"/>
      <c r="J475" s="282"/>
      <c r="K475" s="244"/>
      <c r="L475" s="244"/>
      <c r="M475" s="244"/>
      <c r="N475" s="244"/>
      <c r="O475" s="244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</row>
    <row r="476" ht="35.25" customHeight="1">
      <c r="A476" s="244"/>
      <c r="B476" s="244"/>
      <c r="C476" s="244"/>
      <c r="D476" s="244"/>
      <c r="E476" s="244"/>
      <c r="F476" s="244"/>
      <c r="G476" s="244"/>
      <c r="H476" s="246"/>
      <c r="I476" s="282"/>
      <c r="J476" s="282"/>
      <c r="K476" s="244"/>
      <c r="L476" s="246"/>
      <c r="M476" s="244"/>
      <c r="N476" s="246"/>
      <c r="O476" s="246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</row>
    <row r="477" ht="35.25" customHeight="1">
      <c r="A477" s="244"/>
      <c r="B477" s="244"/>
      <c r="C477" s="244"/>
      <c r="D477" s="244"/>
      <c r="E477" s="244"/>
      <c r="F477" s="244"/>
      <c r="G477" s="244"/>
      <c r="H477" s="246"/>
      <c r="I477" s="282"/>
      <c r="J477" s="282"/>
      <c r="K477" s="244"/>
      <c r="L477" s="246"/>
      <c r="M477" s="244"/>
      <c r="N477" s="246"/>
      <c r="O477" s="246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</row>
    <row r="478" ht="35.25" customHeight="1">
      <c r="A478" s="244"/>
      <c r="B478" s="244"/>
      <c r="C478" s="244"/>
      <c r="D478" s="244"/>
      <c r="E478" s="244"/>
      <c r="F478" s="244"/>
      <c r="G478" s="244"/>
      <c r="H478" s="246"/>
      <c r="I478" s="282"/>
      <c r="J478" s="282"/>
      <c r="K478" s="244"/>
      <c r="L478" s="246"/>
      <c r="M478" s="244"/>
      <c r="N478" s="246"/>
      <c r="O478" s="246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</row>
    <row r="479" ht="35.25" customHeight="1">
      <c r="A479" s="244"/>
      <c r="B479" s="280"/>
      <c r="C479" s="244"/>
      <c r="D479" s="244"/>
      <c r="E479" s="280"/>
      <c r="F479" s="244"/>
      <c r="G479" s="244"/>
      <c r="H479" s="244"/>
      <c r="I479" s="245"/>
      <c r="J479" s="245"/>
      <c r="K479" s="244"/>
      <c r="L479" s="246"/>
      <c r="M479" s="244"/>
      <c r="N479" s="280"/>
      <c r="O479" s="244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</row>
    <row r="480" ht="35.25" customHeight="1">
      <c r="A480" s="244"/>
      <c r="B480" s="244"/>
      <c r="C480" s="244"/>
      <c r="D480" s="244"/>
      <c r="E480" s="246"/>
      <c r="F480" s="246"/>
      <c r="G480" s="246"/>
      <c r="H480" s="246"/>
      <c r="I480" s="282"/>
      <c r="J480" s="282"/>
      <c r="K480" s="246"/>
      <c r="L480" s="246"/>
      <c r="M480" s="244"/>
      <c r="N480" s="246"/>
      <c r="O480" s="246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</row>
    <row r="481" ht="35.25" customHeight="1">
      <c r="A481" s="244"/>
      <c r="B481" s="246"/>
      <c r="C481" s="244"/>
      <c r="D481" s="244"/>
      <c r="E481" s="244"/>
      <c r="F481" s="244"/>
      <c r="G481" s="244"/>
      <c r="H481" s="244"/>
      <c r="I481" s="245"/>
      <c r="J481" s="245"/>
      <c r="K481" s="244"/>
      <c r="L481" s="280"/>
      <c r="M481" s="244"/>
      <c r="N481" s="246"/>
      <c r="O481" s="244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</row>
    <row r="482" ht="35.25" customHeight="1">
      <c r="A482" s="244"/>
      <c r="B482" s="244"/>
      <c r="C482" s="244"/>
      <c r="D482" s="244"/>
      <c r="E482" s="244"/>
      <c r="F482" s="244"/>
      <c r="G482" s="244"/>
      <c r="H482" s="246"/>
      <c r="I482" s="282"/>
      <c r="J482" s="282"/>
      <c r="K482" s="244"/>
      <c r="L482" s="246"/>
      <c r="M482" s="244"/>
      <c r="N482" s="246"/>
      <c r="O482" s="246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</row>
    <row r="483" ht="35.25" customHeight="1">
      <c r="A483" s="244"/>
      <c r="B483" s="246"/>
      <c r="C483" s="244"/>
      <c r="D483" s="244"/>
      <c r="E483" s="246"/>
      <c r="F483" s="246"/>
      <c r="G483" s="244"/>
      <c r="H483" s="246"/>
      <c r="I483" s="281"/>
      <c r="J483" s="281"/>
      <c r="K483" s="244"/>
      <c r="L483" s="246"/>
      <c r="M483" s="244"/>
      <c r="N483" s="246"/>
      <c r="O483" s="244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</row>
    <row r="484" ht="35.25" customHeight="1">
      <c r="A484" s="244"/>
      <c r="B484" s="246"/>
      <c r="C484" s="244"/>
      <c r="D484" s="244"/>
      <c r="E484" s="244"/>
      <c r="F484" s="244"/>
      <c r="G484" s="244"/>
      <c r="H484" s="244"/>
      <c r="I484" s="282"/>
      <c r="J484" s="282"/>
      <c r="K484" s="244"/>
      <c r="L484" s="244"/>
      <c r="M484" s="244"/>
      <c r="N484" s="244"/>
      <c r="O484" s="244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</row>
    <row r="485" ht="35.25" customHeight="1">
      <c r="A485" s="244"/>
      <c r="B485" s="246"/>
      <c r="C485" s="244"/>
      <c r="D485" s="244"/>
      <c r="E485" s="246"/>
      <c r="F485" s="246"/>
      <c r="G485" s="244"/>
      <c r="H485" s="246"/>
      <c r="I485" s="281"/>
      <c r="J485" s="281"/>
      <c r="K485" s="244"/>
      <c r="L485" s="246"/>
      <c r="M485" s="244"/>
      <c r="N485" s="246"/>
      <c r="O485" s="244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</row>
    <row r="486" ht="35.25" customHeight="1">
      <c r="A486" s="244"/>
      <c r="B486" s="246"/>
      <c r="C486" s="244"/>
      <c r="D486" s="244"/>
      <c r="E486" s="244"/>
      <c r="F486" s="244"/>
      <c r="G486" s="244"/>
      <c r="H486" s="246"/>
      <c r="I486" s="282"/>
      <c r="J486" s="282"/>
      <c r="K486" s="244"/>
      <c r="L486" s="246"/>
      <c r="M486" s="244"/>
      <c r="N486" s="246"/>
      <c r="O486" s="246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</row>
    <row r="487" ht="35.25" customHeight="1">
      <c r="A487" s="244"/>
      <c r="B487" s="244"/>
      <c r="C487" s="244"/>
      <c r="D487" s="280"/>
      <c r="E487" s="280"/>
      <c r="F487" s="280"/>
      <c r="G487" s="280"/>
      <c r="H487" s="280"/>
      <c r="I487" s="282"/>
      <c r="J487" s="282"/>
      <c r="K487" s="280"/>
      <c r="L487" s="280"/>
      <c r="M487" s="244"/>
      <c r="N487" s="244"/>
      <c r="O487" s="280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</row>
    <row r="488" ht="32.25" customHeight="1">
      <c r="A488" s="244"/>
      <c r="B488" s="244"/>
      <c r="C488" s="244"/>
      <c r="D488" s="244"/>
      <c r="E488" s="280"/>
      <c r="F488" s="244"/>
      <c r="G488" s="244"/>
      <c r="H488" s="244"/>
      <c r="I488" s="245"/>
      <c r="J488" s="245"/>
      <c r="K488" s="244"/>
      <c r="L488" s="246"/>
      <c r="M488" s="244"/>
      <c r="N488" s="280"/>
      <c r="O488" s="244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</row>
    <row r="489" ht="32.25" customHeight="1">
      <c r="A489" s="260"/>
      <c r="B489" s="244"/>
      <c r="C489" s="244"/>
      <c r="D489" s="244"/>
      <c r="E489" s="244"/>
      <c r="F489" s="244"/>
      <c r="G489" s="244"/>
      <c r="H489" s="244"/>
      <c r="I489" s="245"/>
      <c r="J489" s="245"/>
      <c r="K489" s="244"/>
      <c r="L489" s="244"/>
      <c r="M489" s="244"/>
      <c r="N489" s="246"/>
      <c r="O489" s="244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</row>
    <row r="490" ht="32.25" customHeight="1">
      <c r="A490" s="244"/>
      <c r="B490" s="244"/>
      <c r="C490" s="244"/>
      <c r="D490" s="244"/>
      <c r="E490" s="244"/>
      <c r="F490" s="244"/>
      <c r="G490" s="244"/>
      <c r="H490" s="244"/>
      <c r="I490" s="245"/>
      <c r="J490" s="245"/>
      <c r="K490" s="244"/>
      <c r="L490" s="280"/>
      <c r="M490" s="244"/>
      <c r="N490" s="246"/>
      <c r="O490" s="244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</row>
    <row r="491" ht="32.25" customHeight="1">
      <c r="A491" s="260"/>
      <c r="B491" s="244"/>
      <c r="C491" s="244"/>
      <c r="D491" s="244"/>
      <c r="E491" s="244"/>
      <c r="F491" s="244"/>
      <c r="G491" s="244"/>
      <c r="H491" s="244"/>
      <c r="I491" s="245"/>
      <c r="J491" s="245"/>
      <c r="K491" s="244"/>
      <c r="L491" s="244"/>
      <c r="M491" s="244"/>
      <c r="N491" s="246"/>
      <c r="O491" s="244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</row>
    <row r="492" ht="32.25" customHeight="1">
      <c r="A492" s="244"/>
      <c r="B492" s="244"/>
      <c r="C492" s="244"/>
      <c r="D492" s="244"/>
      <c r="E492" s="244"/>
      <c r="F492" s="244"/>
      <c r="G492" s="244"/>
      <c r="H492" s="244"/>
      <c r="I492" s="245"/>
      <c r="J492" s="245"/>
      <c r="K492" s="244"/>
      <c r="L492" s="244"/>
      <c r="M492" s="244"/>
      <c r="N492" s="246"/>
      <c r="O492" s="244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</row>
    <row r="493" ht="32.25" customHeight="1">
      <c r="A493" s="260"/>
      <c r="B493" s="244"/>
      <c r="C493" s="244"/>
      <c r="D493" s="244"/>
      <c r="E493" s="244"/>
      <c r="F493" s="244"/>
      <c r="G493" s="244"/>
      <c r="H493" s="244"/>
      <c r="I493" s="245"/>
      <c r="J493" s="245"/>
      <c r="K493" s="244"/>
      <c r="L493" s="244"/>
      <c r="M493" s="244"/>
      <c r="N493" s="246"/>
      <c r="O493" s="244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</row>
    <row r="494" ht="32.25" customHeight="1">
      <c r="A494" s="244"/>
      <c r="B494" s="244"/>
      <c r="C494" s="244"/>
      <c r="D494" s="244"/>
      <c r="E494" s="244"/>
      <c r="F494" s="244"/>
      <c r="G494" s="244"/>
      <c r="H494" s="244"/>
      <c r="I494" s="245"/>
      <c r="J494" s="245"/>
      <c r="K494" s="244"/>
      <c r="L494" s="244"/>
      <c r="M494" s="244"/>
      <c r="N494" s="246"/>
      <c r="O494" s="244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</row>
    <row r="495" ht="32.25" customHeight="1">
      <c r="A495" s="260"/>
      <c r="B495" s="280"/>
      <c r="C495" s="244"/>
      <c r="D495" s="244"/>
      <c r="E495" s="280"/>
      <c r="F495" s="244"/>
      <c r="G495" s="244"/>
      <c r="H495" s="280"/>
      <c r="I495" s="281"/>
      <c r="J495" s="281"/>
      <c r="K495" s="280"/>
      <c r="L495" s="280"/>
      <c r="M495" s="244"/>
      <c r="N495" s="280"/>
      <c r="O495" s="244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</row>
    <row r="496" ht="32.25" customHeight="1">
      <c r="A496" s="244"/>
      <c r="B496" s="244"/>
      <c r="C496" s="244"/>
      <c r="D496" s="244"/>
      <c r="E496" s="244"/>
      <c r="F496" s="244"/>
      <c r="G496" s="244"/>
      <c r="H496" s="244"/>
      <c r="I496" s="245"/>
      <c r="J496" s="245"/>
      <c r="K496" s="244"/>
      <c r="L496" s="244"/>
      <c r="M496" s="244"/>
      <c r="N496" s="246"/>
      <c r="O496" s="244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</row>
    <row r="497" ht="32.25" customHeight="1">
      <c r="A497" s="260"/>
      <c r="B497" s="244"/>
      <c r="C497" s="244"/>
      <c r="D497" s="244"/>
      <c r="E497" s="244"/>
      <c r="F497" s="244"/>
      <c r="G497" s="244"/>
      <c r="H497" s="244"/>
      <c r="I497" s="245"/>
      <c r="J497" s="245"/>
      <c r="K497" s="244"/>
      <c r="L497" s="244"/>
      <c r="M497" s="244"/>
      <c r="N497" s="246"/>
      <c r="O497" s="244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</row>
    <row r="498" ht="32.25" customHeight="1">
      <c r="A498" s="244"/>
      <c r="B498" s="244"/>
      <c r="C498" s="244"/>
      <c r="D498" s="244"/>
      <c r="E498" s="244"/>
      <c r="F498" s="244"/>
      <c r="G498" s="244"/>
      <c r="H498" s="244"/>
      <c r="I498" s="245"/>
      <c r="J498" s="245"/>
      <c r="K498" s="244"/>
      <c r="L498" s="244"/>
      <c r="M498" s="244"/>
      <c r="N498" s="246"/>
      <c r="O498" s="244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</row>
    <row r="499" ht="32.25" customHeight="1">
      <c r="A499" s="260"/>
      <c r="B499" s="244"/>
      <c r="C499" s="244"/>
      <c r="D499" s="244"/>
      <c r="E499" s="244"/>
      <c r="F499" s="244"/>
      <c r="G499" s="244"/>
      <c r="H499" s="244"/>
      <c r="I499" s="245"/>
      <c r="J499" s="245"/>
      <c r="K499" s="244"/>
      <c r="L499" s="244"/>
      <c r="M499" s="244"/>
      <c r="N499" s="246"/>
      <c r="O499" s="244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</row>
    <row r="500">
      <c r="A500" s="283"/>
      <c r="B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</row>
    <row r="501">
      <c r="A501" s="283"/>
      <c r="B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</row>
    <row r="502">
      <c r="A502" s="283"/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</row>
    <row r="503">
      <c r="A503" s="283"/>
      <c r="B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</row>
    <row r="504">
      <c r="A504" s="283"/>
      <c r="B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</row>
    <row r="505">
      <c r="A505" s="283"/>
      <c r="B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</row>
    <row r="506">
      <c r="A506" s="283"/>
      <c r="B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</row>
    <row r="507">
      <c r="A507" s="283"/>
      <c r="B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</row>
    <row r="508">
      <c r="A508" s="283"/>
      <c r="B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</row>
    <row r="509">
      <c r="A509" s="283"/>
      <c r="B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</row>
    <row r="510">
      <c r="A510" s="283"/>
      <c r="B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</row>
    <row r="511">
      <c r="A511" s="283"/>
      <c r="B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</row>
    <row r="512">
      <c r="A512" s="283"/>
      <c r="B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</row>
    <row r="513">
      <c r="A513" s="283"/>
      <c r="B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</row>
    <row r="514">
      <c r="A514" s="283"/>
      <c r="B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</row>
    <row r="515">
      <c r="A515" s="283"/>
      <c r="B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</row>
    <row r="516">
      <c r="A516" s="283"/>
      <c r="B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</row>
    <row r="517">
      <c r="A517" s="283"/>
      <c r="B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</row>
    <row r="518">
      <c r="A518" s="283"/>
      <c r="B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</row>
    <row r="519">
      <c r="A519" s="283"/>
      <c r="B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</row>
    <row r="520">
      <c r="A520" s="283"/>
      <c r="B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</row>
    <row r="521">
      <c r="A521" s="283"/>
      <c r="B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</row>
    <row r="522">
      <c r="A522" s="283"/>
      <c r="B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</row>
    <row r="523">
      <c r="A523" s="283"/>
      <c r="B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</row>
    <row r="524">
      <c r="A524" s="283"/>
      <c r="B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</row>
    <row r="525">
      <c r="A525" s="283"/>
      <c r="B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</row>
    <row r="526">
      <c r="A526" s="283"/>
      <c r="B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</row>
    <row r="527">
      <c r="A527" s="283"/>
      <c r="B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</row>
    <row r="528">
      <c r="A528" s="283"/>
      <c r="B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</row>
    <row r="529">
      <c r="A529" s="283"/>
      <c r="B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</row>
    <row r="530">
      <c r="A530" s="283"/>
      <c r="B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</row>
    <row r="531">
      <c r="A531" s="283"/>
      <c r="B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</row>
    <row r="532">
      <c r="A532" s="283"/>
      <c r="B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</row>
    <row r="533">
      <c r="A533" s="283"/>
      <c r="B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</row>
    <row r="534">
      <c r="A534" s="283"/>
      <c r="B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</row>
    <row r="535">
      <c r="A535" s="283"/>
      <c r="B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</row>
    <row r="536">
      <c r="A536" s="283"/>
      <c r="B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</row>
    <row r="537">
      <c r="A537" s="283"/>
      <c r="B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</row>
    <row r="538">
      <c r="A538" s="283"/>
      <c r="B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</row>
    <row r="539">
      <c r="A539" s="283"/>
      <c r="B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</row>
    <row r="540">
      <c r="A540" s="283"/>
      <c r="B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</row>
    <row r="541">
      <c r="A541" s="283"/>
      <c r="B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</row>
    <row r="542">
      <c r="A542" s="283"/>
      <c r="B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</row>
    <row r="543">
      <c r="A543" s="283"/>
      <c r="B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</row>
    <row r="544">
      <c r="A544" s="283"/>
      <c r="B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</row>
    <row r="545">
      <c r="A545" s="283"/>
      <c r="B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</row>
    <row r="546">
      <c r="A546" s="283"/>
      <c r="B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</row>
    <row r="547">
      <c r="A547" s="283"/>
      <c r="B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</row>
    <row r="548">
      <c r="A548" s="283"/>
      <c r="B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</row>
    <row r="549">
      <c r="A549" s="283"/>
      <c r="B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</row>
    <row r="550">
      <c r="A550" s="283"/>
      <c r="B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</row>
    <row r="551">
      <c r="A551" s="283"/>
      <c r="B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</row>
    <row r="552">
      <c r="A552" s="283"/>
      <c r="B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</row>
    <row r="553">
      <c r="A553" s="283"/>
      <c r="B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</row>
    <row r="554">
      <c r="A554" s="283"/>
      <c r="B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</row>
    <row r="555">
      <c r="A555" s="283"/>
      <c r="B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</row>
    <row r="556">
      <c r="A556" s="283"/>
      <c r="B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</row>
    <row r="557">
      <c r="A557" s="283"/>
      <c r="B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</row>
    <row r="558">
      <c r="A558" s="283"/>
      <c r="B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</row>
    <row r="559">
      <c r="A559" s="283"/>
      <c r="B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</row>
    <row r="560">
      <c r="A560" s="283"/>
      <c r="B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</row>
    <row r="561">
      <c r="A561" s="283"/>
      <c r="B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</row>
    <row r="562">
      <c r="A562" s="283"/>
      <c r="B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</row>
    <row r="563">
      <c r="A563" s="283"/>
      <c r="B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</row>
    <row r="564">
      <c r="A564" s="283"/>
      <c r="B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</row>
    <row r="565">
      <c r="A565" s="283"/>
      <c r="B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</row>
    <row r="566">
      <c r="A566" s="283"/>
      <c r="B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</row>
    <row r="567">
      <c r="A567" s="283"/>
      <c r="B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</row>
    <row r="568">
      <c r="A568" s="283"/>
      <c r="B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</row>
    <row r="569">
      <c r="A569" s="283"/>
      <c r="B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</row>
    <row r="570">
      <c r="A570" s="283"/>
      <c r="B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</row>
    <row r="571">
      <c r="A571" s="283"/>
      <c r="B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</row>
    <row r="572">
      <c r="A572" s="283"/>
      <c r="B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</row>
    <row r="573">
      <c r="A573" s="283"/>
      <c r="B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</row>
    <row r="574">
      <c r="A574" s="283"/>
      <c r="B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</row>
    <row r="575">
      <c r="A575" s="283"/>
      <c r="B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</row>
    <row r="576">
      <c r="A576" s="283"/>
      <c r="B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</row>
    <row r="577">
      <c r="A577" s="283"/>
      <c r="B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</row>
    <row r="578">
      <c r="A578" s="283"/>
      <c r="B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</row>
    <row r="579">
      <c r="A579" s="283"/>
      <c r="B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</row>
    <row r="580">
      <c r="A580" s="283"/>
      <c r="B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</row>
    <row r="581">
      <c r="A581" s="283"/>
      <c r="B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</row>
    <row r="582">
      <c r="A582" s="283"/>
      <c r="B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</row>
    <row r="583">
      <c r="A583" s="283"/>
      <c r="B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</row>
    <row r="584">
      <c r="A584" s="283"/>
      <c r="B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</row>
    <row r="585">
      <c r="A585" s="283"/>
      <c r="B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</row>
    <row r="586">
      <c r="A586" s="283"/>
      <c r="B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</row>
    <row r="587">
      <c r="A587" s="283"/>
      <c r="B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</row>
    <row r="588">
      <c r="A588" s="283"/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</row>
    <row r="589">
      <c r="A589" s="283"/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</row>
    <row r="590">
      <c r="A590" s="283"/>
      <c r="B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</row>
    <row r="591">
      <c r="A591" s="283"/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</row>
    <row r="592">
      <c r="A592" s="283"/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</row>
    <row r="593">
      <c r="A593" s="283"/>
      <c r="B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</row>
    <row r="594">
      <c r="A594" s="283"/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</row>
    <row r="595">
      <c r="A595" s="283"/>
      <c r="B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</row>
    <row r="596">
      <c r="A596" s="283"/>
      <c r="B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</row>
    <row r="597">
      <c r="A597" s="283"/>
      <c r="B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</row>
    <row r="598">
      <c r="A598" s="283"/>
      <c r="B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</row>
    <row r="599">
      <c r="A599" s="283"/>
      <c r="B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</row>
    <row r="600">
      <c r="A600" s="283"/>
      <c r="B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</row>
    <row r="601">
      <c r="A601" s="283"/>
      <c r="B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</row>
    <row r="602">
      <c r="A602" s="283"/>
      <c r="B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</row>
    <row r="603">
      <c r="A603" s="283"/>
      <c r="B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</row>
    <row r="604">
      <c r="A604" s="283"/>
      <c r="B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</row>
    <row r="605">
      <c r="A605" s="283"/>
      <c r="B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</row>
    <row r="606">
      <c r="A606" s="283"/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</row>
    <row r="607">
      <c r="A607" s="283"/>
      <c r="B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</row>
    <row r="608">
      <c r="A608" s="283"/>
      <c r="B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</row>
    <row r="609">
      <c r="A609" s="283"/>
      <c r="B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</row>
    <row r="610">
      <c r="A610" s="283"/>
      <c r="B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</row>
    <row r="611">
      <c r="A611" s="283"/>
      <c r="B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</row>
    <row r="612">
      <c r="A612" s="283"/>
      <c r="B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</row>
    <row r="613">
      <c r="A613" s="283"/>
      <c r="B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</row>
    <row r="614">
      <c r="A614" s="283"/>
      <c r="B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</row>
    <row r="615">
      <c r="A615" s="283"/>
      <c r="B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</row>
    <row r="616">
      <c r="A616" s="283"/>
      <c r="B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</row>
    <row r="617">
      <c r="A617" s="283"/>
      <c r="B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</row>
    <row r="618">
      <c r="A618" s="283"/>
      <c r="B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</row>
    <row r="619">
      <c r="A619" s="283"/>
      <c r="B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</row>
    <row r="620">
      <c r="A620" s="283"/>
      <c r="B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</row>
    <row r="621">
      <c r="A621" s="283"/>
      <c r="B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</row>
    <row r="622">
      <c r="A622" s="283"/>
      <c r="B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</row>
    <row r="623">
      <c r="A623" s="283"/>
      <c r="B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</row>
    <row r="624">
      <c r="A624" s="283"/>
      <c r="B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</row>
    <row r="625">
      <c r="A625" s="283"/>
      <c r="B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</row>
    <row r="626">
      <c r="A626" s="283"/>
      <c r="B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</row>
    <row r="627">
      <c r="A627" s="283"/>
      <c r="B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</row>
    <row r="628">
      <c r="A628" s="283"/>
      <c r="B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</row>
    <row r="629">
      <c r="A629" s="283"/>
      <c r="B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</row>
    <row r="630">
      <c r="A630" s="283"/>
      <c r="B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</row>
    <row r="631">
      <c r="A631" s="283"/>
      <c r="B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</row>
    <row r="632">
      <c r="A632" s="283"/>
      <c r="B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</row>
    <row r="633">
      <c r="A633" s="283"/>
      <c r="B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</row>
    <row r="634">
      <c r="A634" s="283"/>
      <c r="B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</row>
    <row r="635">
      <c r="A635" s="283"/>
      <c r="B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</row>
    <row r="636">
      <c r="A636" s="283"/>
      <c r="B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</row>
    <row r="637">
      <c r="A637" s="283"/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</row>
    <row r="638">
      <c r="A638" s="283"/>
      <c r="B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</row>
    <row r="639">
      <c r="A639" s="283"/>
      <c r="B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</row>
    <row r="640">
      <c r="A640" s="283"/>
      <c r="B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</row>
    <row r="641">
      <c r="A641" s="283"/>
      <c r="B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</row>
    <row r="642">
      <c r="A642" s="283"/>
      <c r="B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</row>
    <row r="643">
      <c r="A643" s="283"/>
      <c r="B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</row>
    <row r="644">
      <c r="A644" s="283"/>
      <c r="B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</row>
    <row r="645">
      <c r="A645" s="283"/>
      <c r="B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</row>
    <row r="646">
      <c r="A646" s="283"/>
      <c r="B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</row>
    <row r="647">
      <c r="A647" s="283"/>
      <c r="B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</row>
    <row r="648">
      <c r="A648" s="283"/>
      <c r="B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</row>
    <row r="649">
      <c r="A649" s="283"/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</row>
    <row r="650">
      <c r="A650" s="283"/>
      <c r="B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</row>
    <row r="651">
      <c r="A651" s="283"/>
      <c r="B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</row>
    <row r="652">
      <c r="A652" s="283"/>
      <c r="B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</row>
    <row r="653">
      <c r="A653" s="283"/>
      <c r="B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</row>
    <row r="654">
      <c r="A654" s="283"/>
      <c r="B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</row>
    <row r="655">
      <c r="A655" s="283"/>
      <c r="B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</row>
    <row r="656">
      <c r="A656" s="283"/>
      <c r="B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</row>
    <row r="657">
      <c r="A657" s="283"/>
      <c r="B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</row>
    <row r="658">
      <c r="A658" s="283"/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</row>
    <row r="659">
      <c r="A659" s="283"/>
      <c r="B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</row>
    <row r="660">
      <c r="A660" s="283"/>
      <c r="B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</row>
    <row r="661">
      <c r="A661" s="283"/>
      <c r="B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</row>
    <row r="662">
      <c r="A662" s="283"/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</row>
    <row r="663">
      <c r="A663" s="283"/>
      <c r="B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</row>
    <row r="664">
      <c r="A664" s="283"/>
      <c r="B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</row>
    <row r="665">
      <c r="A665" s="283"/>
      <c r="B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</row>
    <row r="666">
      <c r="A666" s="283"/>
      <c r="B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</row>
    <row r="667">
      <c r="A667" s="283"/>
      <c r="B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</row>
    <row r="668">
      <c r="A668" s="283"/>
      <c r="B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</row>
    <row r="669">
      <c r="A669" s="283"/>
      <c r="B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</row>
    <row r="670">
      <c r="A670" s="283"/>
      <c r="B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</row>
    <row r="671">
      <c r="A671" s="283"/>
      <c r="B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</row>
    <row r="672">
      <c r="A672" s="283"/>
      <c r="B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</row>
    <row r="673">
      <c r="A673" s="283"/>
      <c r="B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</row>
    <row r="674">
      <c r="A674" s="283"/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</row>
    <row r="675">
      <c r="A675" s="283"/>
      <c r="B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</row>
    <row r="676">
      <c r="A676" s="283"/>
      <c r="B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</row>
    <row r="677">
      <c r="A677" s="283"/>
      <c r="B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</row>
    <row r="678">
      <c r="A678" s="283"/>
      <c r="B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</row>
    <row r="679">
      <c r="A679" s="283"/>
      <c r="B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</row>
    <row r="680">
      <c r="A680" s="283"/>
      <c r="B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</row>
    <row r="681">
      <c r="A681" s="283"/>
      <c r="B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</row>
    <row r="682">
      <c r="A682" s="283"/>
      <c r="B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</row>
    <row r="683">
      <c r="A683" s="283"/>
      <c r="B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</row>
    <row r="684">
      <c r="A684" s="283"/>
      <c r="B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</row>
    <row r="685">
      <c r="A685" s="283"/>
      <c r="B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</row>
    <row r="686">
      <c r="A686" s="283"/>
      <c r="B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</row>
    <row r="687">
      <c r="A687" s="283"/>
      <c r="B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</row>
    <row r="688">
      <c r="A688" s="283"/>
      <c r="B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</row>
    <row r="689">
      <c r="A689" s="283"/>
      <c r="B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</row>
    <row r="690">
      <c r="A690" s="283"/>
      <c r="B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</row>
    <row r="691">
      <c r="A691" s="283"/>
      <c r="B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</row>
    <row r="692">
      <c r="A692" s="283"/>
      <c r="B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</row>
    <row r="693">
      <c r="A693" s="283"/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</row>
    <row r="694">
      <c r="A694" s="283"/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</row>
    <row r="695">
      <c r="A695" s="283"/>
      <c r="B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</row>
    <row r="696">
      <c r="A696" s="283"/>
      <c r="B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</row>
    <row r="697">
      <c r="A697" s="283"/>
      <c r="B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</row>
    <row r="698">
      <c r="A698" s="283"/>
      <c r="B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</row>
    <row r="699">
      <c r="A699" s="283"/>
      <c r="B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</row>
    <row r="700">
      <c r="A700" s="283"/>
      <c r="B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</row>
    <row r="701">
      <c r="A701" s="283"/>
      <c r="B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</row>
    <row r="702">
      <c r="A702" s="283"/>
      <c r="B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</row>
    <row r="703">
      <c r="A703" s="283"/>
      <c r="B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</row>
    <row r="704">
      <c r="A704" s="283"/>
      <c r="B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</row>
    <row r="705">
      <c r="A705" s="283"/>
      <c r="B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</row>
    <row r="706">
      <c r="A706" s="283"/>
      <c r="B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</row>
    <row r="707">
      <c r="A707" s="283"/>
      <c r="B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</row>
    <row r="708">
      <c r="A708" s="283"/>
      <c r="B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</row>
    <row r="709">
      <c r="A709" s="283"/>
      <c r="B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</row>
    <row r="710">
      <c r="A710" s="283"/>
      <c r="B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</row>
    <row r="711">
      <c r="A711" s="283"/>
      <c r="B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</row>
    <row r="712">
      <c r="A712" s="283"/>
      <c r="B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</row>
    <row r="713">
      <c r="A713" s="283"/>
      <c r="B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</row>
    <row r="714">
      <c r="A714" s="283"/>
      <c r="B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</row>
    <row r="715">
      <c r="A715" s="283"/>
      <c r="B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</row>
    <row r="716">
      <c r="A716" s="283"/>
      <c r="B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</row>
    <row r="717">
      <c r="A717" s="283"/>
      <c r="B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</row>
    <row r="718">
      <c r="A718" s="283"/>
      <c r="B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</row>
    <row r="719">
      <c r="A719" s="283"/>
      <c r="B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</row>
    <row r="720">
      <c r="A720" s="283"/>
      <c r="B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</row>
    <row r="721">
      <c r="A721" s="283"/>
      <c r="B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</row>
    <row r="722">
      <c r="A722" s="283"/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</row>
    <row r="723">
      <c r="A723" s="283"/>
      <c r="B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</row>
    <row r="724">
      <c r="A724" s="283"/>
      <c r="B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</row>
    <row r="725">
      <c r="A725" s="283"/>
      <c r="B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</row>
    <row r="726">
      <c r="A726" s="283"/>
      <c r="B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</row>
    <row r="727">
      <c r="A727" s="283"/>
      <c r="B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</row>
    <row r="728">
      <c r="A728" s="283"/>
      <c r="B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</row>
    <row r="729">
      <c r="A729" s="283"/>
      <c r="B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</row>
    <row r="730">
      <c r="A730" s="283"/>
      <c r="B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</row>
    <row r="731">
      <c r="A731" s="283"/>
      <c r="B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</row>
    <row r="732">
      <c r="A732" s="283"/>
      <c r="B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</row>
    <row r="733">
      <c r="A733" s="283"/>
      <c r="B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</row>
    <row r="734">
      <c r="A734" s="283"/>
      <c r="B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</row>
    <row r="735">
      <c r="A735" s="283"/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</row>
    <row r="736">
      <c r="A736" s="283"/>
      <c r="B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</row>
    <row r="737">
      <c r="A737" s="283"/>
      <c r="B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</row>
    <row r="738">
      <c r="A738" s="283"/>
      <c r="B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</row>
    <row r="739">
      <c r="A739" s="283"/>
      <c r="B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</row>
    <row r="740">
      <c r="A740" s="283"/>
      <c r="B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</row>
    <row r="741">
      <c r="A741" s="283"/>
      <c r="B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</row>
    <row r="742">
      <c r="A742" s="283"/>
      <c r="B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</row>
    <row r="743">
      <c r="A743" s="283"/>
      <c r="B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</row>
    <row r="744">
      <c r="A744" s="283"/>
      <c r="B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</row>
    <row r="745">
      <c r="A745" s="283"/>
      <c r="B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</row>
    <row r="746">
      <c r="A746" s="283"/>
      <c r="B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</row>
    <row r="747">
      <c r="A747" s="283"/>
      <c r="B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</row>
    <row r="748">
      <c r="A748" s="283"/>
      <c r="B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</row>
    <row r="749">
      <c r="A749" s="283"/>
      <c r="B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</row>
    <row r="750">
      <c r="A750" s="283"/>
      <c r="B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</row>
    <row r="751">
      <c r="A751" s="283"/>
      <c r="B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</row>
    <row r="752">
      <c r="A752" s="283"/>
      <c r="B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</row>
    <row r="753">
      <c r="A753" s="283"/>
      <c r="B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</row>
    <row r="754">
      <c r="A754" s="283"/>
      <c r="B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</row>
    <row r="755">
      <c r="A755" s="283"/>
      <c r="B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</row>
    <row r="756">
      <c r="A756" s="283"/>
      <c r="B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</row>
    <row r="757">
      <c r="A757" s="283"/>
      <c r="B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</row>
    <row r="758">
      <c r="A758" s="283"/>
      <c r="B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</row>
    <row r="759">
      <c r="A759" s="283"/>
      <c r="B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</row>
    <row r="760">
      <c r="A760" s="283"/>
      <c r="B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</row>
    <row r="761">
      <c r="A761" s="283"/>
      <c r="B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</row>
    <row r="762">
      <c r="A762" s="283"/>
      <c r="B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</row>
    <row r="763">
      <c r="A763" s="283"/>
      <c r="B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</row>
    <row r="764">
      <c r="A764" s="283"/>
      <c r="B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</row>
    <row r="765">
      <c r="A765" s="283"/>
      <c r="B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</row>
    <row r="766">
      <c r="A766" s="283"/>
      <c r="B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</row>
    <row r="767">
      <c r="A767" s="283"/>
      <c r="B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</row>
    <row r="768">
      <c r="A768" s="283"/>
      <c r="B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</row>
    <row r="769">
      <c r="A769" s="283"/>
      <c r="B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</row>
    <row r="770">
      <c r="A770" s="283"/>
      <c r="B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</row>
    <row r="771">
      <c r="A771" s="283"/>
      <c r="B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</row>
    <row r="772">
      <c r="A772" s="283"/>
      <c r="B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</row>
    <row r="773">
      <c r="A773" s="283"/>
      <c r="B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</row>
    <row r="774">
      <c r="A774" s="283"/>
      <c r="B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</row>
    <row r="775">
      <c r="A775" s="283"/>
      <c r="B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</row>
    <row r="776">
      <c r="A776" s="283"/>
      <c r="B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</row>
    <row r="777">
      <c r="A777" s="283"/>
      <c r="B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</row>
    <row r="778">
      <c r="A778" s="283"/>
      <c r="B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</row>
    <row r="779">
      <c r="A779" s="283"/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</row>
    <row r="780">
      <c r="A780" s="283"/>
      <c r="B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</row>
    <row r="781">
      <c r="A781" s="283"/>
      <c r="B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</row>
    <row r="782">
      <c r="A782" s="283"/>
      <c r="B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</row>
    <row r="783">
      <c r="A783" s="283"/>
      <c r="B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</row>
    <row r="784">
      <c r="A784" s="283"/>
      <c r="B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</row>
    <row r="785">
      <c r="A785" s="283"/>
      <c r="B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</row>
    <row r="786">
      <c r="A786" s="283"/>
      <c r="B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</row>
    <row r="787">
      <c r="A787" s="283"/>
      <c r="B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</row>
    <row r="788">
      <c r="A788" s="283"/>
      <c r="B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</row>
    <row r="789">
      <c r="A789" s="283"/>
      <c r="B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</row>
    <row r="790">
      <c r="A790" s="283"/>
      <c r="B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</row>
    <row r="791">
      <c r="A791" s="283"/>
      <c r="B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</row>
    <row r="792">
      <c r="A792" s="283"/>
      <c r="B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</row>
    <row r="793">
      <c r="A793" s="283"/>
      <c r="B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</row>
    <row r="794">
      <c r="A794" s="283"/>
      <c r="B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</row>
    <row r="795">
      <c r="A795" s="283"/>
      <c r="B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</row>
    <row r="796">
      <c r="A796" s="283"/>
      <c r="B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</row>
    <row r="797">
      <c r="A797" s="283"/>
      <c r="B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</row>
    <row r="798">
      <c r="A798" s="283"/>
      <c r="B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</row>
    <row r="799">
      <c r="A799" s="283"/>
      <c r="B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</row>
    <row r="800">
      <c r="A800" s="283"/>
      <c r="B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</row>
    <row r="801">
      <c r="A801" s="283"/>
      <c r="B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</row>
    <row r="802">
      <c r="A802" s="283"/>
      <c r="B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</row>
    <row r="803">
      <c r="A803" s="283"/>
      <c r="B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</row>
    <row r="804">
      <c r="A804" s="283"/>
      <c r="B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</row>
    <row r="805">
      <c r="A805" s="283"/>
      <c r="B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</row>
    <row r="806">
      <c r="A806" s="283"/>
      <c r="B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</row>
    <row r="807">
      <c r="A807" s="283"/>
      <c r="B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</row>
    <row r="808">
      <c r="A808" s="283"/>
      <c r="B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</row>
    <row r="809">
      <c r="A809" s="283"/>
      <c r="B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</row>
    <row r="810">
      <c r="A810" s="283"/>
      <c r="B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</row>
    <row r="811">
      <c r="A811" s="283"/>
      <c r="B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</row>
    <row r="812">
      <c r="A812" s="283"/>
      <c r="B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</row>
    <row r="813">
      <c r="A813" s="283"/>
      <c r="B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</row>
    <row r="814">
      <c r="A814" s="283"/>
      <c r="B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</row>
    <row r="815">
      <c r="A815" s="283"/>
      <c r="B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</row>
    <row r="816">
      <c r="A816" s="283"/>
      <c r="B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</row>
    <row r="817">
      <c r="A817" s="283"/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</row>
    <row r="818">
      <c r="A818" s="283"/>
      <c r="B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</row>
    <row r="819">
      <c r="A819" s="283"/>
      <c r="B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</row>
    <row r="820">
      <c r="A820" s="283"/>
      <c r="B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</row>
    <row r="821">
      <c r="A821" s="283"/>
      <c r="B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</row>
    <row r="822">
      <c r="A822" s="283"/>
      <c r="B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</row>
    <row r="823">
      <c r="A823" s="283"/>
      <c r="B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</row>
    <row r="824">
      <c r="A824" s="283"/>
      <c r="B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</row>
    <row r="825">
      <c r="A825" s="283"/>
      <c r="B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</row>
    <row r="826">
      <c r="A826" s="283"/>
      <c r="B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</row>
    <row r="827">
      <c r="A827" s="283"/>
      <c r="B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</row>
    <row r="828">
      <c r="A828" s="283"/>
      <c r="B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</row>
    <row r="829">
      <c r="A829" s="283"/>
      <c r="B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</row>
    <row r="830">
      <c r="A830" s="283"/>
      <c r="B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</row>
    <row r="831">
      <c r="A831" s="283"/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</row>
    <row r="832">
      <c r="A832" s="283"/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</row>
    <row r="833">
      <c r="A833" s="283"/>
      <c r="B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</row>
    <row r="834">
      <c r="A834" s="283"/>
      <c r="B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</row>
    <row r="835">
      <c r="A835" s="283"/>
      <c r="B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</row>
    <row r="836">
      <c r="A836" s="283"/>
      <c r="B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</row>
    <row r="837">
      <c r="A837" s="283"/>
      <c r="B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</row>
    <row r="838">
      <c r="A838" s="283"/>
      <c r="B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</row>
    <row r="839">
      <c r="A839" s="283"/>
      <c r="B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</row>
    <row r="840">
      <c r="A840" s="283"/>
      <c r="B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</row>
    <row r="841">
      <c r="A841" s="283"/>
      <c r="B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</row>
    <row r="842">
      <c r="A842" s="283"/>
      <c r="B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</row>
    <row r="843">
      <c r="A843" s="283"/>
      <c r="B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</row>
    <row r="844">
      <c r="A844" s="283"/>
      <c r="B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</row>
    <row r="845">
      <c r="A845" s="283"/>
      <c r="B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</row>
    <row r="846">
      <c r="A846" s="283"/>
      <c r="B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</row>
    <row r="847">
      <c r="A847" s="283"/>
      <c r="B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</row>
    <row r="848">
      <c r="A848" s="283"/>
      <c r="B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</row>
    <row r="849">
      <c r="A849" s="283"/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</row>
    <row r="850">
      <c r="A850" s="283"/>
      <c r="B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</row>
    <row r="851">
      <c r="A851" s="283"/>
      <c r="B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</row>
    <row r="852">
      <c r="A852" s="283"/>
      <c r="B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</row>
    <row r="853">
      <c r="A853" s="283"/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</row>
    <row r="854">
      <c r="A854" s="283"/>
      <c r="B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</row>
    <row r="855">
      <c r="A855" s="283"/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</row>
    <row r="856">
      <c r="A856" s="283"/>
      <c r="B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</row>
    <row r="857">
      <c r="A857" s="283"/>
      <c r="B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</row>
    <row r="858">
      <c r="A858" s="283"/>
      <c r="B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</row>
    <row r="859">
      <c r="A859" s="283"/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</row>
    <row r="860">
      <c r="A860" s="283"/>
      <c r="B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</row>
    <row r="861">
      <c r="A861" s="283"/>
      <c r="B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</row>
    <row r="862">
      <c r="A862" s="283"/>
      <c r="B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</row>
    <row r="863">
      <c r="A863" s="283"/>
      <c r="B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</row>
    <row r="864">
      <c r="A864" s="283"/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</row>
    <row r="865">
      <c r="A865" s="283"/>
      <c r="B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</row>
    <row r="866">
      <c r="A866" s="283"/>
      <c r="B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</row>
    <row r="867">
      <c r="A867" s="283"/>
      <c r="B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</row>
    <row r="868">
      <c r="A868" s="283"/>
      <c r="B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</row>
    <row r="869">
      <c r="A869" s="283"/>
      <c r="B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</row>
    <row r="870">
      <c r="A870" s="283"/>
      <c r="B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</row>
    <row r="871">
      <c r="A871" s="283"/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</row>
    <row r="872">
      <c r="A872" s="283"/>
      <c r="B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</row>
    <row r="873">
      <c r="A873" s="283"/>
      <c r="B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</row>
    <row r="874">
      <c r="A874" s="283"/>
      <c r="B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</row>
    <row r="875">
      <c r="A875" s="283"/>
      <c r="B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</row>
    <row r="876">
      <c r="A876" s="283"/>
      <c r="B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</row>
    <row r="877">
      <c r="A877" s="283"/>
      <c r="B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</row>
    <row r="878">
      <c r="A878" s="283"/>
      <c r="B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</row>
    <row r="879">
      <c r="A879" s="283"/>
      <c r="B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</row>
    <row r="880">
      <c r="A880" s="283"/>
      <c r="B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</row>
    <row r="881">
      <c r="A881" s="283"/>
      <c r="B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</row>
    <row r="882">
      <c r="A882" s="283"/>
      <c r="B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</row>
    <row r="883">
      <c r="A883" s="283"/>
      <c r="B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</row>
    <row r="884">
      <c r="A884" s="283"/>
      <c r="B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</row>
    <row r="885">
      <c r="A885" s="283"/>
      <c r="B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</row>
    <row r="886">
      <c r="A886" s="283"/>
      <c r="B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</row>
    <row r="887">
      <c r="A887" s="283"/>
      <c r="B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</row>
    <row r="888">
      <c r="A888" s="283"/>
      <c r="B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</row>
    <row r="889">
      <c r="A889" s="283"/>
      <c r="B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</row>
    <row r="890">
      <c r="A890" s="283"/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</row>
    <row r="891">
      <c r="A891" s="283"/>
      <c r="B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</row>
    <row r="892">
      <c r="A892" s="283"/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</row>
    <row r="893">
      <c r="A893" s="283"/>
      <c r="B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</row>
    <row r="894">
      <c r="A894" s="283"/>
      <c r="B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</row>
    <row r="895">
      <c r="A895" s="283"/>
      <c r="B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</row>
    <row r="896">
      <c r="A896" s="283"/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</row>
    <row r="897">
      <c r="A897" s="283"/>
      <c r="B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</row>
    <row r="898">
      <c r="A898" s="283"/>
      <c r="B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</row>
    <row r="899">
      <c r="A899" s="283"/>
      <c r="B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</row>
    <row r="900">
      <c r="A900" s="283"/>
      <c r="B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</row>
    <row r="901">
      <c r="A901" s="283"/>
      <c r="B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</row>
    <row r="902">
      <c r="A902" s="283"/>
      <c r="B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</row>
    <row r="903">
      <c r="A903" s="283"/>
      <c r="B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</row>
    <row r="904">
      <c r="A904" s="283"/>
      <c r="B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</row>
    <row r="905">
      <c r="A905" s="283"/>
      <c r="B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</row>
    <row r="906">
      <c r="A906" s="283"/>
      <c r="B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</row>
    <row r="907">
      <c r="A907" s="283"/>
      <c r="B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</row>
    <row r="908">
      <c r="A908" s="283"/>
      <c r="B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</row>
    <row r="909">
      <c r="A909" s="283"/>
      <c r="B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</row>
    <row r="910">
      <c r="A910" s="283"/>
      <c r="B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</row>
    <row r="911">
      <c r="A911" s="283"/>
      <c r="B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</row>
    <row r="912">
      <c r="A912" s="283"/>
      <c r="B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</row>
    <row r="913">
      <c r="A913" s="283"/>
      <c r="B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</row>
    <row r="914">
      <c r="A914" s="283"/>
      <c r="B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</row>
    <row r="915">
      <c r="A915" s="283"/>
      <c r="B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</row>
    <row r="916">
      <c r="A916" s="283"/>
      <c r="B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</row>
    <row r="917">
      <c r="A917" s="283"/>
      <c r="B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</row>
    <row r="918">
      <c r="A918" s="283"/>
      <c r="B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</row>
    <row r="919">
      <c r="A919" s="283"/>
      <c r="B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</row>
    <row r="920">
      <c r="A920" s="283"/>
      <c r="B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</row>
    <row r="921">
      <c r="A921" s="283"/>
      <c r="B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</row>
    <row r="922">
      <c r="A922" s="283"/>
      <c r="B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</row>
    <row r="923">
      <c r="A923" s="283"/>
      <c r="B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</row>
    <row r="924">
      <c r="A924" s="283"/>
      <c r="B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</row>
    <row r="925">
      <c r="A925" s="283"/>
      <c r="B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</row>
    <row r="926">
      <c r="A926" s="283"/>
      <c r="B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</row>
    <row r="927">
      <c r="A927" s="283"/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</row>
    <row r="928">
      <c r="A928" s="283"/>
      <c r="B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</row>
    <row r="929">
      <c r="A929" s="283"/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</row>
    <row r="930">
      <c r="A930" s="283"/>
      <c r="B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</row>
    <row r="931">
      <c r="A931" s="283"/>
      <c r="B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</row>
    <row r="932">
      <c r="A932" s="283"/>
      <c r="B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</row>
    <row r="933">
      <c r="A933" s="283"/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</row>
    <row r="934">
      <c r="A934" s="283"/>
      <c r="B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</row>
    <row r="935">
      <c r="A935" s="283"/>
      <c r="B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</row>
    <row r="936">
      <c r="A936" s="283"/>
      <c r="B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</row>
    <row r="937">
      <c r="A937" s="283"/>
      <c r="B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</row>
    <row r="938">
      <c r="A938" s="283"/>
      <c r="B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</row>
    <row r="939">
      <c r="A939" s="283"/>
      <c r="B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</row>
    <row r="940">
      <c r="A940" s="283"/>
      <c r="B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</row>
    <row r="941">
      <c r="A941" s="283"/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</row>
    <row r="942">
      <c r="A942" s="283"/>
      <c r="B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</row>
    <row r="943">
      <c r="A943" s="283"/>
      <c r="B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</row>
    <row r="944">
      <c r="A944" s="283"/>
      <c r="B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</row>
    <row r="945">
      <c r="A945" s="283"/>
      <c r="B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</row>
    <row r="946">
      <c r="A946" s="283"/>
      <c r="B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</row>
    <row r="947">
      <c r="A947" s="283"/>
      <c r="B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</row>
    <row r="948">
      <c r="A948" s="283"/>
      <c r="B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</row>
    <row r="949">
      <c r="A949" s="283"/>
      <c r="B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</row>
    <row r="950">
      <c r="A950" s="283"/>
      <c r="B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</row>
    <row r="951">
      <c r="A951" s="283"/>
      <c r="B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</row>
    <row r="952">
      <c r="A952" s="283"/>
      <c r="B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</row>
    <row r="953">
      <c r="A953" s="283"/>
      <c r="B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</row>
    <row r="954">
      <c r="A954" s="283"/>
      <c r="B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</row>
    <row r="955">
      <c r="A955" s="283"/>
      <c r="B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</row>
    <row r="956">
      <c r="A956" s="283"/>
      <c r="B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</row>
    <row r="957">
      <c r="A957" s="283"/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</row>
    <row r="958">
      <c r="A958" s="283"/>
      <c r="B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</row>
    <row r="959">
      <c r="A959" s="283"/>
      <c r="B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</row>
    <row r="960">
      <c r="A960" s="283"/>
      <c r="B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</row>
    <row r="961">
      <c r="A961" s="283"/>
      <c r="B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</row>
    <row r="962">
      <c r="A962" s="283"/>
      <c r="B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</row>
    <row r="963">
      <c r="A963" s="283"/>
      <c r="B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</row>
    <row r="964">
      <c r="A964" s="283"/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</row>
    <row r="965">
      <c r="A965" s="283"/>
      <c r="B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</row>
    <row r="966">
      <c r="A966" s="283"/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</row>
    <row r="967">
      <c r="A967" s="283"/>
      <c r="B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</row>
    <row r="968">
      <c r="A968" s="283"/>
      <c r="B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</row>
    <row r="969">
      <c r="A969" s="283"/>
      <c r="B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</row>
    <row r="970">
      <c r="A970" s="283"/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</row>
    <row r="971">
      <c r="A971" s="283"/>
      <c r="B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</row>
    <row r="972">
      <c r="A972" s="283"/>
      <c r="B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</row>
    <row r="973">
      <c r="A973" s="283"/>
      <c r="B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</row>
    <row r="974">
      <c r="A974" s="283"/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</row>
    <row r="975">
      <c r="A975" s="283"/>
      <c r="B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</row>
    <row r="976">
      <c r="A976" s="283"/>
      <c r="B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</row>
    <row r="977">
      <c r="A977" s="283"/>
      <c r="B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</row>
    <row r="978">
      <c r="A978" s="283"/>
      <c r="B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</row>
    <row r="979">
      <c r="A979" s="283"/>
      <c r="B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</row>
    <row r="980">
      <c r="A980" s="283"/>
      <c r="B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</row>
    <row r="981">
      <c r="A981" s="283"/>
      <c r="B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</row>
    <row r="982">
      <c r="A982" s="283"/>
      <c r="B982" s="283"/>
      <c r="C982" s="283"/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</row>
    <row r="983">
      <c r="A983" s="283"/>
      <c r="B983" s="283"/>
      <c r="C983" s="283"/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</row>
    <row r="984">
      <c r="A984" s="283"/>
      <c r="B984" s="283"/>
      <c r="C984" s="283"/>
      <c r="D984" s="283"/>
      <c r="E984" s="283"/>
      <c r="F984" s="283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  <c r="Z984" s="283"/>
    </row>
    <row r="985">
      <c r="A985" s="283"/>
      <c r="B985" s="283"/>
      <c r="C985" s="283"/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</row>
    <row r="986">
      <c r="A986" s="283"/>
      <c r="B986" s="283"/>
      <c r="C986" s="283"/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</row>
    <row r="987">
      <c r="A987" s="283"/>
      <c r="B987" s="283"/>
      <c r="C987" s="283"/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</row>
    <row r="988">
      <c r="A988" s="283"/>
      <c r="B988" s="283"/>
      <c r="C988" s="283"/>
      <c r="D988" s="283"/>
      <c r="E988" s="283"/>
      <c r="F988" s="283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  <c r="Z988" s="283"/>
    </row>
    <row r="989">
      <c r="A989" s="283"/>
      <c r="B989" s="283"/>
      <c r="C989" s="283"/>
      <c r="D989" s="283"/>
      <c r="E989" s="283"/>
      <c r="F989" s="283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  <c r="Z989" s="283"/>
    </row>
    <row r="990">
      <c r="A990" s="283"/>
      <c r="B990" s="283"/>
      <c r="C990" s="283"/>
      <c r="D990" s="283"/>
      <c r="E990" s="283"/>
      <c r="F990" s="283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  <c r="Z990" s="283"/>
    </row>
    <row r="991">
      <c r="A991" s="283"/>
      <c r="B991" s="283"/>
      <c r="C991" s="283"/>
      <c r="D991" s="283"/>
      <c r="E991" s="283"/>
      <c r="F991" s="283"/>
      <c r="G991" s="283"/>
      <c r="H991" s="283"/>
      <c r="I991" s="283"/>
      <c r="J991" s="283"/>
      <c r="K991" s="283"/>
      <c r="L991" s="283"/>
      <c r="M991" s="283"/>
      <c r="N991" s="283"/>
      <c r="O991" s="283"/>
      <c r="P991" s="283"/>
      <c r="Q991" s="283"/>
      <c r="R991" s="283"/>
      <c r="S991" s="283"/>
      <c r="T991" s="283"/>
      <c r="U991" s="283"/>
      <c r="V991" s="283"/>
      <c r="W991" s="283"/>
      <c r="X991" s="283"/>
      <c r="Y991" s="283"/>
      <c r="Z991" s="283"/>
    </row>
    <row r="992">
      <c r="A992" s="283"/>
      <c r="B992" s="283"/>
      <c r="C992" s="283"/>
      <c r="D992" s="283"/>
      <c r="E992" s="283"/>
      <c r="F992" s="283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  <c r="Z992" s="283"/>
    </row>
    <row r="993">
      <c r="A993" s="283"/>
      <c r="B993" s="283"/>
      <c r="C993" s="283"/>
      <c r="D993" s="283"/>
      <c r="E993" s="283"/>
      <c r="F993" s="283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  <c r="Z993" s="283"/>
    </row>
    <row r="994">
      <c r="A994" s="283"/>
      <c r="B994" s="283"/>
      <c r="C994" s="283"/>
      <c r="D994" s="283"/>
      <c r="E994" s="283"/>
      <c r="F994" s="283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  <c r="Z994" s="283"/>
    </row>
    <row r="995">
      <c r="A995" s="283"/>
      <c r="B995" s="283"/>
      <c r="C995" s="283"/>
      <c r="D995" s="283"/>
      <c r="E995" s="283"/>
      <c r="F995" s="283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  <c r="Z995" s="283"/>
    </row>
    <row r="996">
      <c r="A996" s="283"/>
      <c r="B996" s="283"/>
      <c r="C996" s="283"/>
      <c r="D996" s="283"/>
      <c r="E996" s="283"/>
      <c r="F996" s="283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  <c r="Z996" s="283"/>
    </row>
    <row r="997">
      <c r="A997" s="283"/>
      <c r="B997" s="283"/>
      <c r="C997" s="283"/>
      <c r="D997" s="283"/>
      <c r="E997" s="283"/>
      <c r="F997" s="283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  <c r="Z997" s="283"/>
    </row>
    <row r="998">
      <c r="A998" s="283"/>
      <c r="B998" s="283"/>
      <c r="C998" s="283"/>
      <c r="D998" s="283"/>
      <c r="E998" s="283"/>
      <c r="F998" s="283"/>
      <c r="G998" s="283"/>
      <c r="H998" s="283"/>
      <c r="I998" s="283"/>
      <c r="J998" s="283"/>
      <c r="K998" s="283"/>
      <c r="L998" s="283"/>
      <c r="M998" s="283"/>
      <c r="N998" s="283"/>
      <c r="O998" s="283"/>
      <c r="P998" s="283"/>
      <c r="Q998" s="283"/>
      <c r="R998" s="283"/>
      <c r="S998" s="283"/>
      <c r="T998" s="283"/>
      <c r="U998" s="283"/>
      <c r="V998" s="283"/>
      <c r="W998" s="283"/>
      <c r="X998" s="283"/>
      <c r="Y998" s="283"/>
      <c r="Z998" s="283"/>
    </row>
    <row r="999">
      <c r="A999" s="283"/>
      <c r="B999" s="283"/>
      <c r="C999" s="283"/>
      <c r="D999" s="283"/>
      <c r="E999" s="283"/>
      <c r="F999" s="283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  <c r="T999" s="283"/>
      <c r="U999" s="283"/>
      <c r="V999" s="283"/>
      <c r="W999" s="283"/>
      <c r="X999" s="283"/>
      <c r="Y999" s="283"/>
      <c r="Z999" s="283"/>
    </row>
    <row r="1000">
      <c r="A1000" s="283"/>
      <c r="B1000" s="283"/>
      <c r="C1000" s="283"/>
      <c r="D1000" s="283"/>
      <c r="E1000" s="283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  <c r="T1000" s="283"/>
      <c r="U1000" s="283"/>
      <c r="V1000" s="283"/>
      <c r="W1000" s="283"/>
      <c r="X1000" s="283"/>
      <c r="Y1000" s="283"/>
      <c r="Z1000" s="283"/>
    </row>
    <row r="1001">
      <c r="A1001" s="283"/>
      <c r="B1001" s="283"/>
      <c r="C1001" s="283"/>
      <c r="D1001" s="283"/>
      <c r="E1001" s="283"/>
      <c r="F1001" s="283"/>
      <c r="G1001" s="283"/>
      <c r="H1001" s="283"/>
      <c r="I1001" s="283"/>
      <c r="J1001" s="283"/>
      <c r="K1001" s="283"/>
      <c r="L1001" s="283"/>
      <c r="M1001" s="283"/>
      <c r="N1001" s="283"/>
      <c r="O1001" s="283"/>
      <c r="P1001" s="283"/>
      <c r="Q1001" s="283"/>
      <c r="R1001" s="283"/>
      <c r="S1001" s="283"/>
      <c r="T1001" s="283"/>
      <c r="U1001" s="283"/>
      <c r="V1001" s="283"/>
      <c r="W1001" s="283"/>
      <c r="X1001" s="283"/>
      <c r="Y1001" s="283"/>
      <c r="Z1001" s="283"/>
    </row>
    <row r="1002">
      <c r="A1002" s="283"/>
      <c r="B1002" s="283"/>
      <c r="C1002" s="283"/>
      <c r="D1002" s="283"/>
      <c r="E1002" s="283"/>
      <c r="F1002" s="283"/>
      <c r="G1002" s="283"/>
      <c r="H1002" s="283"/>
      <c r="I1002" s="283"/>
      <c r="J1002" s="283"/>
      <c r="K1002" s="283"/>
      <c r="L1002" s="283"/>
      <c r="M1002" s="283"/>
      <c r="N1002" s="283"/>
      <c r="O1002" s="283"/>
      <c r="P1002" s="283"/>
      <c r="Q1002" s="283"/>
      <c r="R1002" s="283"/>
      <c r="S1002" s="283"/>
      <c r="T1002" s="283"/>
      <c r="U1002" s="283"/>
      <c r="V1002" s="283"/>
      <c r="W1002" s="283"/>
      <c r="X1002" s="283"/>
      <c r="Y1002" s="283"/>
      <c r="Z1002" s="283"/>
    </row>
    <row r="1003">
      <c r="A1003" s="283"/>
      <c r="B1003" s="283"/>
      <c r="C1003" s="283"/>
      <c r="D1003" s="283"/>
      <c r="E1003" s="283"/>
      <c r="F1003" s="283"/>
      <c r="G1003" s="283"/>
      <c r="H1003" s="283"/>
      <c r="I1003" s="283"/>
      <c r="J1003" s="283"/>
      <c r="K1003" s="283"/>
      <c r="L1003" s="283"/>
      <c r="M1003" s="283"/>
      <c r="N1003" s="283"/>
      <c r="O1003" s="283"/>
      <c r="P1003" s="283"/>
      <c r="Q1003" s="283"/>
      <c r="R1003" s="283"/>
      <c r="S1003" s="283"/>
      <c r="T1003" s="283"/>
      <c r="U1003" s="283"/>
      <c r="V1003" s="283"/>
      <c r="W1003" s="283"/>
      <c r="X1003" s="283"/>
      <c r="Y1003" s="283"/>
      <c r="Z1003" s="283"/>
    </row>
    <row r="1004">
      <c r="A1004" s="283"/>
      <c r="B1004" s="283"/>
      <c r="C1004" s="283"/>
      <c r="D1004" s="283"/>
      <c r="E1004" s="283"/>
      <c r="F1004" s="283"/>
      <c r="G1004" s="283"/>
      <c r="H1004" s="283"/>
      <c r="I1004" s="283"/>
      <c r="J1004" s="283"/>
      <c r="K1004" s="283"/>
      <c r="L1004" s="283"/>
      <c r="M1004" s="283"/>
      <c r="N1004" s="283"/>
      <c r="O1004" s="283"/>
      <c r="P1004" s="283"/>
      <c r="Q1004" s="283"/>
      <c r="R1004" s="283"/>
      <c r="S1004" s="283"/>
      <c r="T1004" s="283"/>
      <c r="U1004" s="283"/>
      <c r="V1004" s="283"/>
      <c r="W1004" s="283"/>
      <c r="X1004" s="283"/>
      <c r="Y1004" s="283"/>
      <c r="Z1004" s="283"/>
    </row>
    <row r="1005">
      <c r="A1005" s="283"/>
      <c r="B1005" s="283"/>
      <c r="C1005" s="283"/>
      <c r="D1005" s="283"/>
      <c r="E1005" s="283"/>
      <c r="F1005" s="283"/>
      <c r="G1005" s="283"/>
      <c r="H1005" s="283"/>
      <c r="I1005" s="283"/>
      <c r="J1005" s="283"/>
      <c r="K1005" s="283"/>
      <c r="L1005" s="283"/>
      <c r="M1005" s="283"/>
      <c r="N1005" s="283"/>
      <c r="O1005" s="283"/>
      <c r="P1005" s="283"/>
      <c r="Q1005" s="283"/>
      <c r="R1005" s="283"/>
      <c r="S1005" s="283"/>
      <c r="T1005" s="283"/>
      <c r="U1005" s="283"/>
      <c r="V1005" s="283"/>
      <c r="W1005" s="283"/>
      <c r="X1005" s="283"/>
      <c r="Y1005" s="283"/>
      <c r="Z1005" s="283"/>
    </row>
    <row r="1006">
      <c r="A1006" s="283"/>
      <c r="B1006" s="283"/>
      <c r="C1006" s="283"/>
      <c r="D1006" s="283"/>
      <c r="E1006" s="283"/>
      <c r="F1006" s="283"/>
      <c r="G1006" s="283"/>
      <c r="H1006" s="283"/>
      <c r="I1006" s="283"/>
      <c r="J1006" s="283"/>
      <c r="K1006" s="283"/>
      <c r="L1006" s="283"/>
      <c r="M1006" s="283"/>
      <c r="N1006" s="283"/>
      <c r="O1006" s="283"/>
      <c r="P1006" s="283"/>
      <c r="Q1006" s="283"/>
      <c r="R1006" s="283"/>
      <c r="S1006" s="283"/>
      <c r="T1006" s="283"/>
      <c r="U1006" s="283"/>
      <c r="V1006" s="283"/>
      <c r="W1006" s="283"/>
      <c r="X1006" s="283"/>
      <c r="Y1006" s="283"/>
      <c r="Z1006" s="283"/>
    </row>
    <row r="1007">
      <c r="A1007" s="283"/>
      <c r="B1007" s="283"/>
      <c r="C1007" s="283"/>
      <c r="D1007" s="283"/>
      <c r="E1007" s="283"/>
      <c r="F1007" s="283"/>
      <c r="G1007" s="283"/>
      <c r="H1007" s="283"/>
      <c r="I1007" s="283"/>
      <c r="J1007" s="283"/>
      <c r="K1007" s="283"/>
      <c r="L1007" s="283"/>
      <c r="M1007" s="283"/>
      <c r="N1007" s="283"/>
      <c r="O1007" s="283"/>
      <c r="P1007" s="283"/>
      <c r="Q1007" s="283"/>
      <c r="R1007" s="283"/>
      <c r="S1007" s="283"/>
      <c r="T1007" s="283"/>
      <c r="U1007" s="283"/>
      <c r="V1007" s="283"/>
      <c r="W1007" s="283"/>
      <c r="X1007" s="283"/>
      <c r="Y1007" s="283"/>
      <c r="Z1007" s="283"/>
    </row>
    <row r="1008">
      <c r="A1008" s="283"/>
      <c r="B1008" s="283"/>
      <c r="C1008" s="283"/>
      <c r="D1008" s="283"/>
      <c r="E1008" s="283"/>
      <c r="F1008" s="283"/>
      <c r="G1008" s="283"/>
      <c r="H1008" s="283"/>
      <c r="I1008" s="283"/>
      <c r="J1008" s="283"/>
      <c r="K1008" s="283"/>
      <c r="L1008" s="283"/>
      <c r="M1008" s="283"/>
      <c r="N1008" s="283"/>
      <c r="O1008" s="283"/>
      <c r="P1008" s="283"/>
      <c r="Q1008" s="283"/>
      <c r="R1008" s="283"/>
      <c r="S1008" s="283"/>
      <c r="T1008" s="283"/>
      <c r="U1008" s="283"/>
      <c r="V1008" s="283"/>
      <c r="W1008" s="283"/>
      <c r="X1008" s="283"/>
      <c r="Y1008" s="283"/>
      <c r="Z1008" s="283"/>
    </row>
    <row r="1009">
      <c r="A1009" s="283"/>
      <c r="B1009" s="283"/>
      <c r="C1009" s="283"/>
      <c r="D1009" s="283"/>
      <c r="E1009" s="283"/>
      <c r="F1009" s="283"/>
      <c r="G1009" s="283"/>
      <c r="H1009" s="283"/>
      <c r="I1009" s="283"/>
      <c r="J1009" s="283"/>
      <c r="K1009" s="283"/>
      <c r="L1009" s="283"/>
      <c r="M1009" s="283"/>
      <c r="N1009" s="283"/>
      <c r="O1009" s="283"/>
      <c r="P1009" s="283"/>
      <c r="Q1009" s="283"/>
      <c r="R1009" s="283"/>
      <c r="S1009" s="283"/>
      <c r="T1009" s="283"/>
      <c r="U1009" s="283"/>
      <c r="V1009" s="283"/>
      <c r="W1009" s="283"/>
      <c r="X1009" s="283"/>
      <c r="Y1009" s="283"/>
      <c r="Z1009" s="283"/>
    </row>
    <row r="1010">
      <c r="A1010" s="283"/>
      <c r="B1010" s="283"/>
      <c r="C1010" s="283"/>
      <c r="D1010" s="283"/>
      <c r="E1010" s="283"/>
      <c r="F1010" s="283"/>
      <c r="G1010" s="283"/>
      <c r="H1010" s="283"/>
      <c r="I1010" s="283"/>
      <c r="J1010" s="283"/>
      <c r="K1010" s="283"/>
      <c r="L1010" s="283"/>
      <c r="M1010" s="283"/>
      <c r="N1010" s="283"/>
      <c r="O1010" s="283"/>
      <c r="P1010" s="283"/>
      <c r="Q1010" s="283"/>
      <c r="R1010" s="283"/>
      <c r="S1010" s="283"/>
      <c r="T1010" s="283"/>
      <c r="U1010" s="283"/>
      <c r="V1010" s="283"/>
      <c r="W1010" s="283"/>
      <c r="X1010" s="283"/>
      <c r="Y1010" s="283"/>
      <c r="Z1010" s="283"/>
    </row>
    <row r="1011">
      <c r="A1011" s="283"/>
      <c r="B1011" s="283"/>
      <c r="C1011" s="283"/>
      <c r="D1011" s="283"/>
      <c r="E1011" s="283"/>
      <c r="F1011" s="283"/>
      <c r="G1011" s="283"/>
      <c r="H1011" s="283"/>
      <c r="I1011" s="283"/>
      <c r="J1011" s="283"/>
      <c r="K1011" s="283"/>
      <c r="L1011" s="283"/>
      <c r="M1011" s="283"/>
      <c r="N1011" s="283"/>
      <c r="O1011" s="283"/>
      <c r="P1011" s="283"/>
      <c r="Q1011" s="283"/>
      <c r="R1011" s="283"/>
      <c r="S1011" s="283"/>
      <c r="T1011" s="283"/>
      <c r="U1011" s="283"/>
      <c r="V1011" s="283"/>
      <c r="W1011" s="283"/>
      <c r="X1011" s="283"/>
      <c r="Y1011" s="283"/>
      <c r="Z1011" s="283"/>
    </row>
    <row r="1012">
      <c r="A1012" s="283"/>
      <c r="B1012" s="283"/>
      <c r="C1012" s="283"/>
      <c r="D1012" s="283"/>
      <c r="E1012" s="283"/>
      <c r="F1012" s="283"/>
      <c r="G1012" s="283"/>
      <c r="H1012" s="283"/>
      <c r="I1012" s="283"/>
      <c r="J1012" s="283"/>
      <c r="K1012" s="283"/>
      <c r="L1012" s="283"/>
      <c r="M1012" s="283"/>
      <c r="N1012" s="283"/>
      <c r="O1012" s="283"/>
      <c r="P1012" s="283"/>
      <c r="Q1012" s="283"/>
      <c r="R1012" s="283"/>
      <c r="S1012" s="283"/>
      <c r="T1012" s="283"/>
      <c r="U1012" s="283"/>
      <c r="V1012" s="283"/>
      <c r="W1012" s="283"/>
      <c r="X1012" s="283"/>
      <c r="Y1012" s="283"/>
      <c r="Z1012" s="283"/>
    </row>
    <row r="1013">
      <c r="A1013" s="283"/>
      <c r="B1013" s="283"/>
      <c r="C1013" s="283"/>
      <c r="D1013" s="283"/>
      <c r="E1013" s="283"/>
      <c r="F1013" s="283"/>
      <c r="G1013" s="283"/>
      <c r="H1013" s="283"/>
      <c r="I1013" s="283"/>
      <c r="J1013" s="283"/>
      <c r="K1013" s="283"/>
      <c r="L1013" s="283"/>
      <c r="M1013" s="283"/>
      <c r="N1013" s="283"/>
      <c r="O1013" s="283"/>
      <c r="P1013" s="283"/>
      <c r="Q1013" s="283"/>
      <c r="R1013" s="283"/>
      <c r="S1013" s="283"/>
      <c r="T1013" s="283"/>
      <c r="U1013" s="283"/>
      <c r="V1013" s="283"/>
      <c r="W1013" s="283"/>
      <c r="X1013" s="283"/>
      <c r="Y1013" s="283"/>
      <c r="Z1013" s="283"/>
    </row>
    <row r="1014">
      <c r="A1014" s="283"/>
      <c r="B1014" s="283"/>
      <c r="C1014" s="283"/>
      <c r="D1014" s="283"/>
      <c r="E1014" s="283"/>
      <c r="F1014" s="283"/>
      <c r="G1014" s="283"/>
      <c r="H1014" s="283"/>
      <c r="I1014" s="283"/>
      <c r="J1014" s="283"/>
      <c r="K1014" s="283"/>
      <c r="L1014" s="283"/>
      <c r="M1014" s="283"/>
      <c r="N1014" s="283"/>
      <c r="O1014" s="283"/>
      <c r="P1014" s="283"/>
      <c r="Q1014" s="283"/>
      <c r="R1014" s="283"/>
      <c r="S1014" s="283"/>
      <c r="T1014" s="283"/>
      <c r="U1014" s="283"/>
      <c r="V1014" s="283"/>
      <c r="W1014" s="283"/>
      <c r="X1014" s="283"/>
      <c r="Y1014" s="283"/>
      <c r="Z1014" s="283"/>
    </row>
    <row r="1015">
      <c r="A1015" s="283"/>
      <c r="B1015" s="283"/>
      <c r="C1015" s="283"/>
      <c r="D1015" s="283"/>
      <c r="E1015" s="283"/>
      <c r="F1015" s="283"/>
      <c r="G1015" s="283"/>
      <c r="H1015" s="283"/>
      <c r="I1015" s="283"/>
      <c r="J1015" s="283"/>
      <c r="K1015" s="283"/>
      <c r="L1015" s="283"/>
      <c r="M1015" s="283"/>
      <c r="N1015" s="283"/>
      <c r="O1015" s="283"/>
      <c r="P1015" s="283"/>
      <c r="Q1015" s="283"/>
      <c r="R1015" s="283"/>
      <c r="S1015" s="283"/>
      <c r="T1015" s="283"/>
      <c r="U1015" s="283"/>
      <c r="V1015" s="283"/>
      <c r="W1015" s="283"/>
      <c r="X1015" s="283"/>
      <c r="Y1015" s="283"/>
      <c r="Z1015" s="283"/>
    </row>
    <row r="1016">
      <c r="A1016" s="283"/>
      <c r="B1016" s="283"/>
      <c r="C1016" s="283"/>
      <c r="D1016" s="283"/>
      <c r="E1016" s="283"/>
      <c r="F1016" s="283"/>
      <c r="G1016" s="283"/>
      <c r="H1016" s="283"/>
      <c r="I1016" s="283"/>
      <c r="J1016" s="283"/>
      <c r="K1016" s="283"/>
      <c r="L1016" s="283"/>
      <c r="M1016" s="283"/>
      <c r="N1016" s="283"/>
      <c r="O1016" s="283"/>
      <c r="P1016" s="283"/>
      <c r="Q1016" s="283"/>
      <c r="R1016" s="283"/>
      <c r="S1016" s="283"/>
      <c r="T1016" s="283"/>
      <c r="U1016" s="283"/>
      <c r="V1016" s="283"/>
      <c r="W1016" s="283"/>
      <c r="X1016" s="283"/>
      <c r="Y1016" s="283"/>
      <c r="Z1016" s="283"/>
    </row>
    <row r="1017">
      <c r="A1017" s="283"/>
      <c r="B1017" s="283"/>
      <c r="C1017" s="283"/>
      <c r="D1017" s="283"/>
      <c r="E1017" s="283"/>
      <c r="F1017" s="283"/>
      <c r="G1017" s="283"/>
      <c r="H1017" s="283"/>
      <c r="I1017" s="283"/>
      <c r="J1017" s="283"/>
      <c r="K1017" s="283"/>
      <c r="L1017" s="283"/>
      <c r="M1017" s="283"/>
      <c r="N1017" s="283"/>
      <c r="O1017" s="283"/>
      <c r="P1017" s="283"/>
      <c r="Q1017" s="283"/>
      <c r="R1017" s="283"/>
      <c r="S1017" s="283"/>
      <c r="T1017" s="283"/>
      <c r="U1017" s="283"/>
      <c r="V1017" s="283"/>
      <c r="W1017" s="283"/>
      <c r="X1017" s="283"/>
      <c r="Y1017" s="283"/>
      <c r="Z1017" s="283"/>
    </row>
    <row r="1018">
      <c r="A1018" s="283"/>
      <c r="B1018" s="283"/>
      <c r="C1018" s="283"/>
      <c r="D1018" s="283"/>
      <c r="E1018" s="283"/>
      <c r="F1018" s="283"/>
      <c r="G1018" s="283"/>
      <c r="H1018" s="283"/>
      <c r="I1018" s="283"/>
      <c r="J1018" s="283"/>
      <c r="K1018" s="283"/>
      <c r="L1018" s="283"/>
      <c r="M1018" s="283"/>
      <c r="N1018" s="283"/>
      <c r="O1018" s="283"/>
      <c r="P1018" s="283"/>
      <c r="Q1018" s="283"/>
      <c r="R1018" s="283"/>
      <c r="S1018" s="283"/>
      <c r="T1018" s="283"/>
      <c r="U1018" s="283"/>
      <c r="V1018" s="283"/>
      <c r="W1018" s="283"/>
      <c r="X1018" s="283"/>
      <c r="Y1018" s="283"/>
      <c r="Z1018" s="283"/>
    </row>
    <row r="1019">
      <c r="A1019" s="283"/>
      <c r="B1019" s="283"/>
      <c r="C1019" s="283"/>
      <c r="D1019" s="283"/>
      <c r="E1019" s="283"/>
      <c r="F1019" s="283"/>
      <c r="G1019" s="283"/>
      <c r="H1019" s="283"/>
      <c r="I1019" s="283"/>
      <c r="J1019" s="283"/>
      <c r="K1019" s="283"/>
      <c r="L1019" s="283"/>
      <c r="M1019" s="283"/>
      <c r="N1019" s="283"/>
      <c r="O1019" s="283"/>
      <c r="P1019" s="283"/>
      <c r="Q1019" s="283"/>
      <c r="R1019" s="283"/>
      <c r="S1019" s="283"/>
      <c r="T1019" s="283"/>
      <c r="U1019" s="283"/>
      <c r="V1019" s="283"/>
      <c r="W1019" s="283"/>
      <c r="X1019" s="283"/>
      <c r="Y1019" s="283"/>
      <c r="Z1019" s="283"/>
    </row>
    <row r="1020">
      <c r="A1020" s="283"/>
      <c r="B1020" s="283"/>
      <c r="C1020" s="283"/>
      <c r="D1020" s="283"/>
      <c r="E1020" s="283"/>
      <c r="F1020" s="283"/>
      <c r="G1020" s="283"/>
      <c r="H1020" s="283"/>
      <c r="I1020" s="283"/>
      <c r="J1020" s="283"/>
      <c r="K1020" s="283"/>
      <c r="L1020" s="283"/>
      <c r="M1020" s="283"/>
      <c r="N1020" s="283"/>
      <c r="O1020" s="283"/>
      <c r="P1020" s="283"/>
      <c r="Q1020" s="283"/>
      <c r="R1020" s="283"/>
      <c r="S1020" s="283"/>
      <c r="T1020" s="283"/>
      <c r="U1020" s="283"/>
      <c r="V1020" s="283"/>
      <c r="W1020" s="283"/>
      <c r="X1020" s="283"/>
      <c r="Y1020" s="283"/>
      <c r="Z1020" s="283"/>
    </row>
    <row r="1021">
      <c r="A1021" s="283"/>
      <c r="B1021" s="283"/>
      <c r="C1021" s="283"/>
      <c r="D1021" s="283"/>
      <c r="E1021" s="283"/>
      <c r="F1021" s="283"/>
      <c r="G1021" s="283"/>
      <c r="H1021" s="283"/>
      <c r="I1021" s="283"/>
      <c r="J1021" s="283"/>
      <c r="K1021" s="283"/>
      <c r="L1021" s="283"/>
      <c r="M1021" s="283"/>
      <c r="N1021" s="283"/>
      <c r="O1021" s="283"/>
      <c r="P1021" s="283"/>
      <c r="Q1021" s="283"/>
      <c r="R1021" s="283"/>
      <c r="S1021" s="283"/>
      <c r="T1021" s="283"/>
      <c r="U1021" s="283"/>
      <c r="V1021" s="283"/>
      <c r="W1021" s="283"/>
      <c r="X1021" s="283"/>
      <c r="Y1021" s="283"/>
      <c r="Z1021" s="283"/>
    </row>
    <row r="1022">
      <c r="A1022" s="283"/>
      <c r="B1022" s="283"/>
      <c r="C1022" s="283"/>
      <c r="D1022" s="283"/>
      <c r="E1022" s="283"/>
      <c r="F1022" s="283"/>
      <c r="G1022" s="283"/>
      <c r="H1022" s="283"/>
      <c r="I1022" s="283"/>
      <c r="J1022" s="283"/>
      <c r="K1022" s="283"/>
      <c r="L1022" s="283"/>
      <c r="M1022" s="283"/>
      <c r="N1022" s="283"/>
      <c r="O1022" s="283"/>
      <c r="P1022" s="283"/>
      <c r="Q1022" s="283"/>
      <c r="R1022" s="283"/>
      <c r="S1022" s="283"/>
      <c r="T1022" s="283"/>
      <c r="U1022" s="283"/>
      <c r="V1022" s="283"/>
      <c r="W1022" s="283"/>
      <c r="X1022" s="283"/>
      <c r="Y1022" s="283"/>
      <c r="Z1022" s="283"/>
    </row>
    <row r="1023">
      <c r="A1023" s="283"/>
      <c r="B1023" s="283"/>
      <c r="C1023" s="283"/>
      <c r="D1023" s="283"/>
      <c r="E1023" s="283"/>
      <c r="F1023" s="283"/>
      <c r="G1023" s="283"/>
      <c r="H1023" s="283"/>
      <c r="I1023" s="283"/>
      <c r="J1023" s="283"/>
      <c r="K1023" s="283"/>
      <c r="L1023" s="283"/>
      <c r="M1023" s="283"/>
      <c r="N1023" s="283"/>
      <c r="O1023" s="283"/>
      <c r="P1023" s="283"/>
      <c r="Q1023" s="283"/>
      <c r="R1023" s="283"/>
      <c r="S1023" s="283"/>
      <c r="T1023" s="283"/>
      <c r="U1023" s="283"/>
      <c r="V1023" s="283"/>
      <c r="W1023" s="283"/>
      <c r="X1023" s="283"/>
      <c r="Y1023" s="283"/>
      <c r="Z1023" s="283"/>
    </row>
    <row r="1024">
      <c r="A1024" s="283"/>
      <c r="B1024" s="283"/>
      <c r="C1024" s="283"/>
      <c r="D1024" s="283"/>
      <c r="E1024" s="283"/>
      <c r="F1024" s="283"/>
      <c r="G1024" s="283"/>
      <c r="H1024" s="283"/>
      <c r="I1024" s="283"/>
      <c r="J1024" s="283"/>
      <c r="K1024" s="283"/>
      <c r="L1024" s="283"/>
      <c r="M1024" s="283"/>
      <c r="N1024" s="283"/>
      <c r="O1024" s="283"/>
      <c r="P1024" s="283"/>
      <c r="Q1024" s="283"/>
      <c r="R1024" s="283"/>
      <c r="S1024" s="283"/>
      <c r="T1024" s="283"/>
      <c r="U1024" s="283"/>
      <c r="V1024" s="283"/>
      <c r="W1024" s="283"/>
      <c r="X1024" s="283"/>
      <c r="Y1024" s="283"/>
      <c r="Z1024" s="283"/>
    </row>
    <row r="1025">
      <c r="A1025" s="283"/>
      <c r="B1025" s="283"/>
      <c r="C1025" s="283"/>
      <c r="D1025" s="283"/>
      <c r="E1025" s="283"/>
      <c r="F1025" s="283"/>
      <c r="G1025" s="283"/>
      <c r="H1025" s="283"/>
      <c r="I1025" s="283"/>
      <c r="J1025" s="283"/>
      <c r="K1025" s="283"/>
      <c r="L1025" s="283"/>
      <c r="M1025" s="283"/>
      <c r="N1025" s="283"/>
      <c r="O1025" s="283"/>
      <c r="P1025" s="283"/>
      <c r="Q1025" s="283"/>
      <c r="R1025" s="283"/>
      <c r="S1025" s="283"/>
      <c r="T1025" s="283"/>
      <c r="U1025" s="283"/>
      <c r="V1025" s="283"/>
      <c r="W1025" s="283"/>
      <c r="X1025" s="283"/>
      <c r="Y1025" s="283"/>
      <c r="Z1025" s="283"/>
    </row>
    <row r="1026">
      <c r="A1026" s="283"/>
      <c r="B1026" s="283"/>
      <c r="C1026" s="283"/>
      <c r="D1026" s="283"/>
      <c r="E1026" s="283"/>
      <c r="F1026" s="283"/>
      <c r="G1026" s="283"/>
      <c r="H1026" s="283"/>
      <c r="I1026" s="283"/>
      <c r="J1026" s="283"/>
      <c r="K1026" s="283"/>
      <c r="L1026" s="283"/>
      <c r="M1026" s="283"/>
      <c r="N1026" s="283"/>
      <c r="O1026" s="283"/>
      <c r="P1026" s="283"/>
      <c r="Q1026" s="283"/>
      <c r="R1026" s="283"/>
      <c r="S1026" s="283"/>
      <c r="T1026" s="283"/>
      <c r="U1026" s="283"/>
      <c r="V1026" s="283"/>
      <c r="W1026" s="283"/>
      <c r="X1026" s="283"/>
      <c r="Y1026" s="283"/>
      <c r="Z1026" s="283"/>
    </row>
    <row r="1027">
      <c r="A1027" s="283"/>
      <c r="B1027" s="283"/>
      <c r="C1027" s="283"/>
      <c r="D1027" s="283"/>
      <c r="E1027" s="283"/>
      <c r="F1027" s="283"/>
      <c r="G1027" s="283"/>
      <c r="H1027" s="283"/>
      <c r="I1027" s="283"/>
      <c r="J1027" s="283"/>
      <c r="K1027" s="283"/>
      <c r="L1027" s="283"/>
      <c r="M1027" s="283"/>
      <c r="N1027" s="283"/>
      <c r="O1027" s="283"/>
      <c r="P1027" s="283"/>
      <c r="Q1027" s="283"/>
      <c r="R1027" s="283"/>
      <c r="S1027" s="283"/>
      <c r="T1027" s="283"/>
      <c r="U1027" s="283"/>
      <c r="V1027" s="283"/>
      <c r="W1027" s="283"/>
      <c r="X1027" s="283"/>
      <c r="Y1027" s="283"/>
      <c r="Z1027" s="283"/>
    </row>
    <row r="1028">
      <c r="A1028" s="283"/>
      <c r="B1028" s="283"/>
      <c r="C1028" s="283"/>
      <c r="D1028" s="283"/>
      <c r="E1028" s="283"/>
      <c r="F1028" s="283"/>
      <c r="G1028" s="283"/>
      <c r="H1028" s="283"/>
      <c r="I1028" s="283"/>
      <c r="J1028" s="283"/>
      <c r="K1028" s="283"/>
      <c r="L1028" s="283"/>
      <c r="M1028" s="283"/>
      <c r="N1028" s="283"/>
      <c r="O1028" s="283"/>
      <c r="P1028" s="283"/>
      <c r="Q1028" s="283"/>
      <c r="R1028" s="283"/>
      <c r="S1028" s="283"/>
      <c r="T1028" s="283"/>
      <c r="U1028" s="283"/>
      <c r="V1028" s="283"/>
      <c r="W1028" s="283"/>
      <c r="X1028" s="283"/>
      <c r="Y1028" s="283"/>
      <c r="Z1028" s="283"/>
    </row>
    <row r="1029">
      <c r="A1029" s="283"/>
      <c r="B1029" s="283"/>
      <c r="C1029" s="283"/>
      <c r="D1029" s="283"/>
      <c r="E1029" s="283"/>
      <c r="F1029" s="283"/>
      <c r="G1029" s="283"/>
      <c r="H1029" s="283"/>
      <c r="I1029" s="283"/>
      <c r="J1029" s="283"/>
      <c r="K1029" s="283"/>
      <c r="L1029" s="283"/>
      <c r="M1029" s="283"/>
      <c r="N1029" s="283"/>
      <c r="O1029" s="283"/>
      <c r="P1029" s="283"/>
      <c r="Q1029" s="283"/>
      <c r="R1029" s="283"/>
      <c r="S1029" s="283"/>
      <c r="T1029" s="283"/>
      <c r="U1029" s="283"/>
      <c r="V1029" s="283"/>
      <c r="W1029" s="283"/>
      <c r="X1029" s="283"/>
      <c r="Y1029" s="283"/>
      <c r="Z1029" s="283"/>
    </row>
    <row r="1030">
      <c r="A1030" s="283"/>
      <c r="B1030" s="283"/>
      <c r="C1030" s="283"/>
      <c r="D1030" s="283"/>
      <c r="E1030" s="283"/>
      <c r="F1030" s="283"/>
      <c r="G1030" s="283"/>
      <c r="H1030" s="283"/>
      <c r="I1030" s="283"/>
      <c r="J1030" s="283"/>
      <c r="K1030" s="283"/>
      <c r="L1030" s="283"/>
      <c r="M1030" s="283"/>
      <c r="N1030" s="283"/>
      <c r="O1030" s="283"/>
      <c r="P1030" s="283"/>
      <c r="Q1030" s="283"/>
      <c r="R1030" s="283"/>
      <c r="S1030" s="283"/>
      <c r="T1030" s="283"/>
      <c r="U1030" s="283"/>
      <c r="V1030" s="283"/>
      <c r="W1030" s="283"/>
      <c r="X1030" s="283"/>
      <c r="Y1030" s="283"/>
      <c r="Z1030" s="283"/>
    </row>
    <row r="1031">
      <c r="A1031" s="283"/>
      <c r="B1031" s="283"/>
      <c r="C1031" s="283"/>
      <c r="D1031" s="283"/>
      <c r="E1031" s="283"/>
      <c r="F1031" s="283"/>
      <c r="G1031" s="283"/>
      <c r="H1031" s="283"/>
      <c r="I1031" s="283"/>
      <c r="J1031" s="283"/>
      <c r="K1031" s="283"/>
      <c r="L1031" s="283"/>
      <c r="M1031" s="283"/>
      <c r="N1031" s="283"/>
      <c r="O1031" s="283"/>
      <c r="P1031" s="283"/>
      <c r="Q1031" s="283"/>
      <c r="R1031" s="283"/>
      <c r="S1031" s="283"/>
      <c r="T1031" s="283"/>
      <c r="U1031" s="283"/>
      <c r="V1031" s="283"/>
      <c r="W1031" s="283"/>
      <c r="X1031" s="283"/>
      <c r="Y1031" s="283"/>
      <c r="Z1031" s="283"/>
    </row>
    <row r="1032">
      <c r="A1032" s="283"/>
      <c r="B1032" s="283"/>
      <c r="C1032" s="283"/>
      <c r="D1032" s="283"/>
      <c r="E1032" s="283"/>
      <c r="F1032" s="283"/>
      <c r="G1032" s="283"/>
      <c r="H1032" s="283"/>
      <c r="I1032" s="283"/>
      <c r="J1032" s="283"/>
      <c r="K1032" s="283"/>
      <c r="L1032" s="283"/>
      <c r="M1032" s="283"/>
      <c r="N1032" s="283"/>
      <c r="O1032" s="283"/>
      <c r="P1032" s="283"/>
      <c r="Q1032" s="283"/>
      <c r="R1032" s="283"/>
      <c r="S1032" s="283"/>
      <c r="T1032" s="283"/>
      <c r="U1032" s="283"/>
      <c r="V1032" s="283"/>
      <c r="W1032" s="283"/>
      <c r="X1032" s="283"/>
      <c r="Y1032" s="283"/>
      <c r="Z1032" s="283"/>
    </row>
    <row r="1033">
      <c r="A1033" s="283"/>
      <c r="B1033" s="283"/>
      <c r="C1033" s="283"/>
      <c r="D1033" s="283"/>
      <c r="E1033" s="283"/>
      <c r="F1033" s="283"/>
      <c r="G1033" s="283"/>
      <c r="H1033" s="283"/>
      <c r="I1033" s="283"/>
      <c r="J1033" s="283"/>
      <c r="K1033" s="283"/>
      <c r="L1033" s="283"/>
      <c r="M1033" s="283"/>
      <c r="N1033" s="283"/>
      <c r="O1033" s="283"/>
      <c r="P1033" s="283"/>
      <c r="Q1033" s="283"/>
      <c r="R1033" s="283"/>
      <c r="S1033" s="283"/>
      <c r="T1033" s="283"/>
      <c r="U1033" s="283"/>
      <c r="V1033" s="283"/>
      <c r="W1033" s="283"/>
      <c r="X1033" s="283"/>
      <c r="Y1033" s="283"/>
      <c r="Z1033" s="283"/>
    </row>
    <row r="1034">
      <c r="A1034" s="283"/>
      <c r="B1034" s="283"/>
      <c r="C1034" s="283"/>
      <c r="D1034" s="283"/>
      <c r="E1034" s="283"/>
      <c r="F1034" s="283"/>
      <c r="G1034" s="283"/>
      <c r="H1034" s="283"/>
      <c r="I1034" s="283"/>
      <c r="J1034" s="283"/>
      <c r="K1034" s="283"/>
      <c r="L1034" s="283"/>
      <c r="M1034" s="283"/>
      <c r="N1034" s="283"/>
      <c r="O1034" s="283"/>
      <c r="P1034" s="283"/>
      <c r="Q1034" s="283"/>
      <c r="R1034" s="283"/>
      <c r="S1034" s="283"/>
      <c r="T1034" s="283"/>
      <c r="U1034" s="283"/>
      <c r="V1034" s="283"/>
      <c r="W1034" s="283"/>
      <c r="X1034" s="283"/>
      <c r="Y1034" s="283"/>
      <c r="Z1034" s="283"/>
    </row>
    <row r="1035">
      <c r="A1035" s="283"/>
      <c r="B1035" s="283"/>
      <c r="C1035" s="283"/>
      <c r="D1035" s="283"/>
      <c r="E1035" s="283"/>
      <c r="F1035" s="283"/>
      <c r="G1035" s="283"/>
      <c r="H1035" s="283"/>
      <c r="I1035" s="283"/>
      <c r="J1035" s="283"/>
      <c r="K1035" s="283"/>
      <c r="L1035" s="283"/>
      <c r="M1035" s="283"/>
      <c r="N1035" s="283"/>
      <c r="O1035" s="283"/>
      <c r="P1035" s="283"/>
      <c r="Q1035" s="283"/>
      <c r="R1035" s="283"/>
      <c r="S1035" s="283"/>
      <c r="T1035" s="283"/>
      <c r="U1035" s="283"/>
      <c r="V1035" s="283"/>
      <c r="W1035" s="283"/>
      <c r="X1035" s="283"/>
      <c r="Y1035" s="283"/>
      <c r="Z1035" s="283"/>
    </row>
    <row r="1036">
      <c r="A1036" s="283"/>
      <c r="B1036" s="283"/>
      <c r="C1036" s="283"/>
      <c r="D1036" s="283"/>
      <c r="E1036" s="283"/>
      <c r="F1036" s="283"/>
      <c r="G1036" s="283"/>
      <c r="H1036" s="283"/>
      <c r="I1036" s="283"/>
      <c r="J1036" s="283"/>
      <c r="K1036" s="283"/>
      <c r="L1036" s="283"/>
      <c r="M1036" s="283"/>
      <c r="N1036" s="283"/>
      <c r="O1036" s="283"/>
      <c r="P1036" s="283"/>
      <c r="Q1036" s="283"/>
      <c r="R1036" s="283"/>
      <c r="S1036" s="283"/>
      <c r="T1036" s="283"/>
      <c r="U1036" s="283"/>
      <c r="V1036" s="283"/>
      <c r="W1036" s="283"/>
      <c r="X1036" s="283"/>
      <c r="Y1036" s="283"/>
      <c r="Z1036" s="283"/>
    </row>
    <row r="1037">
      <c r="A1037" s="283"/>
      <c r="B1037" s="283"/>
      <c r="C1037" s="283"/>
      <c r="D1037" s="283"/>
      <c r="E1037" s="283"/>
      <c r="F1037" s="283"/>
      <c r="G1037" s="283"/>
      <c r="H1037" s="283"/>
      <c r="I1037" s="283"/>
      <c r="J1037" s="283"/>
      <c r="K1037" s="283"/>
      <c r="L1037" s="283"/>
      <c r="M1037" s="283"/>
      <c r="N1037" s="283"/>
      <c r="O1037" s="283"/>
      <c r="P1037" s="283"/>
      <c r="Q1037" s="283"/>
      <c r="R1037" s="283"/>
      <c r="S1037" s="283"/>
      <c r="T1037" s="283"/>
      <c r="U1037" s="283"/>
      <c r="V1037" s="283"/>
      <c r="W1037" s="283"/>
      <c r="X1037" s="283"/>
      <c r="Y1037" s="283"/>
      <c r="Z1037" s="283"/>
    </row>
    <row r="1038">
      <c r="A1038" s="283"/>
      <c r="B1038" s="283"/>
      <c r="C1038" s="283"/>
      <c r="D1038" s="283"/>
      <c r="E1038" s="283"/>
      <c r="F1038" s="283"/>
      <c r="G1038" s="283"/>
      <c r="H1038" s="283"/>
      <c r="I1038" s="283"/>
      <c r="J1038" s="283"/>
      <c r="K1038" s="283"/>
      <c r="L1038" s="283"/>
      <c r="M1038" s="283"/>
      <c r="N1038" s="283"/>
      <c r="O1038" s="283"/>
      <c r="P1038" s="283"/>
      <c r="Q1038" s="283"/>
      <c r="R1038" s="283"/>
      <c r="S1038" s="283"/>
      <c r="T1038" s="283"/>
      <c r="U1038" s="283"/>
      <c r="V1038" s="283"/>
      <c r="W1038" s="283"/>
      <c r="X1038" s="283"/>
      <c r="Y1038" s="283"/>
      <c r="Z1038" s="283"/>
    </row>
    <row r="1039">
      <c r="A1039" s="283"/>
      <c r="B1039" s="283"/>
      <c r="C1039" s="283"/>
      <c r="D1039" s="283"/>
      <c r="E1039" s="283"/>
      <c r="F1039" s="283"/>
      <c r="G1039" s="283"/>
      <c r="H1039" s="283"/>
      <c r="I1039" s="283"/>
      <c r="J1039" s="283"/>
      <c r="K1039" s="283"/>
      <c r="L1039" s="283"/>
      <c r="M1039" s="283"/>
      <c r="N1039" s="283"/>
      <c r="O1039" s="283"/>
      <c r="P1039" s="283"/>
      <c r="Q1039" s="283"/>
      <c r="R1039" s="283"/>
      <c r="S1039" s="283"/>
      <c r="T1039" s="283"/>
      <c r="U1039" s="283"/>
      <c r="V1039" s="283"/>
      <c r="W1039" s="283"/>
      <c r="X1039" s="283"/>
      <c r="Y1039" s="283"/>
      <c r="Z1039" s="283"/>
    </row>
    <row r="1040">
      <c r="A1040" s="283"/>
      <c r="B1040" s="283"/>
      <c r="C1040" s="283"/>
      <c r="D1040" s="283"/>
      <c r="E1040" s="283"/>
      <c r="F1040" s="283"/>
      <c r="G1040" s="283"/>
      <c r="H1040" s="283"/>
      <c r="I1040" s="283"/>
      <c r="J1040" s="283"/>
      <c r="K1040" s="283"/>
      <c r="L1040" s="283"/>
      <c r="M1040" s="283"/>
      <c r="N1040" s="283"/>
      <c r="O1040" s="283"/>
      <c r="P1040" s="283"/>
      <c r="Q1040" s="283"/>
      <c r="R1040" s="283"/>
      <c r="S1040" s="283"/>
      <c r="T1040" s="283"/>
      <c r="U1040" s="283"/>
      <c r="V1040" s="283"/>
      <c r="W1040" s="283"/>
      <c r="X1040" s="283"/>
      <c r="Y1040" s="283"/>
      <c r="Z1040" s="283"/>
    </row>
    <row r="1041">
      <c r="A1041" s="283"/>
      <c r="B1041" s="283"/>
      <c r="C1041" s="283"/>
      <c r="D1041" s="283"/>
      <c r="E1041" s="283"/>
      <c r="F1041" s="283"/>
      <c r="G1041" s="283"/>
      <c r="H1041" s="283"/>
      <c r="I1041" s="283"/>
      <c r="J1041" s="283"/>
      <c r="K1041" s="283"/>
      <c r="L1041" s="283"/>
      <c r="M1041" s="283"/>
      <c r="N1041" s="283"/>
      <c r="O1041" s="283"/>
      <c r="P1041" s="283"/>
      <c r="Q1041" s="283"/>
      <c r="R1041" s="283"/>
      <c r="S1041" s="283"/>
      <c r="T1041" s="283"/>
      <c r="U1041" s="283"/>
      <c r="V1041" s="283"/>
      <c r="W1041" s="283"/>
      <c r="X1041" s="283"/>
      <c r="Y1041" s="283"/>
      <c r="Z1041" s="283"/>
    </row>
    <row r="1042">
      <c r="A1042" s="283"/>
      <c r="B1042" s="283"/>
      <c r="C1042" s="283"/>
      <c r="D1042" s="283"/>
      <c r="E1042" s="283"/>
      <c r="F1042" s="283"/>
      <c r="G1042" s="283"/>
      <c r="H1042" s="283"/>
      <c r="I1042" s="283"/>
      <c r="J1042" s="283"/>
      <c r="K1042" s="283"/>
      <c r="L1042" s="283"/>
      <c r="M1042" s="283"/>
      <c r="N1042" s="283"/>
      <c r="O1042" s="283"/>
      <c r="P1042" s="283"/>
      <c r="Q1042" s="283"/>
      <c r="R1042" s="283"/>
      <c r="S1042" s="283"/>
      <c r="T1042" s="283"/>
      <c r="U1042" s="283"/>
      <c r="V1042" s="283"/>
      <c r="W1042" s="283"/>
      <c r="X1042" s="283"/>
      <c r="Y1042" s="283"/>
      <c r="Z1042" s="283"/>
    </row>
    <row r="1043">
      <c r="A1043" s="283"/>
      <c r="B1043" s="283"/>
      <c r="C1043" s="283"/>
      <c r="D1043" s="283"/>
      <c r="E1043" s="283"/>
      <c r="F1043" s="283"/>
      <c r="G1043" s="283"/>
      <c r="H1043" s="283"/>
      <c r="I1043" s="283"/>
      <c r="J1043" s="283"/>
      <c r="K1043" s="283"/>
      <c r="L1043" s="283"/>
      <c r="M1043" s="283"/>
      <c r="N1043" s="283"/>
      <c r="O1043" s="283"/>
      <c r="P1043" s="283"/>
      <c r="Q1043" s="283"/>
      <c r="R1043" s="283"/>
      <c r="S1043" s="283"/>
      <c r="T1043" s="283"/>
      <c r="U1043" s="283"/>
      <c r="V1043" s="283"/>
      <c r="W1043" s="283"/>
      <c r="X1043" s="283"/>
      <c r="Y1043" s="283"/>
      <c r="Z1043" s="283"/>
    </row>
    <row r="1044">
      <c r="A1044" s="283"/>
      <c r="B1044" s="283"/>
      <c r="C1044" s="283"/>
      <c r="D1044" s="283"/>
      <c r="E1044" s="283"/>
      <c r="F1044" s="283"/>
      <c r="G1044" s="283"/>
      <c r="H1044" s="283"/>
      <c r="I1044" s="283"/>
      <c r="J1044" s="283"/>
      <c r="K1044" s="283"/>
      <c r="L1044" s="283"/>
      <c r="M1044" s="283"/>
      <c r="N1044" s="283"/>
      <c r="O1044" s="283"/>
      <c r="P1044" s="283"/>
      <c r="Q1044" s="283"/>
      <c r="R1044" s="283"/>
      <c r="S1044" s="283"/>
      <c r="T1044" s="283"/>
      <c r="U1044" s="283"/>
      <c r="V1044" s="283"/>
      <c r="W1044" s="283"/>
      <c r="X1044" s="283"/>
      <c r="Y1044" s="283"/>
      <c r="Z1044" s="283"/>
    </row>
    <row r="1045">
      <c r="A1045" s="283"/>
      <c r="B1045" s="283"/>
      <c r="C1045" s="283"/>
      <c r="D1045" s="283"/>
      <c r="E1045" s="283"/>
      <c r="F1045" s="283"/>
      <c r="G1045" s="283"/>
      <c r="H1045" s="283"/>
      <c r="I1045" s="283"/>
      <c r="J1045" s="283"/>
      <c r="K1045" s="283"/>
      <c r="L1045" s="283"/>
      <c r="M1045" s="283"/>
      <c r="N1045" s="283"/>
      <c r="O1045" s="283"/>
      <c r="P1045" s="283"/>
      <c r="Q1045" s="283"/>
      <c r="R1045" s="283"/>
      <c r="S1045" s="283"/>
      <c r="T1045" s="283"/>
      <c r="U1045" s="283"/>
      <c r="V1045" s="283"/>
      <c r="W1045" s="283"/>
      <c r="X1045" s="283"/>
      <c r="Y1045" s="283"/>
      <c r="Z1045" s="283"/>
    </row>
    <row r="1046">
      <c r="A1046" s="283"/>
      <c r="B1046" s="283"/>
      <c r="C1046" s="283"/>
      <c r="D1046" s="283"/>
      <c r="E1046" s="283"/>
      <c r="F1046" s="283"/>
      <c r="G1046" s="283"/>
      <c r="H1046" s="283"/>
      <c r="I1046" s="283"/>
      <c r="J1046" s="283"/>
      <c r="K1046" s="283"/>
      <c r="L1046" s="283"/>
      <c r="M1046" s="283"/>
      <c r="N1046" s="283"/>
      <c r="O1046" s="283"/>
      <c r="P1046" s="283"/>
      <c r="Q1046" s="283"/>
      <c r="R1046" s="283"/>
      <c r="S1046" s="283"/>
      <c r="T1046" s="283"/>
      <c r="U1046" s="283"/>
      <c r="V1046" s="283"/>
      <c r="W1046" s="283"/>
      <c r="X1046" s="283"/>
      <c r="Y1046" s="283"/>
      <c r="Z1046" s="283"/>
    </row>
    <row r="1047">
      <c r="A1047" s="283"/>
      <c r="B1047" s="283"/>
      <c r="C1047" s="283"/>
      <c r="D1047" s="283"/>
      <c r="E1047" s="283"/>
      <c r="F1047" s="283"/>
      <c r="G1047" s="283"/>
      <c r="H1047" s="283"/>
      <c r="I1047" s="283"/>
      <c r="J1047" s="283"/>
      <c r="K1047" s="283"/>
      <c r="L1047" s="283"/>
      <c r="M1047" s="283"/>
      <c r="N1047" s="283"/>
      <c r="O1047" s="283"/>
      <c r="P1047" s="283"/>
      <c r="Q1047" s="283"/>
      <c r="R1047" s="283"/>
      <c r="S1047" s="283"/>
      <c r="T1047" s="283"/>
      <c r="U1047" s="283"/>
      <c r="V1047" s="283"/>
      <c r="W1047" s="283"/>
      <c r="X1047" s="283"/>
      <c r="Y1047" s="283"/>
      <c r="Z1047" s="283"/>
    </row>
    <row r="1048">
      <c r="A1048" s="283"/>
      <c r="B1048" s="283"/>
      <c r="C1048" s="283"/>
      <c r="D1048" s="283"/>
      <c r="E1048" s="283"/>
      <c r="F1048" s="283"/>
      <c r="G1048" s="283"/>
      <c r="H1048" s="283"/>
      <c r="I1048" s="283"/>
      <c r="J1048" s="283"/>
      <c r="K1048" s="283"/>
      <c r="L1048" s="283"/>
      <c r="M1048" s="283"/>
      <c r="N1048" s="283"/>
      <c r="O1048" s="283"/>
      <c r="P1048" s="283"/>
      <c r="Q1048" s="283"/>
      <c r="R1048" s="283"/>
      <c r="S1048" s="283"/>
      <c r="T1048" s="283"/>
      <c r="U1048" s="283"/>
      <c r="V1048" s="283"/>
      <c r="W1048" s="283"/>
      <c r="X1048" s="283"/>
      <c r="Y1048" s="283"/>
      <c r="Z1048" s="283"/>
    </row>
    <row r="1049">
      <c r="A1049" s="283"/>
      <c r="B1049" s="283"/>
      <c r="C1049" s="283"/>
      <c r="D1049" s="283"/>
      <c r="E1049" s="283"/>
      <c r="F1049" s="283"/>
      <c r="G1049" s="283"/>
      <c r="H1049" s="283"/>
      <c r="I1049" s="283"/>
      <c r="J1049" s="283"/>
      <c r="K1049" s="283"/>
      <c r="L1049" s="283"/>
      <c r="M1049" s="283"/>
      <c r="N1049" s="283"/>
      <c r="O1049" s="283"/>
      <c r="P1049" s="283"/>
      <c r="Q1049" s="283"/>
      <c r="R1049" s="283"/>
      <c r="S1049" s="283"/>
      <c r="T1049" s="283"/>
      <c r="U1049" s="283"/>
      <c r="V1049" s="283"/>
      <c r="W1049" s="283"/>
      <c r="X1049" s="283"/>
      <c r="Y1049" s="283"/>
      <c r="Z1049" s="283"/>
    </row>
    <row r="1050">
      <c r="A1050" s="283"/>
      <c r="B1050" s="283"/>
      <c r="C1050" s="283"/>
      <c r="D1050" s="283"/>
      <c r="E1050" s="283"/>
      <c r="F1050" s="283"/>
      <c r="G1050" s="283"/>
      <c r="H1050" s="283"/>
      <c r="I1050" s="283"/>
      <c r="J1050" s="283"/>
      <c r="K1050" s="283"/>
      <c r="L1050" s="283"/>
      <c r="M1050" s="283"/>
      <c r="N1050" s="283"/>
      <c r="O1050" s="283"/>
      <c r="P1050" s="283"/>
      <c r="Q1050" s="283"/>
      <c r="R1050" s="283"/>
      <c r="S1050" s="283"/>
      <c r="T1050" s="283"/>
      <c r="U1050" s="283"/>
      <c r="V1050" s="283"/>
      <c r="W1050" s="283"/>
      <c r="X1050" s="283"/>
      <c r="Y1050" s="283"/>
      <c r="Z1050" s="283"/>
    </row>
    <row r="1051">
      <c r="A1051" s="283"/>
      <c r="B1051" s="283"/>
      <c r="C1051" s="283"/>
      <c r="D1051" s="283"/>
      <c r="E1051" s="283"/>
      <c r="F1051" s="283"/>
      <c r="G1051" s="283"/>
      <c r="H1051" s="283"/>
      <c r="I1051" s="283"/>
      <c r="J1051" s="283"/>
      <c r="K1051" s="283"/>
      <c r="L1051" s="283"/>
      <c r="M1051" s="283"/>
      <c r="N1051" s="283"/>
      <c r="O1051" s="283"/>
      <c r="P1051" s="283"/>
      <c r="Q1051" s="283"/>
      <c r="R1051" s="283"/>
      <c r="S1051" s="283"/>
      <c r="T1051" s="283"/>
      <c r="U1051" s="283"/>
      <c r="V1051" s="283"/>
      <c r="W1051" s="283"/>
      <c r="X1051" s="283"/>
      <c r="Y1051" s="283"/>
      <c r="Z1051" s="283"/>
    </row>
    <row r="1052">
      <c r="A1052" s="283"/>
      <c r="B1052" s="283"/>
      <c r="C1052" s="283"/>
      <c r="D1052" s="283"/>
      <c r="E1052" s="283"/>
      <c r="F1052" s="283"/>
      <c r="G1052" s="283"/>
      <c r="H1052" s="283"/>
      <c r="I1052" s="283"/>
      <c r="J1052" s="283"/>
      <c r="K1052" s="283"/>
      <c r="L1052" s="283"/>
      <c r="M1052" s="283"/>
      <c r="N1052" s="283"/>
      <c r="O1052" s="283"/>
      <c r="P1052" s="283"/>
      <c r="Q1052" s="283"/>
      <c r="R1052" s="283"/>
      <c r="S1052" s="283"/>
      <c r="T1052" s="283"/>
      <c r="U1052" s="283"/>
      <c r="V1052" s="283"/>
      <c r="W1052" s="283"/>
      <c r="X1052" s="283"/>
      <c r="Y1052" s="283"/>
      <c r="Z1052" s="283"/>
    </row>
    <row r="1053">
      <c r="A1053" s="283"/>
      <c r="B1053" s="283"/>
      <c r="C1053" s="283"/>
      <c r="D1053" s="283"/>
      <c r="E1053" s="283"/>
      <c r="F1053" s="283"/>
      <c r="G1053" s="283"/>
      <c r="H1053" s="283"/>
      <c r="I1053" s="283"/>
      <c r="J1053" s="283"/>
      <c r="K1053" s="283"/>
      <c r="L1053" s="283"/>
      <c r="M1053" s="283"/>
      <c r="N1053" s="283"/>
      <c r="O1053" s="283"/>
      <c r="P1053" s="283"/>
      <c r="Q1053" s="283"/>
      <c r="R1053" s="283"/>
      <c r="S1053" s="283"/>
      <c r="T1053" s="283"/>
      <c r="U1053" s="283"/>
      <c r="V1053" s="283"/>
      <c r="W1053" s="283"/>
      <c r="X1053" s="283"/>
      <c r="Y1053" s="283"/>
      <c r="Z1053" s="283"/>
    </row>
    <row r="1054">
      <c r="A1054" s="283"/>
      <c r="B1054" s="283"/>
      <c r="C1054" s="283"/>
      <c r="D1054" s="283"/>
      <c r="E1054" s="283"/>
      <c r="F1054" s="283"/>
      <c r="G1054" s="283"/>
      <c r="H1054" s="283"/>
      <c r="I1054" s="283"/>
      <c r="J1054" s="283"/>
      <c r="K1054" s="283"/>
      <c r="L1054" s="283"/>
      <c r="M1054" s="283"/>
      <c r="N1054" s="283"/>
      <c r="O1054" s="283"/>
      <c r="P1054" s="283"/>
      <c r="Q1054" s="283"/>
      <c r="R1054" s="283"/>
      <c r="S1054" s="283"/>
      <c r="T1054" s="283"/>
      <c r="U1054" s="283"/>
      <c r="V1054" s="283"/>
      <c r="W1054" s="283"/>
      <c r="X1054" s="283"/>
      <c r="Y1054" s="283"/>
      <c r="Z1054" s="283"/>
    </row>
    <row r="1055">
      <c r="A1055" s="283"/>
      <c r="B1055" s="283"/>
      <c r="C1055" s="283"/>
      <c r="D1055" s="283"/>
      <c r="E1055" s="283"/>
      <c r="F1055" s="283"/>
      <c r="G1055" s="283"/>
      <c r="H1055" s="283"/>
      <c r="I1055" s="283"/>
      <c r="J1055" s="283"/>
      <c r="K1055" s="283"/>
      <c r="L1055" s="283"/>
      <c r="M1055" s="283"/>
      <c r="N1055" s="283"/>
      <c r="O1055" s="283"/>
      <c r="P1055" s="283"/>
      <c r="Q1055" s="283"/>
      <c r="R1055" s="283"/>
      <c r="S1055" s="283"/>
      <c r="T1055" s="283"/>
      <c r="U1055" s="283"/>
      <c r="V1055" s="283"/>
      <c r="W1055" s="283"/>
      <c r="X1055" s="283"/>
      <c r="Y1055" s="283"/>
      <c r="Z1055" s="283"/>
    </row>
    <row r="1056">
      <c r="A1056" s="283"/>
      <c r="B1056" s="283"/>
      <c r="C1056" s="283"/>
      <c r="D1056" s="283"/>
      <c r="E1056" s="283"/>
      <c r="F1056" s="283"/>
      <c r="G1056" s="283"/>
      <c r="H1056" s="283"/>
      <c r="I1056" s="283"/>
      <c r="J1056" s="283"/>
      <c r="K1056" s="283"/>
      <c r="L1056" s="283"/>
      <c r="M1056" s="283"/>
      <c r="N1056" s="283"/>
      <c r="O1056" s="283"/>
      <c r="P1056" s="283"/>
      <c r="Q1056" s="283"/>
      <c r="R1056" s="283"/>
      <c r="S1056" s="283"/>
      <c r="T1056" s="283"/>
      <c r="U1056" s="283"/>
      <c r="V1056" s="283"/>
      <c r="W1056" s="283"/>
      <c r="X1056" s="283"/>
      <c r="Y1056" s="283"/>
      <c r="Z1056" s="283"/>
    </row>
    <row r="1057">
      <c r="A1057" s="283"/>
      <c r="B1057" s="283"/>
      <c r="C1057" s="283"/>
      <c r="D1057" s="283"/>
      <c r="E1057" s="283"/>
      <c r="F1057" s="283"/>
      <c r="G1057" s="283"/>
      <c r="H1057" s="283"/>
      <c r="I1057" s="283"/>
      <c r="J1057" s="283"/>
      <c r="K1057" s="283"/>
      <c r="L1057" s="283"/>
      <c r="M1057" s="283"/>
      <c r="N1057" s="283"/>
      <c r="O1057" s="283"/>
      <c r="P1057" s="283"/>
      <c r="Q1057" s="283"/>
      <c r="R1057" s="283"/>
      <c r="S1057" s="283"/>
      <c r="T1057" s="283"/>
      <c r="U1057" s="283"/>
      <c r="V1057" s="283"/>
      <c r="W1057" s="283"/>
      <c r="X1057" s="283"/>
      <c r="Y1057" s="283"/>
      <c r="Z1057" s="283"/>
    </row>
    <row r="1058">
      <c r="A1058" s="283"/>
      <c r="B1058" s="283"/>
      <c r="C1058" s="283"/>
      <c r="D1058" s="283"/>
      <c r="E1058" s="283"/>
      <c r="F1058" s="283"/>
      <c r="G1058" s="283"/>
      <c r="H1058" s="283"/>
      <c r="I1058" s="283"/>
      <c r="J1058" s="283"/>
      <c r="K1058" s="283"/>
      <c r="L1058" s="283"/>
      <c r="M1058" s="283"/>
      <c r="N1058" s="283"/>
      <c r="O1058" s="283"/>
      <c r="P1058" s="283"/>
      <c r="Q1058" s="283"/>
      <c r="R1058" s="283"/>
      <c r="S1058" s="283"/>
      <c r="T1058" s="283"/>
      <c r="U1058" s="283"/>
      <c r="V1058" s="283"/>
      <c r="W1058" s="283"/>
      <c r="X1058" s="283"/>
      <c r="Y1058" s="283"/>
      <c r="Z1058" s="283"/>
    </row>
    <row r="1059">
      <c r="A1059" s="283"/>
      <c r="B1059" s="283"/>
      <c r="C1059" s="283"/>
      <c r="D1059" s="283"/>
      <c r="E1059" s="283"/>
      <c r="F1059" s="283"/>
      <c r="G1059" s="283"/>
      <c r="H1059" s="283"/>
      <c r="I1059" s="283"/>
      <c r="J1059" s="283"/>
      <c r="K1059" s="283"/>
      <c r="L1059" s="283"/>
      <c r="M1059" s="283"/>
      <c r="N1059" s="283"/>
      <c r="O1059" s="283"/>
      <c r="P1059" s="283"/>
      <c r="Q1059" s="283"/>
      <c r="R1059" s="283"/>
      <c r="S1059" s="283"/>
      <c r="T1059" s="283"/>
      <c r="U1059" s="283"/>
      <c r="V1059" s="283"/>
      <c r="W1059" s="283"/>
      <c r="X1059" s="283"/>
      <c r="Y1059" s="283"/>
      <c r="Z1059" s="283"/>
    </row>
    <row r="1060">
      <c r="A1060" s="283"/>
      <c r="B1060" s="283"/>
      <c r="C1060" s="283"/>
      <c r="D1060" s="283"/>
      <c r="E1060" s="283"/>
      <c r="F1060" s="283"/>
      <c r="G1060" s="283"/>
      <c r="H1060" s="283"/>
      <c r="I1060" s="283"/>
      <c r="J1060" s="283"/>
      <c r="K1060" s="283"/>
      <c r="L1060" s="283"/>
      <c r="M1060" s="283"/>
      <c r="N1060" s="283"/>
      <c r="O1060" s="283"/>
      <c r="P1060" s="283"/>
      <c r="Q1060" s="283"/>
      <c r="R1060" s="283"/>
      <c r="S1060" s="283"/>
      <c r="T1060" s="283"/>
      <c r="U1060" s="283"/>
      <c r="V1060" s="283"/>
      <c r="W1060" s="283"/>
      <c r="X1060" s="283"/>
      <c r="Y1060" s="283"/>
      <c r="Z1060" s="283"/>
    </row>
    <row r="1061">
      <c r="A1061" s="283"/>
      <c r="B1061" s="283"/>
      <c r="C1061" s="283"/>
      <c r="D1061" s="283"/>
      <c r="E1061" s="283"/>
      <c r="F1061" s="283"/>
      <c r="G1061" s="283"/>
      <c r="H1061" s="283"/>
      <c r="I1061" s="283"/>
      <c r="J1061" s="283"/>
      <c r="K1061" s="283"/>
      <c r="L1061" s="283"/>
      <c r="M1061" s="283"/>
      <c r="N1061" s="283"/>
      <c r="O1061" s="283"/>
      <c r="P1061" s="283"/>
      <c r="Q1061" s="283"/>
      <c r="R1061" s="283"/>
      <c r="S1061" s="283"/>
      <c r="T1061" s="283"/>
      <c r="U1061" s="283"/>
      <c r="V1061" s="283"/>
      <c r="W1061" s="283"/>
      <c r="X1061" s="283"/>
      <c r="Y1061" s="283"/>
      <c r="Z1061" s="283"/>
    </row>
    <row r="1062">
      <c r="A1062" s="283"/>
      <c r="B1062" s="283"/>
      <c r="C1062" s="283"/>
      <c r="D1062" s="283"/>
      <c r="E1062" s="283"/>
      <c r="F1062" s="283"/>
      <c r="G1062" s="283"/>
      <c r="H1062" s="283"/>
      <c r="I1062" s="283"/>
      <c r="J1062" s="283"/>
      <c r="K1062" s="283"/>
      <c r="L1062" s="283"/>
      <c r="M1062" s="283"/>
      <c r="N1062" s="283"/>
      <c r="O1062" s="283"/>
      <c r="P1062" s="283"/>
      <c r="Q1062" s="283"/>
      <c r="R1062" s="283"/>
      <c r="S1062" s="283"/>
      <c r="T1062" s="283"/>
      <c r="U1062" s="283"/>
      <c r="V1062" s="283"/>
      <c r="W1062" s="283"/>
      <c r="X1062" s="283"/>
      <c r="Y1062" s="283"/>
      <c r="Z1062" s="283"/>
    </row>
    <row r="1063">
      <c r="A1063" s="283"/>
      <c r="B1063" s="283"/>
      <c r="C1063" s="283"/>
      <c r="D1063" s="283"/>
      <c r="E1063" s="283"/>
      <c r="F1063" s="283"/>
      <c r="G1063" s="283"/>
      <c r="H1063" s="283"/>
      <c r="I1063" s="283"/>
      <c r="J1063" s="283"/>
      <c r="K1063" s="283"/>
      <c r="L1063" s="283"/>
      <c r="M1063" s="283"/>
      <c r="N1063" s="283"/>
      <c r="O1063" s="283"/>
      <c r="P1063" s="283"/>
      <c r="Q1063" s="283"/>
      <c r="R1063" s="283"/>
      <c r="S1063" s="283"/>
      <c r="T1063" s="283"/>
      <c r="U1063" s="283"/>
      <c r="V1063" s="283"/>
      <c r="W1063" s="283"/>
      <c r="X1063" s="283"/>
      <c r="Y1063" s="283"/>
      <c r="Z1063" s="283"/>
    </row>
    <row r="1064">
      <c r="A1064" s="283"/>
      <c r="B1064" s="283"/>
      <c r="C1064" s="283"/>
      <c r="D1064" s="283"/>
      <c r="E1064" s="283"/>
      <c r="F1064" s="283"/>
      <c r="G1064" s="283"/>
      <c r="H1064" s="283"/>
      <c r="I1064" s="283"/>
      <c r="J1064" s="283"/>
      <c r="K1064" s="283"/>
      <c r="L1064" s="283"/>
      <c r="M1064" s="283"/>
      <c r="N1064" s="283"/>
      <c r="O1064" s="283"/>
      <c r="P1064" s="283"/>
      <c r="Q1064" s="283"/>
      <c r="R1064" s="283"/>
      <c r="S1064" s="283"/>
      <c r="T1064" s="283"/>
      <c r="U1064" s="283"/>
      <c r="V1064" s="283"/>
      <c r="W1064" s="283"/>
      <c r="X1064" s="283"/>
      <c r="Y1064" s="283"/>
      <c r="Z1064" s="283"/>
    </row>
    <row r="1065">
      <c r="A1065" s="283"/>
      <c r="B1065" s="283"/>
      <c r="C1065" s="283"/>
      <c r="D1065" s="283"/>
      <c r="E1065" s="283"/>
      <c r="F1065" s="283"/>
      <c r="G1065" s="283"/>
      <c r="H1065" s="283"/>
      <c r="I1065" s="283"/>
      <c r="J1065" s="283"/>
      <c r="K1065" s="283"/>
      <c r="L1065" s="283"/>
      <c r="M1065" s="283"/>
      <c r="N1065" s="283"/>
      <c r="O1065" s="283"/>
      <c r="P1065" s="283"/>
      <c r="Q1065" s="283"/>
      <c r="R1065" s="283"/>
      <c r="S1065" s="283"/>
      <c r="T1065" s="283"/>
      <c r="U1065" s="283"/>
      <c r="V1065" s="283"/>
      <c r="W1065" s="283"/>
      <c r="X1065" s="283"/>
      <c r="Y1065" s="283"/>
      <c r="Z1065" s="283"/>
    </row>
    <row r="1066">
      <c r="A1066" s="283"/>
      <c r="B1066" s="283"/>
      <c r="C1066" s="283"/>
      <c r="D1066" s="283"/>
      <c r="E1066" s="283"/>
      <c r="F1066" s="283"/>
      <c r="G1066" s="283"/>
      <c r="H1066" s="283"/>
      <c r="I1066" s="283"/>
      <c r="J1066" s="283"/>
      <c r="K1066" s="283"/>
      <c r="L1066" s="283"/>
      <c r="M1066" s="283"/>
      <c r="N1066" s="283"/>
      <c r="O1066" s="283"/>
      <c r="P1066" s="283"/>
      <c r="Q1066" s="283"/>
      <c r="R1066" s="283"/>
      <c r="S1066" s="283"/>
      <c r="T1066" s="283"/>
      <c r="U1066" s="283"/>
      <c r="V1066" s="283"/>
      <c r="W1066" s="283"/>
      <c r="X1066" s="283"/>
      <c r="Y1066" s="283"/>
      <c r="Z1066" s="283"/>
    </row>
    <row r="1067">
      <c r="A1067" s="283"/>
      <c r="B1067" s="283"/>
      <c r="C1067" s="283"/>
      <c r="D1067" s="283"/>
      <c r="E1067" s="283"/>
      <c r="F1067" s="283"/>
      <c r="G1067" s="283"/>
      <c r="H1067" s="283"/>
      <c r="I1067" s="283"/>
      <c r="J1067" s="283"/>
      <c r="K1067" s="283"/>
      <c r="L1067" s="283"/>
      <c r="M1067" s="283"/>
      <c r="N1067" s="283"/>
      <c r="O1067" s="283"/>
      <c r="P1067" s="283"/>
      <c r="Q1067" s="283"/>
      <c r="R1067" s="283"/>
      <c r="S1067" s="283"/>
      <c r="T1067" s="283"/>
      <c r="U1067" s="283"/>
      <c r="V1067" s="283"/>
      <c r="W1067" s="283"/>
      <c r="X1067" s="283"/>
      <c r="Y1067" s="283"/>
      <c r="Z1067" s="283"/>
    </row>
    <row r="1068">
      <c r="A1068" s="283"/>
      <c r="B1068" s="283"/>
      <c r="C1068" s="283"/>
      <c r="D1068" s="283"/>
      <c r="E1068" s="283"/>
      <c r="F1068" s="283"/>
      <c r="G1068" s="283"/>
      <c r="H1068" s="283"/>
      <c r="I1068" s="283"/>
      <c r="J1068" s="283"/>
      <c r="K1068" s="283"/>
      <c r="L1068" s="283"/>
      <c r="M1068" s="283"/>
      <c r="N1068" s="283"/>
      <c r="O1068" s="283"/>
      <c r="P1068" s="283"/>
      <c r="Q1068" s="283"/>
      <c r="R1068" s="283"/>
      <c r="S1068" s="283"/>
      <c r="T1068" s="283"/>
      <c r="U1068" s="283"/>
      <c r="V1068" s="283"/>
      <c r="W1068" s="283"/>
      <c r="X1068" s="283"/>
      <c r="Y1068" s="283"/>
      <c r="Z1068" s="283"/>
    </row>
    <row r="1069">
      <c r="A1069" s="283"/>
      <c r="B1069" s="283"/>
      <c r="C1069" s="283"/>
      <c r="D1069" s="283"/>
      <c r="E1069" s="283"/>
      <c r="F1069" s="283"/>
      <c r="G1069" s="283"/>
      <c r="H1069" s="283"/>
      <c r="I1069" s="283"/>
      <c r="J1069" s="283"/>
      <c r="K1069" s="283"/>
      <c r="L1069" s="283"/>
      <c r="M1069" s="283"/>
      <c r="N1069" s="283"/>
      <c r="O1069" s="283"/>
      <c r="P1069" s="283"/>
      <c r="Q1069" s="283"/>
      <c r="R1069" s="283"/>
      <c r="S1069" s="283"/>
      <c r="T1069" s="283"/>
      <c r="U1069" s="283"/>
      <c r="V1069" s="283"/>
      <c r="W1069" s="283"/>
      <c r="X1069" s="283"/>
      <c r="Y1069" s="283"/>
      <c r="Z1069" s="283"/>
    </row>
    <row r="1070">
      <c r="A1070" s="283"/>
      <c r="B1070" s="283"/>
      <c r="C1070" s="283"/>
      <c r="D1070" s="283"/>
      <c r="E1070" s="283"/>
      <c r="F1070" s="283"/>
      <c r="G1070" s="283"/>
      <c r="H1070" s="283"/>
      <c r="I1070" s="283"/>
      <c r="J1070" s="283"/>
      <c r="K1070" s="283"/>
      <c r="L1070" s="283"/>
      <c r="M1070" s="283"/>
      <c r="N1070" s="283"/>
      <c r="O1070" s="283"/>
      <c r="P1070" s="283"/>
      <c r="Q1070" s="283"/>
      <c r="R1070" s="283"/>
      <c r="S1070" s="283"/>
      <c r="T1070" s="283"/>
      <c r="U1070" s="283"/>
      <c r="V1070" s="283"/>
      <c r="W1070" s="283"/>
      <c r="X1070" s="283"/>
      <c r="Y1070" s="283"/>
      <c r="Z1070" s="283"/>
    </row>
    <row r="1071">
      <c r="A1071" s="283"/>
      <c r="B1071" s="283"/>
      <c r="C1071" s="283"/>
      <c r="D1071" s="283"/>
      <c r="E1071" s="283"/>
      <c r="F1071" s="283"/>
      <c r="G1071" s="283"/>
      <c r="H1071" s="283"/>
      <c r="I1071" s="283"/>
      <c r="J1071" s="283"/>
      <c r="K1071" s="283"/>
      <c r="L1071" s="283"/>
      <c r="M1071" s="283"/>
      <c r="N1071" s="283"/>
      <c r="O1071" s="283"/>
      <c r="P1071" s="283"/>
      <c r="Q1071" s="283"/>
      <c r="R1071" s="283"/>
      <c r="S1071" s="283"/>
      <c r="T1071" s="283"/>
      <c r="U1071" s="283"/>
      <c r="V1071" s="283"/>
      <c r="W1071" s="283"/>
      <c r="X1071" s="283"/>
      <c r="Y1071" s="283"/>
      <c r="Z1071" s="283"/>
    </row>
    <row r="1072">
      <c r="A1072" s="283"/>
      <c r="B1072" s="283"/>
      <c r="C1072" s="283"/>
      <c r="D1072" s="283"/>
      <c r="E1072" s="283"/>
      <c r="F1072" s="283"/>
      <c r="G1072" s="283"/>
      <c r="H1072" s="283"/>
      <c r="I1072" s="283"/>
      <c r="J1072" s="283"/>
      <c r="K1072" s="283"/>
      <c r="L1072" s="283"/>
      <c r="M1072" s="283"/>
      <c r="N1072" s="283"/>
      <c r="O1072" s="283"/>
      <c r="P1072" s="283"/>
      <c r="Q1072" s="283"/>
      <c r="R1072" s="283"/>
      <c r="S1072" s="283"/>
      <c r="T1072" s="283"/>
      <c r="U1072" s="283"/>
      <c r="V1072" s="283"/>
      <c r="W1072" s="283"/>
      <c r="X1072" s="283"/>
      <c r="Y1072" s="283"/>
      <c r="Z1072" s="283"/>
    </row>
    <row r="1073">
      <c r="A1073" s="283"/>
      <c r="B1073" s="283"/>
      <c r="C1073" s="283"/>
      <c r="D1073" s="283"/>
      <c r="E1073" s="283"/>
      <c r="F1073" s="283"/>
      <c r="G1073" s="283"/>
      <c r="H1073" s="283"/>
      <c r="I1073" s="283"/>
      <c r="J1073" s="283"/>
      <c r="K1073" s="283"/>
      <c r="L1073" s="283"/>
      <c r="M1073" s="283"/>
      <c r="N1073" s="283"/>
      <c r="O1073" s="283"/>
      <c r="P1073" s="283"/>
      <c r="Q1073" s="283"/>
      <c r="R1073" s="283"/>
      <c r="S1073" s="283"/>
      <c r="T1073" s="283"/>
      <c r="U1073" s="283"/>
      <c r="V1073" s="283"/>
      <c r="W1073" s="283"/>
      <c r="X1073" s="283"/>
      <c r="Y1073" s="283"/>
      <c r="Z1073" s="283"/>
    </row>
    <row r="1074">
      <c r="A1074" s="283"/>
      <c r="B1074" s="283"/>
      <c r="C1074" s="283"/>
      <c r="D1074" s="283"/>
      <c r="E1074" s="283"/>
      <c r="F1074" s="283"/>
      <c r="G1074" s="283"/>
      <c r="H1074" s="283"/>
      <c r="I1074" s="283"/>
      <c r="J1074" s="283"/>
      <c r="K1074" s="283"/>
      <c r="L1074" s="283"/>
      <c r="M1074" s="283"/>
      <c r="N1074" s="283"/>
      <c r="O1074" s="283"/>
      <c r="P1074" s="283"/>
      <c r="Q1074" s="283"/>
      <c r="R1074" s="283"/>
      <c r="S1074" s="283"/>
      <c r="T1074" s="283"/>
      <c r="U1074" s="283"/>
      <c r="V1074" s="283"/>
      <c r="W1074" s="283"/>
      <c r="X1074" s="283"/>
      <c r="Y1074" s="283"/>
      <c r="Z1074" s="283"/>
    </row>
    <row r="1075">
      <c r="A1075" s="283"/>
      <c r="B1075" s="283"/>
      <c r="C1075" s="283"/>
      <c r="D1075" s="283"/>
      <c r="E1075" s="283"/>
      <c r="F1075" s="283"/>
      <c r="G1075" s="283"/>
      <c r="H1075" s="283"/>
      <c r="I1075" s="283"/>
      <c r="J1075" s="283"/>
      <c r="K1075" s="283"/>
      <c r="L1075" s="283"/>
      <c r="M1075" s="283"/>
      <c r="N1075" s="283"/>
      <c r="O1075" s="283"/>
      <c r="P1075" s="283"/>
      <c r="Q1075" s="283"/>
      <c r="R1075" s="283"/>
      <c r="S1075" s="283"/>
      <c r="T1075" s="283"/>
      <c r="U1075" s="283"/>
      <c r="V1075" s="283"/>
      <c r="W1075" s="283"/>
      <c r="X1075" s="283"/>
      <c r="Y1075" s="283"/>
      <c r="Z1075" s="283"/>
    </row>
    <row r="1076">
      <c r="A1076" s="283"/>
      <c r="B1076" s="283"/>
      <c r="C1076" s="283"/>
      <c r="D1076" s="283"/>
      <c r="E1076" s="283"/>
      <c r="F1076" s="283"/>
      <c r="G1076" s="283"/>
      <c r="H1076" s="283"/>
      <c r="I1076" s="283"/>
      <c r="J1076" s="283"/>
      <c r="K1076" s="283"/>
      <c r="L1076" s="283"/>
      <c r="M1076" s="283"/>
      <c r="N1076" s="283"/>
      <c r="O1076" s="283"/>
      <c r="P1076" s="283"/>
      <c r="Q1076" s="283"/>
      <c r="R1076" s="283"/>
      <c r="S1076" s="283"/>
      <c r="T1076" s="283"/>
      <c r="U1076" s="283"/>
      <c r="V1076" s="283"/>
      <c r="W1076" s="283"/>
      <c r="X1076" s="283"/>
      <c r="Y1076" s="283"/>
      <c r="Z1076" s="283"/>
    </row>
    <row r="1077">
      <c r="A1077" s="283"/>
      <c r="B1077" s="283"/>
      <c r="C1077" s="283"/>
      <c r="D1077" s="283"/>
      <c r="E1077" s="283"/>
      <c r="F1077" s="283"/>
      <c r="G1077" s="283"/>
      <c r="H1077" s="283"/>
      <c r="I1077" s="283"/>
      <c r="J1077" s="283"/>
      <c r="K1077" s="283"/>
      <c r="L1077" s="283"/>
      <c r="M1077" s="283"/>
      <c r="N1077" s="283"/>
      <c r="O1077" s="283"/>
      <c r="P1077" s="283"/>
      <c r="Q1077" s="283"/>
      <c r="R1077" s="283"/>
      <c r="S1077" s="283"/>
      <c r="T1077" s="283"/>
      <c r="U1077" s="283"/>
      <c r="V1077" s="283"/>
      <c r="W1077" s="283"/>
      <c r="X1077" s="283"/>
      <c r="Y1077" s="283"/>
      <c r="Z1077" s="283"/>
    </row>
    <row r="1078">
      <c r="A1078" s="283"/>
      <c r="B1078" s="283"/>
      <c r="C1078" s="283"/>
      <c r="D1078" s="283"/>
      <c r="E1078" s="283"/>
      <c r="F1078" s="283"/>
      <c r="G1078" s="283"/>
      <c r="H1078" s="283"/>
      <c r="I1078" s="283"/>
      <c r="J1078" s="283"/>
      <c r="K1078" s="283"/>
      <c r="L1078" s="283"/>
      <c r="M1078" s="283"/>
      <c r="N1078" s="283"/>
      <c r="O1078" s="283"/>
      <c r="P1078" s="283"/>
      <c r="Q1078" s="283"/>
      <c r="R1078" s="283"/>
      <c r="S1078" s="283"/>
      <c r="T1078" s="283"/>
      <c r="U1078" s="283"/>
      <c r="V1078" s="283"/>
      <c r="W1078" s="283"/>
      <c r="X1078" s="283"/>
      <c r="Y1078" s="283"/>
      <c r="Z1078" s="283"/>
    </row>
    <row r="1079">
      <c r="A1079" s="283"/>
      <c r="B1079" s="283"/>
      <c r="C1079" s="283"/>
      <c r="D1079" s="283"/>
      <c r="E1079" s="283"/>
      <c r="F1079" s="283"/>
      <c r="G1079" s="283"/>
      <c r="H1079" s="283"/>
      <c r="I1079" s="283"/>
      <c r="J1079" s="283"/>
      <c r="K1079" s="283"/>
      <c r="L1079" s="283"/>
      <c r="M1079" s="283"/>
      <c r="N1079" s="283"/>
      <c r="O1079" s="283"/>
      <c r="P1079" s="283"/>
      <c r="Q1079" s="283"/>
      <c r="R1079" s="283"/>
      <c r="S1079" s="283"/>
      <c r="T1079" s="283"/>
      <c r="U1079" s="283"/>
      <c r="V1079" s="283"/>
      <c r="W1079" s="283"/>
      <c r="X1079" s="283"/>
      <c r="Y1079" s="283"/>
      <c r="Z1079" s="283"/>
    </row>
    <row r="1080">
      <c r="A1080" s="283"/>
      <c r="B1080" s="283"/>
      <c r="C1080" s="283"/>
      <c r="D1080" s="283"/>
      <c r="E1080" s="283"/>
      <c r="F1080" s="283"/>
      <c r="G1080" s="283"/>
      <c r="H1080" s="283"/>
      <c r="I1080" s="283"/>
      <c r="J1080" s="283"/>
      <c r="K1080" s="283"/>
      <c r="L1080" s="283"/>
      <c r="M1080" s="283"/>
      <c r="N1080" s="283"/>
      <c r="O1080" s="283"/>
      <c r="P1080" s="283"/>
      <c r="Q1080" s="283"/>
      <c r="R1080" s="283"/>
      <c r="S1080" s="283"/>
      <c r="T1080" s="283"/>
      <c r="U1080" s="283"/>
      <c r="V1080" s="283"/>
      <c r="W1080" s="283"/>
      <c r="X1080" s="283"/>
      <c r="Y1080" s="283"/>
      <c r="Z1080" s="283"/>
    </row>
    <row r="1081">
      <c r="A1081" s="283"/>
      <c r="B1081" s="283"/>
      <c r="C1081" s="283"/>
      <c r="D1081" s="283"/>
      <c r="E1081" s="283"/>
      <c r="F1081" s="283"/>
      <c r="G1081" s="283"/>
      <c r="H1081" s="283"/>
      <c r="I1081" s="283"/>
      <c r="J1081" s="283"/>
      <c r="K1081" s="283"/>
      <c r="L1081" s="283"/>
      <c r="M1081" s="283"/>
      <c r="N1081" s="283"/>
      <c r="O1081" s="283"/>
      <c r="P1081" s="283"/>
      <c r="Q1081" s="283"/>
      <c r="R1081" s="283"/>
      <c r="S1081" s="283"/>
      <c r="T1081" s="283"/>
      <c r="U1081" s="283"/>
      <c r="V1081" s="283"/>
      <c r="W1081" s="283"/>
      <c r="X1081" s="283"/>
      <c r="Y1081" s="283"/>
      <c r="Z1081" s="283"/>
    </row>
    <row r="1082">
      <c r="A1082" s="283"/>
      <c r="B1082" s="283"/>
      <c r="C1082" s="283"/>
      <c r="D1082" s="283"/>
      <c r="E1082" s="283"/>
      <c r="F1082" s="283"/>
      <c r="G1082" s="283"/>
      <c r="H1082" s="283"/>
      <c r="I1082" s="283"/>
      <c r="J1082" s="283"/>
      <c r="K1082" s="283"/>
      <c r="L1082" s="283"/>
      <c r="M1082" s="283"/>
      <c r="N1082" s="283"/>
      <c r="O1082" s="283"/>
      <c r="P1082" s="283"/>
      <c r="Q1082" s="283"/>
      <c r="R1082" s="283"/>
      <c r="S1082" s="283"/>
      <c r="T1082" s="283"/>
      <c r="U1082" s="283"/>
      <c r="V1082" s="283"/>
      <c r="W1082" s="283"/>
      <c r="X1082" s="283"/>
      <c r="Y1082" s="283"/>
      <c r="Z1082" s="283"/>
    </row>
    <row r="1083">
      <c r="A1083" s="283"/>
      <c r="B1083" s="283"/>
      <c r="C1083" s="283"/>
      <c r="D1083" s="283"/>
      <c r="E1083" s="283"/>
      <c r="F1083" s="283"/>
      <c r="G1083" s="283"/>
      <c r="H1083" s="283"/>
      <c r="I1083" s="283"/>
      <c r="J1083" s="283"/>
      <c r="K1083" s="283"/>
      <c r="L1083" s="283"/>
      <c r="M1083" s="283"/>
      <c r="N1083" s="283"/>
      <c r="O1083" s="283"/>
      <c r="P1083" s="283"/>
      <c r="Q1083" s="283"/>
      <c r="R1083" s="283"/>
      <c r="S1083" s="283"/>
      <c r="T1083" s="283"/>
      <c r="U1083" s="283"/>
      <c r="V1083" s="283"/>
      <c r="W1083" s="283"/>
      <c r="X1083" s="283"/>
      <c r="Y1083" s="283"/>
      <c r="Z1083" s="283"/>
    </row>
    <row r="1084">
      <c r="A1084" s="283"/>
      <c r="B1084" s="283"/>
      <c r="C1084" s="283"/>
      <c r="D1084" s="283"/>
      <c r="E1084" s="283"/>
      <c r="F1084" s="283"/>
      <c r="G1084" s="283"/>
      <c r="H1084" s="283"/>
      <c r="I1084" s="283"/>
      <c r="J1084" s="283"/>
      <c r="K1084" s="283"/>
      <c r="L1084" s="283"/>
      <c r="M1084" s="283"/>
      <c r="N1084" s="283"/>
      <c r="O1084" s="283"/>
      <c r="P1084" s="283"/>
      <c r="Q1084" s="283"/>
      <c r="R1084" s="283"/>
      <c r="S1084" s="283"/>
      <c r="T1084" s="283"/>
      <c r="U1084" s="283"/>
      <c r="V1084" s="283"/>
      <c r="W1084" s="283"/>
      <c r="X1084" s="283"/>
      <c r="Y1084" s="283"/>
      <c r="Z1084" s="283"/>
    </row>
    <row r="1085">
      <c r="A1085" s="283"/>
      <c r="B1085" s="283"/>
      <c r="C1085" s="283"/>
      <c r="D1085" s="283"/>
      <c r="E1085" s="283"/>
      <c r="F1085" s="283"/>
      <c r="G1085" s="283"/>
      <c r="H1085" s="283"/>
      <c r="I1085" s="283"/>
      <c r="J1085" s="283"/>
      <c r="K1085" s="283"/>
      <c r="L1085" s="283"/>
      <c r="M1085" s="283"/>
      <c r="N1085" s="283"/>
      <c r="O1085" s="283"/>
      <c r="P1085" s="283"/>
      <c r="Q1085" s="283"/>
      <c r="R1085" s="283"/>
      <c r="S1085" s="283"/>
      <c r="T1085" s="283"/>
      <c r="U1085" s="283"/>
      <c r="V1085" s="283"/>
      <c r="W1085" s="283"/>
      <c r="X1085" s="283"/>
      <c r="Y1085" s="283"/>
      <c r="Z1085" s="283"/>
    </row>
    <row r="1086">
      <c r="A1086" s="283"/>
      <c r="B1086" s="283"/>
      <c r="C1086" s="283"/>
      <c r="D1086" s="283"/>
      <c r="E1086" s="283"/>
      <c r="F1086" s="283"/>
      <c r="G1086" s="283"/>
      <c r="H1086" s="283"/>
      <c r="I1086" s="283"/>
      <c r="J1086" s="283"/>
      <c r="K1086" s="283"/>
      <c r="L1086" s="283"/>
      <c r="M1086" s="283"/>
      <c r="N1086" s="283"/>
      <c r="O1086" s="283"/>
      <c r="P1086" s="283"/>
      <c r="Q1086" s="283"/>
      <c r="R1086" s="283"/>
      <c r="S1086" s="283"/>
      <c r="T1086" s="283"/>
      <c r="U1086" s="283"/>
      <c r="V1086" s="283"/>
      <c r="W1086" s="283"/>
      <c r="X1086" s="283"/>
      <c r="Y1086" s="283"/>
      <c r="Z1086" s="283"/>
    </row>
    <row r="1087">
      <c r="A1087" s="283"/>
      <c r="B1087" s="283"/>
      <c r="C1087" s="283"/>
      <c r="D1087" s="283"/>
      <c r="E1087" s="283"/>
      <c r="F1087" s="283"/>
      <c r="G1087" s="283"/>
      <c r="H1087" s="283"/>
      <c r="I1087" s="283"/>
      <c r="J1087" s="283"/>
      <c r="K1087" s="283"/>
      <c r="L1087" s="283"/>
      <c r="M1087" s="283"/>
      <c r="N1087" s="283"/>
      <c r="O1087" s="283"/>
      <c r="P1087" s="283"/>
      <c r="Q1087" s="283"/>
      <c r="R1087" s="283"/>
      <c r="S1087" s="283"/>
      <c r="T1087" s="283"/>
      <c r="U1087" s="283"/>
      <c r="V1087" s="283"/>
      <c r="W1087" s="283"/>
      <c r="X1087" s="283"/>
      <c r="Y1087" s="283"/>
      <c r="Z1087" s="283"/>
    </row>
    <row r="1088">
      <c r="A1088" s="283"/>
      <c r="B1088" s="283"/>
      <c r="C1088" s="283"/>
      <c r="D1088" s="283"/>
      <c r="E1088" s="283"/>
      <c r="F1088" s="283"/>
      <c r="G1088" s="283"/>
      <c r="H1088" s="283"/>
      <c r="I1088" s="283"/>
      <c r="J1088" s="283"/>
      <c r="K1088" s="283"/>
      <c r="L1088" s="283"/>
      <c r="M1088" s="283"/>
      <c r="N1088" s="283"/>
      <c r="O1088" s="283"/>
      <c r="P1088" s="283"/>
      <c r="Q1088" s="283"/>
      <c r="R1088" s="283"/>
      <c r="S1088" s="283"/>
      <c r="T1088" s="283"/>
      <c r="U1088" s="283"/>
      <c r="V1088" s="283"/>
      <c r="W1088" s="283"/>
      <c r="X1088" s="283"/>
      <c r="Y1088" s="283"/>
      <c r="Z1088" s="283"/>
    </row>
    <row r="1089">
      <c r="A1089" s="283"/>
      <c r="B1089" s="283"/>
      <c r="C1089" s="283"/>
      <c r="D1089" s="283"/>
      <c r="E1089" s="283"/>
      <c r="F1089" s="283"/>
      <c r="G1089" s="283"/>
      <c r="H1089" s="283"/>
      <c r="I1089" s="283"/>
      <c r="J1089" s="283"/>
      <c r="K1089" s="283"/>
      <c r="L1089" s="283"/>
      <c r="M1089" s="283"/>
      <c r="N1089" s="283"/>
      <c r="O1089" s="283"/>
      <c r="P1089" s="283"/>
      <c r="Q1089" s="283"/>
      <c r="R1089" s="283"/>
      <c r="S1089" s="283"/>
      <c r="T1089" s="283"/>
      <c r="U1089" s="283"/>
      <c r="V1089" s="283"/>
      <c r="W1089" s="283"/>
      <c r="X1089" s="283"/>
      <c r="Y1089" s="283"/>
      <c r="Z1089" s="283"/>
    </row>
    <row r="1090">
      <c r="A1090" s="283"/>
      <c r="B1090" s="283"/>
      <c r="C1090" s="283"/>
      <c r="D1090" s="283"/>
      <c r="E1090" s="283"/>
      <c r="F1090" s="283"/>
      <c r="G1090" s="283"/>
      <c r="H1090" s="283"/>
      <c r="I1090" s="283"/>
      <c r="J1090" s="283"/>
      <c r="K1090" s="283"/>
      <c r="L1090" s="283"/>
      <c r="M1090" s="283"/>
      <c r="N1090" s="283"/>
      <c r="O1090" s="283"/>
      <c r="P1090" s="283"/>
      <c r="Q1090" s="283"/>
      <c r="R1090" s="283"/>
      <c r="S1090" s="283"/>
      <c r="T1090" s="283"/>
      <c r="U1090" s="283"/>
      <c r="V1090" s="283"/>
      <c r="W1090" s="283"/>
      <c r="X1090" s="283"/>
      <c r="Y1090" s="283"/>
      <c r="Z1090" s="283"/>
    </row>
    <row r="1091">
      <c r="A1091" s="283"/>
      <c r="B1091" s="283"/>
      <c r="C1091" s="283"/>
      <c r="D1091" s="283"/>
      <c r="E1091" s="283"/>
      <c r="F1091" s="283"/>
      <c r="G1091" s="283"/>
      <c r="H1091" s="283"/>
      <c r="I1091" s="283"/>
      <c r="J1091" s="283"/>
      <c r="K1091" s="283"/>
      <c r="L1091" s="283"/>
      <c r="M1091" s="283"/>
      <c r="N1091" s="283"/>
      <c r="O1091" s="283"/>
      <c r="P1091" s="283"/>
      <c r="Q1091" s="283"/>
      <c r="R1091" s="283"/>
      <c r="S1091" s="283"/>
      <c r="T1091" s="283"/>
      <c r="U1091" s="283"/>
      <c r="V1091" s="283"/>
      <c r="W1091" s="283"/>
      <c r="X1091" s="283"/>
      <c r="Y1091" s="283"/>
      <c r="Z1091" s="283"/>
    </row>
    <row r="1092">
      <c r="A1092" s="283"/>
      <c r="B1092" s="283"/>
      <c r="C1092" s="283"/>
      <c r="D1092" s="283"/>
      <c r="E1092" s="283"/>
      <c r="F1092" s="283"/>
      <c r="G1092" s="283"/>
      <c r="H1092" s="283"/>
      <c r="I1092" s="283"/>
      <c r="J1092" s="283"/>
      <c r="K1092" s="283"/>
      <c r="L1092" s="283"/>
      <c r="M1092" s="283"/>
      <c r="N1092" s="283"/>
      <c r="O1092" s="283"/>
      <c r="P1092" s="283"/>
      <c r="Q1092" s="283"/>
      <c r="R1092" s="283"/>
      <c r="S1092" s="283"/>
      <c r="T1092" s="283"/>
      <c r="U1092" s="283"/>
      <c r="V1092" s="283"/>
      <c r="W1092" s="283"/>
      <c r="X1092" s="283"/>
      <c r="Y1092" s="283"/>
      <c r="Z1092" s="283"/>
    </row>
    <row r="1093">
      <c r="A1093" s="283"/>
      <c r="B1093" s="283"/>
      <c r="C1093" s="283"/>
      <c r="D1093" s="283"/>
      <c r="E1093" s="283"/>
      <c r="F1093" s="283"/>
      <c r="G1093" s="283"/>
      <c r="H1093" s="283"/>
      <c r="I1093" s="283"/>
      <c r="J1093" s="283"/>
      <c r="K1093" s="283"/>
      <c r="L1093" s="283"/>
      <c r="M1093" s="283"/>
      <c r="N1093" s="283"/>
      <c r="O1093" s="283"/>
      <c r="P1093" s="283"/>
      <c r="Q1093" s="283"/>
      <c r="R1093" s="283"/>
      <c r="S1093" s="283"/>
      <c r="T1093" s="283"/>
      <c r="U1093" s="283"/>
      <c r="V1093" s="283"/>
      <c r="W1093" s="283"/>
      <c r="X1093" s="283"/>
      <c r="Y1093" s="283"/>
      <c r="Z1093" s="283"/>
    </row>
    <row r="1094">
      <c r="A1094" s="283"/>
      <c r="B1094" s="283"/>
      <c r="C1094" s="283"/>
      <c r="D1094" s="283"/>
      <c r="E1094" s="283"/>
      <c r="F1094" s="283"/>
      <c r="G1094" s="283"/>
      <c r="H1094" s="283"/>
      <c r="I1094" s="283"/>
      <c r="J1094" s="283"/>
      <c r="K1094" s="283"/>
      <c r="L1094" s="283"/>
      <c r="M1094" s="283"/>
      <c r="N1094" s="283"/>
      <c r="O1094" s="283"/>
      <c r="P1094" s="283"/>
      <c r="Q1094" s="283"/>
      <c r="R1094" s="283"/>
      <c r="S1094" s="283"/>
      <c r="T1094" s="283"/>
      <c r="U1094" s="283"/>
      <c r="V1094" s="283"/>
      <c r="W1094" s="283"/>
      <c r="X1094" s="283"/>
      <c r="Y1094" s="283"/>
      <c r="Z1094" s="283"/>
    </row>
    <row r="1095">
      <c r="A1095" s="283"/>
      <c r="B1095" s="283"/>
      <c r="C1095" s="283"/>
      <c r="D1095" s="283"/>
      <c r="E1095" s="283"/>
      <c r="F1095" s="283"/>
      <c r="G1095" s="283"/>
      <c r="H1095" s="283"/>
      <c r="I1095" s="283"/>
      <c r="J1095" s="283"/>
      <c r="K1095" s="283"/>
      <c r="L1095" s="283"/>
      <c r="M1095" s="283"/>
      <c r="N1095" s="283"/>
      <c r="O1095" s="283"/>
      <c r="P1095" s="283"/>
      <c r="Q1095" s="283"/>
      <c r="R1095" s="283"/>
      <c r="S1095" s="283"/>
      <c r="T1095" s="283"/>
      <c r="U1095" s="283"/>
      <c r="V1095" s="283"/>
      <c r="W1095" s="283"/>
      <c r="X1095" s="283"/>
      <c r="Y1095" s="283"/>
      <c r="Z1095" s="283"/>
    </row>
    <row r="1096">
      <c r="A1096" s="283"/>
      <c r="B1096" s="283"/>
      <c r="C1096" s="283"/>
      <c r="D1096" s="283"/>
      <c r="E1096" s="283"/>
      <c r="F1096" s="283"/>
      <c r="G1096" s="283"/>
      <c r="H1096" s="283"/>
      <c r="I1096" s="283"/>
      <c r="J1096" s="283"/>
      <c r="K1096" s="283"/>
      <c r="L1096" s="283"/>
      <c r="M1096" s="283"/>
      <c r="N1096" s="283"/>
      <c r="O1096" s="283"/>
      <c r="P1096" s="283"/>
      <c r="Q1096" s="283"/>
      <c r="R1096" s="283"/>
      <c r="S1096" s="283"/>
      <c r="T1096" s="283"/>
      <c r="U1096" s="283"/>
      <c r="V1096" s="283"/>
      <c r="W1096" s="283"/>
      <c r="X1096" s="283"/>
      <c r="Y1096" s="283"/>
      <c r="Z1096" s="283"/>
    </row>
    <row r="1097">
      <c r="A1097" s="283"/>
      <c r="B1097" s="283"/>
      <c r="C1097" s="283"/>
      <c r="D1097" s="283"/>
      <c r="E1097" s="283"/>
      <c r="F1097" s="283"/>
      <c r="G1097" s="283"/>
      <c r="H1097" s="283"/>
      <c r="I1097" s="283"/>
      <c r="J1097" s="283"/>
      <c r="K1097" s="283"/>
      <c r="L1097" s="283"/>
      <c r="M1097" s="283"/>
      <c r="N1097" s="283"/>
      <c r="O1097" s="283"/>
      <c r="P1097" s="283"/>
      <c r="Q1097" s="283"/>
      <c r="R1097" s="283"/>
      <c r="S1097" s="283"/>
      <c r="T1097" s="283"/>
      <c r="U1097" s="283"/>
      <c r="V1097" s="283"/>
      <c r="W1097" s="283"/>
      <c r="X1097" s="283"/>
      <c r="Y1097" s="283"/>
      <c r="Z1097" s="283"/>
    </row>
    <row r="1098">
      <c r="A1098" s="283"/>
      <c r="B1098" s="283"/>
      <c r="C1098" s="283"/>
      <c r="D1098" s="283"/>
      <c r="E1098" s="283"/>
      <c r="F1098" s="283"/>
      <c r="G1098" s="283"/>
      <c r="H1098" s="283"/>
      <c r="I1098" s="283"/>
      <c r="J1098" s="283"/>
      <c r="K1098" s="283"/>
      <c r="L1098" s="283"/>
      <c r="M1098" s="283"/>
      <c r="N1098" s="283"/>
      <c r="O1098" s="283"/>
      <c r="P1098" s="283"/>
      <c r="Q1098" s="283"/>
      <c r="R1098" s="283"/>
      <c r="S1098" s="283"/>
      <c r="T1098" s="283"/>
      <c r="U1098" s="283"/>
      <c r="V1098" s="283"/>
      <c r="W1098" s="283"/>
      <c r="X1098" s="283"/>
      <c r="Y1098" s="283"/>
      <c r="Z1098" s="283"/>
    </row>
    <row r="1099">
      <c r="A1099" s="283"/>
      <c r="B1099" s="283"/>
      <c r="C1099" s="283"/>
      <c r="D1099" s="283"/>
      <c r="E1099" s="283"/>
      <c r="F1099" s="283"/>
      <c r="G1099" s="283"/>
      <c r="H1099" s="283"/>
      <c r="I1099" s="283"/>
      <c r="J1099" s="283"/>
      <c r="K1099" s="283"/>
      <c r="L1099" s="283"/>
      <c r="M1099" s="283"/>
      <c r="N1099" s="283"/>
      <c r="O1099" s="283"/>
      <c r="P1099" s="283"/>
      <c r="Q1099" s="283"/>
      <c r="R1099" s="283"/>
      <c r="S1099" s="283"/>
      <c r="T1099" s="283"/>
      <c r="U1099" s="283"/>
      <c r="V1099" s="283"/>
      <c r="W1099" s="283"/>
      <c r="X1099" s="283"/>
      <c r="Y1099" s="283"/>
      <c r="Z1099" s="283"/>
    </row>
    <row r="1100">
      <c r="A1100" s="283"/>
      <c r="B1100" s="283"/>
      <c r="C1100" s="283"/>
      <c r="D1100" s="283"/>
      <c r="E1100" s="283"/>
      <c r="F1100" s="283"/>
      <c r="G1100" s="283"/>
      <c r="H1100" s="283"/>
      <c r="I1100" s="283"/>
      <c r="J1100" s="283"/>
      <c r="K1100" s="283"/>
      <c r="L1100" s="283"/>
      <c r="M1100" s="283"/>
      <c r="N1100" s="283"/>
      <c r="O1100" s="283"/>
      <c r="P1100" s="283"/>
      <c r="Q1100" s="283"/>
      <c r="R1100" s="283"/>
      <c r="S1100" s="283"/>
      <c r="T1100" s="283"/>
      <c r="U1100" s="283"/>
      <c r="V1100" s="283"/>
      <c r="W1100" s="283"/>
      <c r="X1100" s="283"/>
      <c r="Y1100" s="283"/>
      <c r="Z1100" s="283"/>
    </row>
    <row r="1101">
      <c r="A1101" s="283"/>
      <c r="B1101" s="283"/>
      <c r="C1101" s="283"/>
      <c r="D1101" s="283"/>
      <c r="E1101" s="283"/>
      <c r="F1101" s="283"/>
      <c r="G1101" s="283"/>
      <c r="H1101" s="283"/>
      <c r="I1101" s="283"/>
      <c r="J1101" s="283"/>
      <c r="K1101" s="283"/>
      <c r="L1101" s="283"/>
      <c r="M1101" s="283"/>
      <c r="N1101" s="283"/>
      <c r="O1101" s="283"/>
      <c r="P1101" s="283"/>
      <c r="Q1101" s="283"/>
      <c r="R1101" s="283"/>
      <c r="S1101" s="283"/>
      <c r="T1101" s="283"/>
      <c r="U1101" s="283"/>
      <c r="V1101" s="283"/>
      <c r="W1101" s="283"/>
      <c r="X1101" s="283"/>
      <c r="Y1101" s="283"/>
      <c r="Z1101" s="283"/>
    </row>
    <row r="1102">
      <c r="A1102" s="283"/>
      <c r="B1102" s="283"/>
      <c r="C1102" s="283"/>
      <c r="D1102" s="283"/>
      <c r="E1102" s="283"/>
      <c r="F1102" s="283"/>
      <c r="G1102" s="283"/>
      <c r="H1102" s="283"/>
      <c r="I1102" s="283"/>
      <c r="J1102" s="283"/>
      <c r="K1102" s="283"/>
      <c r="L1102" s="283"/>
      <c r="M1102" s="283"/>
      <c r="N1102" s="283"/>
      <c r="O1102" s="283"/>
      <c r="P1102" s="283"/>
      <c r="Q1102" s="283"/>
      <c r="R1102" s="283"/>
      <c r="S1102" s="283"/>
      <c r="T1102" s="283"/>
      <c r="U1102" s="283"/>
      <c r="V1102" s="283"/>
      <c r="W1102" s="283"/>
      <c r="X1102" s="283"/>
      <c r="Y1102" s="283"/>
      <c r="Z1102" s="283"/>
    </row>
    <row r="1103">
      <c r="A1103" s="283"/>
      <c r="B1103" s="283"/>
      <c r="C1103" s="283"/>
      <c r="D1103" s="283"/>
      <c r="E1103" s="283"/>
      <c r="F1103" s="283"/>
      <c r="G1103" s="283"/>
      <c r="H1103" s="283"/>
      <c r="I1103" s="283"/>
      <c r="J1103" s="283"/>
      <c r="K1103" s="283"/>
      <c r="L1103" s="283"/>
      <c r="M1103" s="283"/>
      <c r="N1103" s="283"/>
      <c r="O1103" s="283"/>
      <c r="P1103" s="283"/>
      <c r="Q1103" s="283"/>
      <c r="R1103" s="283"/>
      <c r="S1103" s="283"/>
      <c r="T1103" s="283"/>
      <c r="U1103" s="283"/>
      <c r="V1103" s="283"/>
      <c r="W1103" s="283"/>
      <c r="X1103" s="283"/>
      <c r="Y1103" s="283"/>
      <c r="Z1103" s="283"/>
    </row>
    <row r="1104">
      <c r="A1104" s="283"/>
      <c r="B1104" s="283"/>
      <c r="C1104" s="283"/>
      <c r="D1104" s="283"/>
      <c r="E1104" s="283"/>
      <c r="F1104" s="283"/>
      <c r="G1104" s="283"/>
      <c r="H1104" s="283"/>
      <c r="I1104" s="283"/>
      <c r="J1104" s="283"/>
      <c r="K1104" s="283"/>
      <c r="L1104" s="283"/>
      <c r="M1104" s="283"/>
      <c r="N1104" s="283"/>
      <c r="O1104" s="283"/>
      <c r="P1104" s="283"/>
      <c r="Q1104" s="283"/>
      <c r="R1104" s="283"/>
      <c r="S1104" s="283"/>
      <c r="T1104" s="283"/>
      <c r="U1104" s="283"/>
      <c r="V1104" s="283"/>
      <c r="W1104" s="283"/>
      <c r="X1104" s="283"/>
      <c r="Y1104" s="283"/>
      <c r="Z1104" s="283"/>
    </row>
    <row r="1105">
      <c r="A1105" s="283"/>
      <c r="B1105" s="283"/>
      <c r="C1105" s="283"/>
      <c r="D1105" s="283"/>
      <c r="E1105" s="283"/>
      <c r="F1105" s="283"/>
      <c r="G1105" s="283"/>
      <c r="H1105" s="283"/>
      <c r="I1105" s="283"/>
      <c r="J1105" s="283"/>
      <c r="K1105" s="283"/>
      <c r="L1105" s="283"/>
      <c r="M1105" s="283"/>
      <c r="N1105" s="283"/>
      <c r="O1105" s="283"/>
      <c r="P1105" s="283"/>
      <c r="Q1105" s="283"/>
      <c r="R1105" s="283"/>
      <c r="S1105" s="283"/>
      <c r="T1105" s="283"/>
      <c r="U1105" s="283"/>
      <c r="V1105" s="283"/>
      <c r="W1105" s="283"/>
      <c r="X1105" s="283"/>
      <c r="Y1105" s="283"/>
      <c r="Z1105" s="283"/>
    </row>
    <row r="1106">
      <c r="A1106" s="283"/>
      <c r="B1106" s="283"/>
      <c r="C1106" s="283"/>
      <c r="D1106" s="283"/>
      <c r="E1106" s="283"/>
      <c r="F1106" s="283"/>
      <c r="G1106" s="283"/>
      <c r="H1106" s="283"/>
      <c r="I1106" s="283"/>
      <c r="J1106" s="283"/>
      <c r="K1106" s="283"/>
      <c r="L1106" s="283"/>
      <c r="M1106" s="283"/>
      <c r="N1106" s="283"/>
      <c r="O1106" s="283"/>
      <c r="P1106" s="283"/>
      <c r="Q1106" s="283"/>
      <c r="R1106" s="283"/>
      <c r="S1106" s="283"/>
      <c r="T1106" s="283"/>
      <c r="U1106" s="283"/>
      <c r="V1106" s="283"/>
      <c r="W1106" s="283"/>
      <c r="X1106" s="283"/>
      <c r="Y1106" s="283"/>
      <c r="Z1106" s="283"/>
    </row>
    <row r="1107">
      <c r="A1107" s="283"/>
      <c r="B1107" s="283"/>
      <c r="C1107" s="283"/>
      <c r="D1107" s="283"/>
      <c r="E1107" s="283"/>
      <c r="F1107" s="283"/>
      <c r="G1107" s="283"/>
      <c r="H1107" s="283"/>
      <c r="I1107" s="283"/>
      <c r="J1107" s="283"/>
      <c r="K1107" s="283"/>
      <c r="L1107" s="283"/>
      <c r="M1107" s="283"/>
      <c r="N1107" s="283"/>
      <c r="O1107" s="283"/>
      <c r="P1107" s="283"/>
      <c r="Q1107" s="283"/>
      <c r="R1107" s="283"/>
      <c r="S1107" s="283"/>
      <c r="T1107" s="283"/>
      <c r="U1107" s="283"/>
      <c r="V1107" s="283"/>
      <c r="W1107" s="283"/>
      <c r="X1107" s="283"/>
      <c r="Y1107" s="283"/>
      <c r="Z1107" s="283"/>
    </row>
    <row r="1108">
      <c r="A1108" s="283"/>
      <c r="B1108" s="283"/>
      <c r="C1108" s="283"/>
      <c r="D1108" s="283"/>
      <c r="E1108" s="283"/>
      <c r="F1108" s="283"/>
      <c r="G1108" s="283"/>
      <c r="H1108" s="283"/>
      <c r="I1108" s="283"/>
      <c r="J1108" s="283"/>
      <c r="K1108" s="283"/>
      <c r="L1108" s="283"/>
      <c r="M1108" s="283"/>
      <c r="N1108" s="283"/>
      <c r="O1108" s="283"/>
      <c r="P1108" s="283"/>
      <c r="Q1108" s="283"/>
      <c r="R1108" s="283"/>
      <c r="S1108" s="283"/>
      <c r="T1108" s="283"/>
      <c r="U1108" s="283"/>
      <c r="V1108" s="283"/>
      <c r="W1108" s="283"/>
      <c r="X1108" s="283"/>
      <c r="Y1108" s="283"/>
      <c r="Z1108" s="283"/>
    </row>
    <row r="1109">
      <c r="A1109" s="283"/>
      <c r="B1109" s="283"/>
      <c r="C1109" s="283"/>
      <c r="D1109" s="283"/>
      <c r="E1109" s="283"/>
      <c r="F1109" s="283"/>
      <c r="G1109" s="283"/>
      <c r="H1109" s="283"/>
      <c r="I1109" s="283"/>
      <c r="J1109" s="283"/>
      <c r="K1109" s="283"/>
      <c r="L1109" s="283"/>
      <c r="M1109" s="283"/>
      <c r="N1109" s="283"/>
      <c r="O1109" s="283"/>
      <c r="P1109" s="283"/>
      <c r="Q1109" s="283"/>
      <c r="R1109" s="283"/>
      <c r="S1109" s="283"/>
      <c r="T1109" s="283"/>
      <c r="U1109" s="283"/>
      <c r="V1109" s="283"/>
      <c r="W1109" s="283"/>
      <c r="X1109" s="283"/>
      <c r="Y1109" s="283"/>
      <c r="Z1109" s="283"/>
    </row>
    <row r="1110">
      <c r="A1110" s="283"/>
      <c r="B1110" s="283"/>
      <c r="C1110" s="283"/>
      <c r="D1110" s="283"/>
      <c r="E1110" s="283"/>
      <c r="F1110" s="283"/>
      <c r="G1110" s="283"/>
      <c r="H1110" s="283"/>
      <c r="I1110" s="283"/>
      <c r="J1110" s="283"/>
      <c r="K1110" s="283"/>
      <c r="L1110" s="283"/>
      <c r="M1110" s="283"/>
      <c r="N1110" s="283"/>
      <c r="O1110" s="283"/>
      <c r="P1110" s="283"/>
      <c r="Q1110" s="283"/>
      <c r="R1110" s="283"/>
      <c r="S1110" s="283"/>
      <c r="T1110" s="283"/>
      <c r="U1110" s="283"/>
      <c r="V1110" s="283"/>
      <c r="W1110" s="283"/>
      <c r="X1110" s="283"/>
      <c r="Y1110" s="283"/>
      <c r="Z1110" s="283"/>
    </row>
    <row r="1111">
      <c r="A1111" s="283"/>
      <c r="B1111" s="283"/>
      <c r="C1111" s="283"/>
      <c r="D1111" s="283"/>
      <c r="E1111" s="283"/>
      <c r="F1111" s="283"/>
      <c r="G1111" s="283"/>
      <c r="H1111" s="283"/>
      <c r="I1111" s="283"/>
      <c r="J1111" s="283"/>
      <c r="K1111" s="283"/>
      <c r="L1111" s="283"/>
      <c r="M1111" s="283"/>
      <c r="N1111" s="283"/>
      <c r="O1111" s="283"/>
      <c r="P1111" s="283"/>
      <c r="Q1111" s="283"/>
      <c r="R1111" s="283"/>
      <c r="S1111" s="283"/>
      <c r="T1111" s="283"/>
      <c r="U1111" s="283"/>
      <c r="V1111" s="283"/>
      <c r="W1111" s="283"/>
      <c r="X1111" s="283"/>
      <c r="Y1111" s="283"/>
      <c r="Z1111" s="283"/>
    </row>
    <row r="1112">
      <c r="A1112" s="283"/>
      <c r="B1112" s="283"/>
      <c r="C1112" s="283"/>
      <c r="D1112" s="283"/>
      <c r="E1112" s="283"/>
      <c r="F1112" s="283"/>
      <c r="G1112" s="283"/>
      <c r="H1112" s="283"/>
      <c r="I1112" s="283"/>
      <c r="J1112" s="283"/>
      <c r="K1112" s="283"/>
      <c r="L1112" s="283"/>
      <c r="M1112" s="283"/>
      <c r="N1112" s="283"/>
      <c r="O1112" s="283"/>
      <c r="P1112" s="283"/>
      <c r="Q1112" s="283"/>
      <c r="R1112" s="283"/>
      <c r="S1112" s="283"/>
      <c r="T1112" s="283"/>
      <c r="U1112" s="283"/>
      <c r="V1112" s="283"/>
      <c r="W1112" s="283"/>
      <c r="X1112" s="283"/>
      <c r="Y1112" s="283"/>
      <c r="Z1112" s="283"/>
    </row>
    <row r="1113">
      <c r="A1113" s="283"/>
      <c r="B1113" s="283"/>
      <c r="C1113" s="283"/>
      <c r="D1113" s="283"/>
      <c r="E1113" s="283"/>
      <c r="F1113" s="283"/>
      <c r="G1113" s="283"/>
      <c r="H1113" s="283"/>
      <c r="I1113" s="283"/>
      <c r="J1113" s="283"/>
      <c r="K1113" s="283"/>
      <c r="L1113" s="283"/>
      <c r="M1113" s="283"/>
      <c r="N1113" s="283"/>
      <c r="O1113" s="283"/>
      <c r="P1113" s="283"/>
      <c r="Q1113" s="283"/>
      <c r="R1113" s="283"/>
      <c r="S1113" s="283"/>
      <c r="T1113" s="283"/>
      <c r="U1113" s="283"/>
      <c r="V1113" s="283"/>
      <c r="W1113" s="283"/>
      <c r="X1113" s="283"/>
      <c r="Y1113" s="283"/>
      <c r="Z1113" s="283"/>
    </row>
    <row r="1114">
      <c r="A1114" s="283"/>
      <c r="B1114" s="283"/>
      <c r="C1114" s="283"/>
      <c r="D1114" s="283"/>
      <c r="E1114" s="283"/>
      <c r="F1114" s="283"/>
      <c r="G1114" s="283"/>
      <c r="H1114" s="283"/>
      <c r="I1114" s="283"/>
      <c r="J1114" s="283"/>
      <c r="K1114" s="283"/>
      <c r="L1114" s="283"/>
      <c r="M1114" s="283"/>
      <c r="N1114" s="283"/>
      <c r="O1114" s="283"/>
      <c r="P1114" s="283"/>
      <c r="Q1114" s="283"/>
      <c r="R1114" s="283"/>
      <c r="S1114" s="283"/>
      <c r="T1114" s="283"/>
      <c r="U1114" s="283"/>
      <c r="V1114" s="283"/>
      <c r="W1114" s="283"/>
      <c r="X1114" s="283"/>
      <c r="Y1114" s="283"/>
      <c r="Z1114" s="283"/>
    </row>
    <row r="1115">
      <c r="A1115" s="283"/>
      <c r="B1115" s="283"/>
      <c r="C1115" s="283"/>
      <c r="D1115" s="283"/>
      <c r="E1115" s="283"/>
      <c r="F1115" s="283"/>
      <c r="G1115" s="283"/>
      <c r="H1115" s="283"/>
      <c r="I1115" s="283"/>
      <c r="J1115" s="283"/>
      <c r="K1115" s="283"/>
      <c r="L1115" s="283"/>
      <c r="M1115" s="283"/>
      <c r="N1115" s="283"/>
      <c r="O1115" s="283"/>
      <c r="P1115" s="283"/>
      <c r="Q1115" s="283"/>
      <c r="R1115" s="283"/>
      <c r="S1115" s="283"/>
      <c r="T1115" s="283"/>
      <c r="U1115" s="283"/>
      <c r="V1115" s="283"/>
      <c r="W1115" s="283"/>
      <c r="X1115" s="283"/>
      <c r="Y1115" s="283"/>
      <c r="Z1115" s="283"/>
    </row>
    <row r="1116">
      <c r="A1116" s="283"/>
      <c r="B1116" s="283"/>
      <c r="C1116" s="283"/>
      <c r="D1116" s="283"/>
      <c r="E1116" s="283"/>
      <c r="F1116" s="283"/>
      <c r="G1116" s="283"/>
      <c r="H1116" s="283"/>
      <c r="I1116" s="283"/>
      <c r="J1116" s="283"/>
      <c r="K1116" s="283"/>
      <c r="L1116" s="283"/>
      <c r="M1116" s="283"/>
      <c r="N1116" s="283"/>
      <c r="O1116" s="283"/>
      <c r="P1116" s="283"/>
      <c r="Q1116" s="283"/>
      <c r="R1116" s="283"/>
      <c r="S1116" s="283"/>
      <c r="T1116" s="283"/>
      <c r="U1116" s="283"/>
      <c r="V1116" s="283"/>
      <c r="W1116" s="283"/>
      <c r="X1116" s="283"/>
      <c r="Y1116" s="283"/>
      <c r="Z1116" s="283"/>
    </row>
    <row r="1117">
      <c r="A1117" s="283"/>
      <c r="B1117" s="283"/>
      <c r="C1117" s="283"/>
      <c r="D1117" s="283"/>
      <c r="E1117" s="283"/>
      <c r="F1117" s="283"/>
      <c r="G1117" s="283"/>
      <c r="H1117" s="283"/>
      <c r="I1117" s="283"/>
      <c r="J1117" s="283"/>
      <c r="K1117" s="283"/>
      <c r="L1117" s="283"/>
      <c r="M1117" s="283"/>
      <c r="N1117" s="283"/>
      <c r="O1117" s="283"/>
      <c r="P1117" s="283"/>
      <c r="Q1117" s="283"/>
      <c r="R1117" s="283"/>
      <c r="S1117" s="283"/>
      <c r="T1117" s="283"/>
      <c r="U1117" s="283"/>
      <c r="V1117" s="283"/>
      <c r="W1117" s="283"/>
      <c r="X1117" s="283"/>
      <c r="Y1117" s="283"/>
      <c r="Z1117" s="283"/>
    </row>
    <row r="1118">
      <c r="A1118" s="283"/>
      <c r="B1118" s="283"/>
      <c r="C1118" s="283"/>
      <c r="D1118" s="283"/>
      <c r="E1118" s="283"/>
      <c r="F1118" s="283"/>
      <c r="G1118" s="283"/>
      <c r="H1118" s="283"/>
      <c r="I1118" s="283"/>
      <c r="J1118" s="283"/>
      <c r="K1118" s="283"/>
      <c r="L1118" s="283"/>
      <c r="M1118" s="283"/>
      <c r="N1118" s="283"/>
      <c r="O1118" s="283"/>
      <c r="P1118" s="283"/>
      <c r="Q1118" s="283"/>
      <c r="R1118" s="283"/>
      <c r="S1118" s="283"/>
      <c r="T1118" s="283"/>
      <c r="U1118" s="283"/>
      <c r="V1118" s="283"/>
      <c r="W1118" s="283"/>
      <c r="X1118" s="283"/>
      <c r="Y1118" s="283"/>
      <c r="Z1118" s="283"/>
    </row>
    <row r="1119">
      <c r="A1119" s="283"/>
      <c r="B1119" s="283"/>
      <c r="C1119" s="283"/>
      <c r="D1119" s="283"/>
      <c r="E1119" s="283"/>
      <c r="F1119" s="283"/>
      <c r="G1119" s="283"/>
      <c r="H1119" s="283"/>
      <c r="I1119" s="283"/>
      <c r="J1119" s="283"/>
      <c r="K1119" s="283"/>
      <c r="L1119" s="283"/>
      <c r="M1119" s="283"/>
      <c r="N1119" s="283"/>
      <c r="O1119" s="283"/>
      <c r="P1119" s="283"/>
      <c r="Q1119" s="283"/>
      <c r="R1119" s="283"/>
      <c r="S1119" s="283"/>
      <c r="T1119" s="283"/>
      <c r="U1119" s="283"/>
      <c r="V1119" s="283"/>
      <c r="W1119" s="283"/>
      <c r="X1119" s="283"/>
      <c r="Y1119" s="283"/>
      <c r="Z1119" s="283"/>
    </row>
    <row r="1120">
      <c r="A1120" s="283"/>
      <c r="B1120" s="283"/>
      <c r="C1120" s="283"/>
      <c r="D1120" s="283"/>
      <c r="E1120" s="283"/>
      <c r="F1120" s="283"/>
      <c r="G1120" s="283"/>
      <c r="H1120" s="283"/>
      <c r="I1120" s="283"/>
      <c r="J1120" s="283"/>
      <c r="K1120" s="283"/>
      <c r="L1120" s="283"/>
      <c r="M1120" s="283"/>
      <c r="N1120" s="283"/>
      <c r="O1120" s="283"/>
      <c r="P1120" s="283"/>
      <c r="Q1120" s="283"/>
      <c r="R1120" s="283"/>
      <c r="S1120" s="283"/>
      <c r="T1120" s="283"/>
      <c r="U1120" s="283"/>
      <c r="V1120" s="283"/>
      <c r="W1120" s="283"/>
      <c r="X1120" s="283"/>
      <c r="Y1120" s="283"/>
      <c r="Z1120" s="283"/>
    </row>
    <row r="1121">
      <c r="A1121" s="283"/>
      <c r="B1121" s="283"/>
      <c r="C1121" s="283"/>
      <c r="D1121" s="283"/>
      <c r="E1121" s="283"/>
      <c r="F1121" s="283"/>
      <c r="G1121" s="283"/>
      <c r="H1121" s="283"/>
      <c r="I1121" s="283"/>
      <c r="J1121" s="283"/>
      <c r="K1121" s="283"/>
      <c r="L1121" s="283"/>
      <c r="M1121" s="283"/>
      <c r="N1121" s="283"/>
      <c r="O1121" s="283"/>
      <c r="P1121" s="283"/>
      <c r="Q1121" s="283"/>
      <c r="R1121" s="283"/>
      <c r="S1121" s="283"/>
      <c r="T1121" s="283"/>
      <c r="U1121" s="283"/>
      <c r="V1121" s="283"/>
      <c r="W1121" s="283"/>
      <c r="X1121" s="283"/>
      <c r="Y1121" s="283"/>
      <c r="Z1121" s="283"/>
    </row>
    <row r="1122">
      <c r="A1122" s="283"/>
      <c r="B1122" s="283"/>
      <c r="C1122" s="283"/>
      <c r="D1122" s="283"/>
      <c r="E1122" s="283"/>
      <c r="F1122" s="283"/>
      <c r="G1122" s="283"/>
      <c r="H1122" s="283"/>
      <c r="I1122" s="283"/>
      <c r="J1122" s="283"/>
      <c r="K1122" s="283"/>
      <c r="L1122" s="283"/>
      <c r="M1122" s="283"/>
      <c r="N1122" s="283"/>
      <c r="O1122" s="283"/>
      <c r="P1122" s="283"/>
      <c r="Q1122" s="283"/>
      <c r="R1122" s="283"/>
      <c r="S1122" s="283"/>
      <c r="T1122" s="283"/>
      <c r="U1122" s="283"/>
      <c r="V1122" s="283"/>
      <c r="W1122" s="283"/>
      <c r="X1122" s="283"/>
      <c r="Y1122" s="283"/>
      <c r="Z1122" s="283"/>
    </row>
    <row r="1123">
      <c r="A1123" s="283"/>
      <c r="B1123" s="283"/>
      <c r="C1123" s="283"/>
      <c r="D1123" s="283"/>
      <c r="E1123" s="283"/>
      <c r="F1123" s="283"/>
      <c r="G1123" s="283"/>
      <c r="H1123" s="283"/>
      <c r="I1123" s="283"/>
      <c r="J1123" s="283"/>
      <c r="K1123" s="283"/>
      <c r="L1123" s="283"/>
      <c r="M1123" s="283"/>
      <c r="N1123" s="283"/>
      <c r="O1123" s="283"/>
      <c r="P1123" s="283"/>
      <c r="Q1123" s="283"/>
      <c r="R1123" s="283"/>
      <c r="S1123" s="283"/>
      <c r="T1123" s="283"/>
      <c r="U1123" s="283"/>
      <c r="V1123" s="283"/>
      <c r="W1123" s="283"/>
      <c r="X1123" s="283"/>
      <c r="Y1123" s="283"/>
      <c r="Z1123" s="283"/>
    </row>
    <row r="1124">
      <c r="A1124" s="283"/>
      <c r="B1124" s="283"/>
      <c r="C1124" s="283"/>
      <c r="D1124" s="283"/>
      <c r="E1124" s="283"/>
      <c r="F1124" s="283"/>
      <c r="G1124" s="283"/>
      <c r="H1124" s="283"/>
      <c r="I1124" s="283"/>
      <c r="J1124" s="283"/>
      <c r="K1124" s="283"/>
      <c r="L1124" s="283"/>
      <c r="M1124" s="283"/>
      <c r="N1124" s="283"/>
      <c r="O1124" s="283"/>
      <c r="P1124" s="283"/>
      <c r="Q1124" s="283"/>
      <c r="R1124" s="283"/>
      <c r="S1124" s="283"/>
      <c r="T1124" s="283"/>
      <c r="U1124" s="283"/>
      <c r="V1124" s="283"/>
      <c r="W1124" s="283"/>
      <c r="X1124" s="283"/>
      <c r="Y1124" s="283"/>
      <c r="Z1124" s="283"/>
    </row>
    <row r="1125">
      <c r="A1125" s="283"/>
      <c r="B1125" s="283"/>
      <c r="C1125" s="283"/>
      <c r="D1125" s="283"/>
      <c r="E1125" s="283"/>
      <c r="F1125" s="283"/>
      <c r="G1125" s="283"/>
      <c r="H1125" s="283"/>
      <c r="I1125" s="283"/>
      <c r="J1125" s="283"/>
      <c r="K1125" s="283"/>
      <c r="L1125" s="283"/>
      <c r="M1125" s="283"/>
      <c r="N1125" s="283"/>
      <c r="O1125" s="283"/>
      <c r="P1125" s="283"/>
      <c r="Q1125" s="283"/>
      <c r="R1125" s="283"/>
      <c r="S1125" s="283"/>
      <c r="T1125" s="283"/>
      <c r="U1125" s="283"/>
      <c r="V1125" s="283"/>
      <c r="W1125" s="283"/>
      <c r="X1125" s="283"/>
      <c r="Y1125" s="283"/>
      <c r="Z1125" s="283"/>
    </row>
    <row r="1126">
      <c r="A1126" s="283"/>
      <c r="B1126" s="283"/>
      <c r="C1126" s="283"/>
      <c r="D1126" s="283"/>
      <c r="E1126" s="283"/>
      <c r="F1126" s="283"/>
      <c r="G1126" s="283"/>
      <c r="H1126" s="283"/>
      <c r="I1126" s="283"/>
      <c r="J1126" s="283"/>
      <c r="K1126" s="283"/>
      <c r="L1126" s="283"/>
      <c r="M1126" s="283"/>
      <c r="N1126" s="283"/>
      <c r="O1126" s="283"/>
      <c r="P1126" s="283"/>
      <c r="Q1126" s="283"/>
      <c r="R1126" s="283"/>
      <c r="S1126" s="283"/>
      <c r="T1126" s="283"/>
      <c r="U1126" s="283"/>
      <c r="V1126" s="283"/>
      <c r="W1126" s="283"/>
      <c r="X1126" s="283"/>
      <c r="Y1126" s="283"/>
      <c r="Z1126" s="283"/>
    </row>
    <row r="1127">
      <c r="A1127" s="283"/>
      <c r="B1127" s="283"/>
      <c r="C1127" s="283"/>
      <c r="D1127" s="283"/>
      <c r="E1127" s="283"/>
      <c r="F1127" s="283"/>
      <c r="G1127" s="283"/>
      <c r="H1127" s="283"/>
      <c r="I1127" s="283"/>
      <c r="J1127" s="283"/>
      <c r="K1127" s="283"/>
      <c r="L1127" s="283"/>
      <c r="M1127" s="283"/>
      <c r="N1127" s="283"/>
      <c r="O1127" s="283"/>
      <c r="P1127" s="283"/>
      <c r="Q1127" s="283"/>
      <c r="R1127" s="283"/>
      <c r="S1127" s="283"/>
      <c r="T1127" s="283"/>
      <c r="U1127" s="283"/>
      <c r="V1127" s="283"/>
      <c r="W1127" s="283"/>
      <c r="X1127" s="283"/>
      <c r="Y1127" s="283"/>
      <c r="Z1127" s="283"/>
    </row>
    <row r="1128">
      <c r="A1128" s="283"/>
      <c r="B1128" s="283"/>
      <c r="C1128" s="283"/>
      <c r="D1128" s="283"/>
      <c r="E1128" s="283"/>
      <c r="F1128" s="283"/>
      <c r="G1128" s="283"/>
      <c r="H1128" s="283"/>
      <c r="I1128" s="283"/>
      <c r="J1128" s="283"/>
      <c r="K1128" s="283"/>
      <c r="L1128" s="283"/>
      <c r="M1128" s="283"/>
      <c r="N1128" s="283"/>
      <c r="O1128" s="283"/>
      <c r="P1128" s="283"/>
      <c r="Q1128" s="283"/>
      <c r="R1128" s="283"/>
      <c r="S1128" s="283"/>
      <c r="T1128" s="283"/>
      <c r="U1128" s="283"/>
      <c r="V1128" s="283"/>
      <c r="W1128" s="283"/>
      <c r="X1128" s="283"/>
      <c r="Y1128" s="283"/>
      <c r="Z1128" s="283"/>
    </row>
    <row r="1129">
      <c r="A1129" s="283"/>
      <c r="B1129" s="283"/>
      <c r="C1129" s="283"/>
      <c r="D1129" s="283"/>
      <c r="E1129" s="283"/>
      <c r="F1129" s="283"/>
      <c r="G1129" s="283"/>
      <c r="H1129" s="283"/>
      <c r="I1129" s="283"/>
      <c r="J1129" s="283"/>
      <c r="K1129" s="283"/>
      <c r="L1129" s="283"/>
      <c r="M1129" s="283"/>
      <c r="N1129" s="283"/>
      <c r="O1129" s="283"/>
      <c r="P1129" s="283"/>
      <c r="Q1129" s="283"/>
      <c r="R1129" s="283"/>
      <c r="S1129" s="283"/>
      <c r="T1129" s="283"/>
      <c r="U1129" s="283"/>
      <c r="V1129" s="283"/>
      <c r="W1129" s="283"/>
      <c r="X1129" s="283"/>
      <c r="Y1129" s="283"/>
      <c r="Z1129" s="283"/>
    </row>
    <row r="1130">
      <c r="A1130" s="283"/>
      <c r="B1130" s="283"/>
      <c r="C1130" s="283"/>
      <c r="D1130" s="283"/>
      <c r="E1130" s="283"/>
      <c r="F1130" s="283"/>
      <c r="G1130" s="283"/>
      <c r="H1130" s="283"/>
      <c r="I1130" s="283"/>
      <c r="J1130" s="283"/>
      <c r="K1130" s="283"/>
      <c r="L1130" s="283"/>
      <c r="M1130" s="283"/>
      <c r="N1130" s="283"/>
      <c r="O1130" s="283"/>
      <c r="P1130" s="283"/>
      <c r="Q1130" s="283"/>
      <c r="R1130" s="283"/>
      <c r="S1130" s="283"/>
      <c r="T1130" s="283"/>
      <c r="U1130" s="283"/>
      <c r="V1130" s="283"/>
      <c r="W1130" s="283"/>
      <c r="X1130" s="283"/>
      <c r="Y1130" s="283"/>
      <c r="Z1130" s="283"/>
    </row>
    <row r="1131">
      <c r="A1131" s="283"/>
      <c r="B1131" s="283"/>
      <c r="C1131" s="283"/>
      <c r="D1131" s="283"/>
      <c r="E1131" s="283"/>
      <c r="F1131" s="283"/>
      <c r="G1131" s="283"/>
      <c r="H1131" s="283"/>
      <c r="I1131" s="283"/>
      <c r="J1131" s="283"/>
      <c r="K1131" s="283"/>
      <c r="L1131" s="283"/>
      <c r="M1131" s="283"/>
      <c r="N1131" s="283"/>
      <c r="O1131" s="283"/>
      <c r="P1131" s="283"/>
      <c r="Q1131" s="283"/>
      <c r="R1131" s="283"/>
      <c r="S1131" s="283"/>
      <c r="T1131" s="283"/>
      <c r="U1131" s="283"/>
      <c r="V1131" s="283"/>
      <c r="W1131" s="283"/>
      <c r="X1131" s="283"/>
      <c r="Y1131" s="283"/>
      <c r="Z1131" s="283"/>
    </row>
    <row r="1132">
      <c r="A1132" s="283"/>
      <c r="B1132" s="283"/>
      <c r="C1132" s="283"/>
      <c r="D1132" s="283"/>
      <c r="E1132" s="283"/>
      <c r="F1132" s="283"/>
      <c r="G1132" s="283"/>
      <c r="H1132" s="283"/>
      <c r="I1132" s="283"/>
      <c r="J1132" s="283"/>
      <c r="K1132" s="283"/>
      <c r="L1132" s="283"/>
      <c r="M1132" s="283"/>
      <c r="N1132" s="283"/>
      <c r="O1132" s="283"/>
      <c r="P1132" s="283"/>
      <c r="Q1132" s="283"/>
      <c r="R1132" s="283"/>
      <c r="S1132" s="283"/>
      <c r="T1132" s="283"/>
      <c r="U1132" s="283"/>
      <c r="V1132" s="283"/>
      <c r="W1132" s="283"/>
      <c r="X1132" s="283"/>
      <c r="Y1132" s="283"/>
      <c r="Z1132" s="283"/>
    </row>
    <row r="1133">
      <c r="A1133" s="283"/>
      <c r="B1133" s="283"/>
      <c r="C1133" s="283"/>
      <c r="D1133" s="283"/>
      <c r="E1133" s="283"/>
      <c r="F1133" s="283"/>
      <c r="G1133" s="283"/>
      <c r="H1133" s="283"/>
      <c r="I1133" s="283"/>
      <c r="J1133" s="283"/>
      <c r="K1133" s="283"/>
      <c r="L1133" s="283"/>
      <c r="M1133" s="283"/>
      <c r="N1133" s="283"/>
      <c r="O1133" s="283"/>
      <c r="P1133" s="283"/>
      <c r="Q1133" s="283"/>
      <c r="R1133" s="283"/>
      <c r="S1133" s="283"/>
      <c r="T1133" s="283"/>
      <c r="U1133" s="283"/>
      <c r="V1133" s="283"/>
      <c r="W1133" s="283"/>
      <c r="X1133" s="283"/>
      <c r="Y1133" s="283"/>
      <c r="Z1133" s="283"/>
    </row>
    <row r="1134">
      <c r="A1134" s="283"/>
      <c r="B1134" s="283"/>
      <c r="C1134" s="283"/>
      <c r="D1134" s="283"/>
      <c r="E1134" s="283"/>
      <c r="F1134" s="283"/>
      <c r="G1134" s="283"/>
      <c r="H1134" s="283"/>
      <c r="I1134" s="283"/>
      <c r="J1134" s="283"/>
      <c r="K1134" s="283"/>
      <c r="L1134" s="283"/>
      <c r="M1134" s="283"/>
      <c r="N1134" s="283"/>
      <c r="O1134" s="283"/>
      <c r="P1134" s="283"/>
      <c r="Q1134" s="283"/>
      <c r="R1134" s="283"/>
      <c r="S1134" s="283"/>
      <c r="T1134" s="283"/>
      <c r="U1134" s="283"/>
      <c r="V1134" s="283"/>
      <c r="W1134" s="283"/>
      <c r="X1134" s="283"/>
      <c r="Y1134" s="283"/>
      <c r="Z1134" s="283"/>
    </row>
    <row r="1135">
      <c r="A1135" s="283"/>
      <c r="B1135" s="283"/>
      <c r="C1135" s="283"/>
      <c r="D1135" s="283"/>
      <c r="E1135" s="283"/>
      <c r="F1135" s="283"/>
      <c r="G1135" s="283"/>
      <c r="H1135" s="283"/>
      <c r="I1135" s="283"/>
      <c r="J1135" s="283"/>
      <c r="K1135" s="283"/>
      <c r="L1135" s="283"/>
      <c r="M1135" s="283"/>
      <c r="N1135" s="283"/>
      <c r="O1135" s="283"/>
      <c r="P1135" s="283"/>
      <c r="Q1135" s="283"/>
      <c r="R1135" s="283"/>
      <c r="S1135" s="283"/>
      <c r="T1135" s="283"/>
      <c r="U1135" s="283"/>
      <c r="V1135" s="283"/>
      <c r="W1135" s="283"/>
      <c r="X1135" s="283"/>
      <c r="Y1135" s="283"/>
      <c r="Z1135" s="283"/>
    </row>
    <row r="1136">
      <c r="A1136" s="283"/>
      <c r="B1136" s="283"/>
      <c r="C1136" s="283"/>
      <c r="D1136" s="283"/>
      <c r="E1136" s="283"/>
      <c r="F1136" s="283"/>
      <c r="G1136" s="283"/>
      <c r="H1136" s="283"/>
      <c r="I1136" s="283"/>
      <c r="J1136" s="283"/>
      <c r="K1136" s="283"/>
      <c r="L1136" s="283"/>
      <c r="M1136" s="283"/>
      <c r="N1136" s="283"/>
      <c r="O1136" s="283"/>
      <c r="P1136" s="283"/>
      <c r="Q1136" s="283"/>
      <c r="R1136" s="283"/>
      <c r="S1136" s="283"/>
      <c r="T1136" s="283"/>
      <c r="U1136" s="283"/>
      <c r="V1136" s="283"/>
      <c r="W1136" s="283"/>
      <c r="X1136" s="283"/>
      <c r="Y1136" s="283"/>
      <c r="Z1136" s="283"/>
    </row>
    <row r="1137">
      <c r="A1137" s="283"/>
      <c r="B1137" s="283"/>
      <c r="C1137" s="283"/>
      <c r="D1137" s="283"/>
      <c r="E1137" s="283"/>
      <c r="F1137" s="283"/>
      <c r="G1137" s="283"/>
      <c r="H1137" s="283"/>
      <c r="I1137" s="283"/>
      <c r="J1137" s="283"/>
      <c r="K1137" s="283"/>
      <c r="L1137" s="283"/>
      <c r="M1137" s="283"/>
      <c r="N1137" s="283"/>
      <c r="O1137" s="283"/>
      <c r="P1137" s="283"/>
      <c r="Q1137" s="283"/>
      <c r="R1137" s="283"/>
      <c r="S1137" s="283"/>
      <c r="T1137" s="283"/>
      <c r="U1137" s="283"/>
      <c r="V1137" s="283"/>
      <c r="W1137" s="283"/>
      <c r="X1137" s="283"/>
      <c r="Y1137" s="283"/>
      <c r="Z1137" s="283"/>
    </row>
    <row r="1138">
      <c r="A1138" s="283"/>
      <c r="B1138" s="283"/>
      <c r="C1138" s="283"/>
      <c r="D1138" s="283"/>
      <c r="E1138" s="283"/>
      <c r="F1138" s="283"/>
      <c r="G1138" s="283"/>
      <c r="H1138" s="283"/>
      <c r="I1138" s="283"/>
      <c r="J1138" s="283"/>
      <c r="K1138" s="283"/>
      <c r="L1138" s="283"/>
      <c r="M1138" s="283"/>
      <c r="N1138" s="283"/>
      <c r="O1138" s="283"/>
      <c r="P1138" s="283"/>
      <c r="Q1138" s="283"/>
      <c r="R1138" s="283"/>
      <c r="S1138" s="283"/>
      <c r="T1138" s="283"/>
      <c r="U1138" s="283"/>
      <c r="V1138" s="283"/>
      <c r="W1138" s="283"/>
      <c r="X1138" s="283"/>
      <c r="Y1138" s="283"/>
      <c r="Z1138" s="283"/>
    </row>
    <row r="1139">
      <c r="A1139" s="283"/>
      <c r="B1139" s="283"/>
      <c r="C1139" s="283"/>
      <c r="D1139" s="283"/>
      <c r="E1139" s="283"/>
      <c r="F1139" s="283"/>
      <c r="G1139" s="283"/>
      <c r="H1139" s="283"/>
      <c r="I1139" s="283"/>
      <c r="J1139" s="283"/>
      <c r="K1139" s="283"/>
      <c r="L1139" s="283"/>
      <c r="M1139" s="283"/>
      <c r="N1139" s="283"/>
      <c r="O1139" s="283"/>
      <c r="P1139" s="283"/>
      <c r="Q1139" s="283"/>
      <c r="R1139" s="283"/>
      <c r="S1139" s="283"/>
      <c r="T1139" s="283"/>
      <c r="U1139" s="283"/>
      <c r="V1139" s="283"/>
      <c r="W1139" s="283"/>
      <c r="X1139" s="283"/>
      <c r="Y1139" s="283"/>
      <c r="Z1139" s="283"/>
    </row>
    <row r="1140">
      <c r="A1140" s="283"/>
      <c r="B1140" s="283"/>
      <c r="C1140" s="283"/>
      <c r="D1140" s="283"/>
      <c r="E1140" s="283"/>
      <c r="F1140" s="283"/>
      <c r="G1140" s="283"/>
      <c r="H1140" s="283"/>
      <c r="I1140" s="283"/>
      <c r="J1140" s="283"/>
      <c r="K1140" s="283"/>
      <c r="L1140" s="283"/>
      <c r="M1140" s="283"/>
      <c r="N1140" s="283"/>
      <c r="O1140" s="283"/>
      <c r="P1140" s="283"/>
      <c r="Q1140" s="283"/>
      <c r="R1140" s="283"/>
      <c r="S1140" s="283"/>
      <c r="T1140" s="283"/>
      <c r="U1140" s="283"/>
      <c r="V1140" s="283"/>
      <c r="W1140" s="283"/>
      <c r="X1140" s="283"/>
      <c r="Y1140" s="283"/>
      <c r="Z1140" s="283"/>
    </row>
    <row r="1141">
      <c r="A1141" s="283"/>
      <c r="B1141" s="283"/>
      <c r="C1141" s="283"/>
      <c r="D1141" s="283"/>
      <c r="E1141" s="283"/>
      <c r="F1141" s="283"/>
      <c r="G1141" s="283"/>
      <c r="H1141" s="283"/>
      <c r="I1141" s="283"/>
      <c r="J1141" s="283"/>
      <c r="K1141" s="283"/>
      <c r="L1141" s="283"/>
      <c r="M1141" s="283"/>
      <c r="N1141" s="283"/>
      <c r="O1141" s="283"/>
      <c r="P1141" s="283"/>
      <c r="Q1141" s="283"/>
      <c r="R1141" s="283"/>
      <c r="S1141" s="283"/>
      <c r="T1141" s="283"/>
      <c r="U1141" s="283"/>
      <c r="V1141" s="283"/>
      <c r="W1141" s="283"/>
      <c r="X1141" s="283"/>
      <c r="Y1141" s="283"/>
      <c r="Z1141" s="283"/>
    </row>
    <row r="1142">
      <c r="A1142" s="283"/>
      <c r="B1142" s="283"/>
      <c r="C1142" s="283"/>
      <c r="D1142" s="283"/>
      <c r="E1142" s="283"/>
      <c r="F1142" s="283"/>
      <c r="G1142" s="283"/>
      <c r="H1142" s="283"/>
      <c r="I1142" s="283"/>
      <c r="J1142" s="283"/>
      <c r="K1142" s="283"/>
      <c r="L1142" s="283"/>
      <c r="M1142" s="283"/>
      <c r="N1142" s="283"/>
      <c r="O1142" s="283"/>
      <c r="P1142" s="283"/>
      <c r="Q1142" s="283"/>
      <c r="R1142" s="283"/>
      <c r="S1142" s="283"/>
      <c r="T1142" s="283"/>
      <c r="U1142" s="283"/>
      <c r="V1142" s="283"/>
      <c r="W1142" s="283"/>
      <c r="X1142" s="283"/>
      <c r="Y1142" s="283"/>
      <c r="Z1142" s="283"/>
    </row>
    <row r="1143">
      <c r="A1143" s="283"/>
      <c r="B1143" s="283"/>
      <c r="C1143" s="283"/>
      <c r="D1143" s="283"/>
      <c r="E1143" s="283"/>
      <c r="F1143" s="283"/>
      <c r="G1143" s="283"/>
      <c r="H1143" s="283"/>
      <c r="I1143" s="283"/>
      <c r="J1143" s="283"/>
      <c r="K1143" s="283"/>
      <c r="L1143" s="283"/>
      <c r="M1143" s="283"/>
      <c r="N1143" s="283"/>
      <c r="O1143" s="283"/>
      <c r="P1143" s="283"/>
      <c r="Q1143" s="283"/>
      <c r="R1143" s="283"/>
      <c r="S1143" s="283"/>
      <c r="T1143" s="283"/>
      <c r="U1143" s="283"/>
      <c r="V1143" s="283"/>
      <c r="W1143" s="283"/>
      <c r="X1143" s="283"/>
      <c r="Y1143" s="283"/>
      <c r="Z1143" s="283"/>
    </row>
    <row r="1144">
      <c r="A1144" s="283"/>
      <c r="B1144" s="283"/>
      <c r="C1144" s="283"/>
      <c r="D1144" s="283"/>
      <c r="E1144" s="283"/>
      <c r="F1144" s="283"/>
      <c r="G1144" s="283"/>
      <c r="H1144" s="283"/>
      <c r="I1144" s="283"/>
      <c r="J1144" s="283"/>
      <c r="K1144" s="283"/>
      <c r="L1144" s="283"/>
      <c r="M1144" s="283"/>
      <c r="N1144" s="283"/>
      <c r="O1144" s="283"/>
      <c r="P1144" s="283"/>
      <c r="Q1144" s="283"/>
      <c r="R1144" s="283"/>
      <c r="S1144" s="283"/>
      <c r="T1144" s="283"/>
      <c r="U1144" s="283"/>
      <c r="V1144" s="283"/>
      <c r="W1144" s="283"/>
      <c r="X1144" s="283"/>
      <c r="Y1144" s="283"/>
      <c r="Z1144" s="283"/>
    </row>
    <row r="1145">
      <c r="A1145" s="283"/>
      <c r="B1145" s="283"/>
      <c r="C1145" s="283"/>
      <c r="D1145" s="283"/>
      <c r="E1145" s="283"/>
      <c r="F1145" s="283"/>
      <c r="G1145" s="283"/>
      <c r="H1145" s="283"/>
      <c r="I1145" s="283"/>
      <c r="J1145" s="283"/>
      <c r="K1145" s="283"/>
      <c r="L1145" s="283"/>
      <c r="M1145" s="283"/>
      <c r="N1145" s="283"/>
      <c r="O1145" s="283"/>
      <c r="P1145" s="283"/>
      <c r="Q1145" s="283"/>
      <c r="R1145" s="283"/>
      <c r="S1145" s="283"/>
      <c r="T1145" s="283"/>
      <c r="U1145" s="283"/>
      <c r="V1145" s="283"/>
      <c r="W1145" s="283"/>
      <c r="X1145" s="283"/>
      <c r="Y1145" s="283"/>
      <c r="Z1145" s="283"/>
    </row>
    <row r="1146">
      <c r="A1146" s="283"/>
      <c r="B1146" s="283"/>
      <c r="C1146" s="283"/>
      <c r="D1146" s="283"/>
      <c r="E1146" s="283"/>
      <c r="F1146" s="283"/>
      <c r="G1146" s="283"/>
      <c r="H1146" s="283"/>
      <c r="I1146" s="283"/>
      <c r="J1146" s="283"/>
      <c r="K1146" s="283"/>
      <c r="L1146" s="283"/>
      <c r="M1146" s="283"/>
      <c r="N1146" s="283"/>
      <c r="O1146" s="283"/>
      <c r="P1146" s="283"/>
      <c r="Q1146" s="283"/>
      <c r="R1146" s="283"/>
      <c r="S1146" s="283"/>
      <c r="T1146" s="283"/>
      <c r="U1146" s="283"/>
      <c r="V1146" s="283"/>
      <c r="W1146" s="283"/>
      <c r="X1146" s="283"/>
      <c r="Y1146" s="283"/>
      <c r="Z1146" s="283"/>
    </row>
    <row r="1147">
      <c r="A1147" s="283"/>
      <c r="B1147" s="283"/>
      <c r="C1147" s="283"/>
      <c r="D1147" s="283"/>
      <c r="E1147" s="283"/>
      <c r="F1147" s="283"/>
      <c r="G1147" s="283"/>
      <c r="H1147" s="283"/>
      <c r="I1147" s="283"/>
      <c r="J1147" s="283"/>
      <c r="K1147" s="283"/>
      <c r="L1147" s="283"/>
      <c r="M1147" s="283"/>
      <c r="N1147" s="283"/>
      <c r="O1147" s="283"/>
      <c r="P1147" s="283"/>
      <c r="Q1147" s="283"/>
      <c r="R1147" s="283"/>
      <c r="S1147" s="283"/>
      <c r="T1147" s="283"/>
      <c r="U1147" s="283"/>
      <c r="V1147" s="283"/>
      <c r="W1147" s="283"/>
      <c r="X1147" s="283"/>
      <c r="Y1147" s="283"/>
      <c r="Z1147" s="283"/>
    </row>
    <row r="1148">
      <c r="A1148" s="283"/>
      <c r="B1148" s="283"/>
      <c r="C1148" s="283"/>
      <c r="D1148" s="283"/>
      <c r="E1148" s="283"/>
      <c r="F1148" s="283"/>
      <c r="G1148" s="283"/>
      <c r="H1148" s="283"/>
      <c r="I1148" s="283"/>
      <c r="J1148" s="283"/>
      <c r="K1148" s="283"/>
      <c r="L1148" s="283"/>
      <c r="M1148" s="283"/>
      <c r="N1148" s="283"/>
      <c r="O1148" s="283"/>
      <c r="P1148" s="283"/>
      <c r="Q1148" s="283"/>
      <c r="R1148" s="283"/>
      <c r="S1148" s="283"/>
      <c r="T1148" s="283"/>
      <c r="U1148" s="283"/>
      <c r="V1148" s="283"/>
      <c r="W1148" s="283"/>
      <c r="X1148" s="283"/>
      <c r="Y1148" s="283"/>
      <c r="Z1148" s="283"/>
    </row>
    <row r="1149">
      <c r="A1149" s="283"/>
      <c r="B1149" s="283"/>
      <c r="C1149" s="283"/>
      <c r="D1149" s="283"/>
      <c r="E1149" s="283"/>
      <c r="F1149" s="283"/>
      <c r="G1149" s="283"/>
      <c r="H1149" s="283"/>
      <c r="I1149" s="283"/>
      <c r="J1149" s="283"/>
      <c r="K1149" s="283"/>
      <c r="L1149" s="283"/>
      <c r="M1149" s="283"/>
      <c r="N1149" s="283"/>
      <c r="O1149" s="283"/>
      <c r="P1149" s="283"/>
      <c r="Q1149" s="283"/>
      <c r="R1149" s="283"/>
      <c r="S1149" s="283"/>
      <c r="T1149" s="283"/>
      <c r="U1149" s="283"/>
      <c r="V1149" s="283"/>
      <c r="W1149" s="283"/>
      <c r="X1149" s="283"/>
      <c r="Y1149" s="283"/>
      <c r="Z1149" s="283"/>
    </row>
    <row r="1150">
      <c r="A1150" s="283"/>
      <c r="B1150" s="283"/>
      <c r="C1150" s="283"/>
      <c r="D1150" s="283"/>
      <c r="E1150" s="283"/>
      <c r="F1150" s="283"/>
      <c r="G1150" s="283"/>
      <c r="H1150" s="283"/>
      <c r="I1150" s="283"/>
      <c r="J1150" s="283"/>
      <c r="K1150" s="283"/>
      <c r="L1150" s="283"/>
      <c r="M1150" s="283"/>
      <c r="N1150" s="283"/>
      <c r="O1150" s="283"/>
      <c r="P1150" s="283"/>
      <c r="Q1150" s="283"/>
      <c r="R1150" s="283"/>
      <c r="S1150" s="283"/>
      <c r="T1150" s="283"/>
      <c r="U1150" s="283"/>
      <c r="V1150" s="283"/>
      <c r="W1150" s="283"/>
      <c r="X1150" s="283"/>
      <c r="Y1150" s="283"/>
      <c r="Z1150" s="283"/>
    </row>
    <row r="1151">
      <c r="A1151" s="283"/>
      <c r="B1151" s="283"/>
      <c r="C1151" s="283"/>
      <c r="D1151" s="283"/>
      <c r="E1151" s="283"/>
      <c r="F1151" s="283"/>
      <c r="G1151" s="283"/>
      <c r="H1151" s="283"/>
      <c r="I1151" s="283"/>
      <c r="J1151" s="283"/>
      <c r="K1151" s="283"/>
      <c r="L1151" s="283"/>
      <c r="M1151" s="283"/>
      <c r="N1151" s="283"/>
      <c r="O1151" s="283"/>
      <c r="P1151" s="283"/>
      <c r="Q1151" s="283"/>
      <c r="R1151" s="283"/>
      <c r="S1151" s="283"/>
      <c r="T1151" s="283"/>
      <c r="U1151" s="283"/>
      <c r="V1151" s="283"/>
      <c r="W1151" s="283"/>
      <c r="X1151" s="283"/>
      <c r="Y1151" s="283"/>
      <c r="Z1151" s="283"/>
    </row>
    <row r="1152">
      <c r="A1152" s="283"/>
      <c r="B1152" s="283"/>
      <c r="C1152" s="283"/>
      <c r="D1152" s="283"/>
      <c r="E1152" s="283"/>
      <c r="F1152" s="283"/>
      <c r="G1152" s="283"/>
      <c r="H1152" s="283"/>
      <c r="I1152" s="283"/>
      <c r="J1152" s="283"/>
      <c r="K1152" s="283"/>
      <c r="L1152" s="283"/>
      <c r="M1152" s="283"/>
      <c r="N1152" s="283"/>
      <c r="O1152" s="283"/>
      <c r="P1152" s="283"/>
      <c r="Q1152" s="283"/>
      <c r="R1152" s="283"/>
      <c r="S1152" s="283"/>
      <c r="T1152" s="283"/>
      <c r="U1152" s="283"/>
      <c r="V1152" s="283"/>
      <c r="W1152" s="283"/>
      <c r="X1152" s="283"/>
      <c r="Y1152" s="283"/>
      <c r="Z1152" s="283"/>
    </row>
    <row r="1153">
      <c r="A1153" s="283"/>
      <c r="B1153" s="283"/>
      <c r="C1153" s="283"/>
      <c r="D1153" s="283"/>
      <c r="E1153" s="283"/>
      <c r="F1153" s="283"/>
      <c r="G1153" s="283"/>
      <c r="H1153" s="283"/>
      <c r="I1153" s="283"/>
      <c r="J1153" s="283"/>
      <c r="K1153" s="283"/>
      <c r="L1153" s="283"/>
      <c r="M1153" s="283"/>
      <c r="N1153" s="283"/>
      <c r="O1153" s="283"/>
      <c r="P1153" s="283"/>
      <c r="Q1153" s="283"/>
      <c r="R1153" s="283"/>
      <c r="S1153" s="283"/>
      <c r="T1153" s="283"/>
      <c r="U1153" s="283"/>
      <c r="V1153" s="283"/>
      <c r="W1153" s="283"/>
      <c r="X1153" s="283"/>
      <c r="Y1153" s="283"/>
      <c r="Z1153" s="283"/>
    </row>
    <row r="1154">
      <c r="A1154" s="283"/>
      <c r="B1154" s="283"/>
      <c r="C1154" s="283"/>
      <c r="D1154" s="283"/>
      <c r="E1154" s="283"/>
      <c r="F1154" s="283"/>
      <c r="G1154" s="283"/>
      <c r="H1154" s="283"/>
      <c r="I1154" s="283"/>
      <c r="J1154" s="283"/>
      <c r="K1154" s="283"/>
      <c r="L1154" s="283"/>
      <c r="M1154" s="283"/>
      <c r="N1154" s="283"/>
      <c r="O1154" s="283"/>
      <c r="P1154" s="283"/>
      <c r="Q1154" s="283"/>
      <c r="R1154" s="283"/>
      <c r="S1154" s="283"/>
      <c r="T1154" s="283"/>
      <c r="U1154" s="283"/>
      <c r="V1154" s="283"/>
      <c r="W1154" s="283"/>
      <c r="X1154" s="283"/>
      <c r="Y1154" s="283"/>
      <c r="Z1154" s="283"/>
    </row>
    <row r="1155">
      <c r="A1155" s="283"/>
      <c r="B1155" s="283"/>
      <c r="C1155" s="283"/>
      <c r="D1155" s="283"/>
      <c r="E1155" s="283"/>
      <c r="F1155" s="283"/>
      <c r="G1155" s="283"/>
      <c r="H1155" s="283"/>
      <c r="I1155" s="283"/>
      <c r="J1155" s="283"/>
      <c r="K1155" s="283"/>
      <c r="L1155" s="283"/>
      <c r="M1155" s="283"/>
      <c r="N1155" s="283"/>
      <c r="O1155" s="283"/>
      <c r="P1155" s="283"/>
      <c r="Q1155" s="283"/>
      <c r="R1155" s="283"/>
      <c r="S1155" s="283"/>
      <c r="T1155" s="283"/>
      <c r="U1155" s="283"/>
      <c r="V1155" s="283"/>
      <c r="W1155" s="283"/>
      <c r="X1155" s="283"/>
      <c r="Y1155" s="283"/>
      <c r="Z1155" s="283"/>
    </row>
    <row r="1156">
      <c r="A1156" s="283"/>
      <c r="B1156" s="283"/>
      <c r="C1156" s="283"/>
      <c r="D1156" s="283"/>
      <c r="E1156" s="283"/>
      <c r="F1156" s="283"/>
      <c r="G1156" s="283"/>
      <c r="H1156" s="283"/>
      <c r="I1156" s="283"/>
      <c r="J1156" s="283"/>
      <c r="K1156" s="283"/>
      <c r="L1156" s="283"/>
      <c r="M1156" s="283"/>
      <c r="N1156" s="283"/>
      <c r="O1156" s="283"/>
      <c r="P1156" s="283"/>
      <c r="Q1156" s="283"/>
      <c r="R1156" s="283"/>
      <c r="S1156" s="283"/>
      <c r="T1156" s="283"/>
      <c r="U1156" s="283"/>
      <c r="V1156" s="283"/>
      <c r="W1156" s="283"/>
      <c r="X1156" s="283"/>
      <c r="Y1156" s="283"/>
      <c r="Z1156" s="283"/>
    </row>
    <row r="1157">
      <c r="A1157" s="283"/>
      <c r="B1157" s="283"/>
      <c r="C1157" s="283"/>
      <c r="D1157" s="283"/>
      <c r="E1157" s="283"/>
      <c r="F1157" s="283"/>
      <c r="G1157" s="283"/>
      <c r="H1157" s="283"/>
      <c r="I1157" s="283"/>
      <c r="J1157" s="283"/>
      <c r="K1157" s="283"/>
      <c r="L1157" s="283"/>
      <c r="M1157" s="283"/>
      <c r="N1157" s="283"/>
      <c r="O1157" s="283"/>
      <c r="P1157" s="283"/>
      <c r="Q1157" s="283"/>
      <c r="R1157" s="283"/>
      <c r="S1157" s="283"/>
      <c r="T1157" s="283"/>
      <c r="U1157" s="283"/>
      <c r="V1157" s="283"/>
      <c r="W1157" s="283"/>
      <c r="X1157" s="283"/>
      <c r="Y1157" s="283"/>
      <c r="Z1157" s="283"/>
    </row>
    <row r="1158">
      <c r="A1158" s="283"/>
      <c r="B1158" s="283"/>
      <c r="C1158" s="283"/>
      <c r="D1158" s="283"/>
      <c r="E1158" s="283"/>
      <c r="F1158" s="283"/>
      <c r="G1158" s="283"/>
      <c r="H1158" s="283"/>
      <c r="I1158" s="283"/>
      <c r="J1158" s="283"/>
      <c r="K1158" s="283"/>
      <c r="L1158" s="283"/>
      <c r="M1158" s="283"/>
      <c r="N1158" s="283"/>
      <c r="O1158" s="283"/>
      <c r="P1158" s="283"/>
      <c r="Q1158" s="283"/>
      <c r="R1158" s="283"/>
      <c r="S1158" s="283"/>
      <c r="T1158" s="283"/>
      <c r="U1158" s="283"/>
      <c r="V1158" s="283"/>
      <c r="W1158" s="283"/>
      <c r="X1158" s="283"/>
      <c r="Y1158" s="283"/>
      <c r="Z1158" s="283"/>
    </row>
    <row r="1159">
      <c r="A1159" s="283"/>
      <c r="B1159" s="283"/>
      <c r="C1159" s="283"/>
      <c r="D1159" s="283"/>
      <c r="E1159" s="283"/>
      <c r="F1159" s="283"/>
      <c r="G1159" s="283"/>
      <c r="H1159" s="283"/>
      <c r="I1159" s="283"/>
      <c r="J1159" s="283"/>
      <c r="K1159" s="283"/>
      <c r="L1159" s="283"/>
      <c r="M1159" s="283"/>
      <c r="N1159" s="283"/>
      <c r="O1159" s="283"/>
      <c r="P1159" s="283"/>
      <c r="Q1159" s="283"/>
      <c r="R1159" s="283"/>
      <c r="S1159" s="283"/>
      <c r="T1159" s="283"/>
      <c r="U1159" s="283"/>
      <c r="V1159" s="283"/>
      <c r="W1159" s="283"/>
      <c r="X1159" s="283"/>
      <c r="Y1159" s="283"/>
      <c r="Z1159" s="283"/>
    </row>
    <row r="1160">
      <c r="A1160" s="283"/>
      <c r="B1160" s="283"/>
      <c r="C1160" s="283"/>
      <c r="D1160" s="283"/>
      <c r="E1160" s="283"/>
      <c r="F1160" s="283"/>
      <c r="G1160" s="283"/>
      <c r="H1160" s="283"/>
      <c r="I1160" s="283"/>
      <c r="J1160" s="283"/>
      <c r="K1160" s="283"/>
      <c r="L1160" s="283"/>
      <c r="M1160" s="283"/>
      <c r="N1160" s="283"/>
      <c r="O1160" s="283"/>
      <c r="P1160" s="283"/>
      <c r="Q1160" s="283"/>
      <c r="R1160" s="283"/>
      <c r="S1160" s="283"/>
      <c r="T1160" s="283"/>
      <c r="U1160" s="283"/>
      <c r="V1160" s="283"/>
      <c r="W1160" s="283"/>
      <c r="X1160" s="283"/>
      <c r="Y1160" s="283"/>
      <c r="Z1160" s="283"/>
    </row>
    <row r="1161">
      <c r="A1161" s="283"/>
      <c r="B1161" s="283"/>
      <c r="C1161" s="283"/>
      <c r="D1161" s="283"/>
      <c r="E1161" s="283"/>
      <c r="F1161" s="283"/>
      <c r="G1161" s="283"/>
      <c r="H1161" s="283"/>
      <c r="I1161" s="283"/>
      <c r="J1161" s="283"/>
      <c r="K1161" s="283"/>
      <c r="L1161" s="283"/>
      <c r="M1161" s="283"/>
      <c r="N1161" s="283"/>
      <c r="O1161" s="283"/>
      <c r="P1161" s="283"/>
      <c r="Q1161" s="283"/>
      <c r="R1161" s="283"/>
      <c r="S1161" s="283"/>
      <c r="T1161" s="283"/>
      <c r="U1161" s="283"/>
      <c r="V1161" s="283"/>
      <c r="W1161" s="283"/>
      <c r="X1161" s="283"/>
      <c r="Y1161" s="283"/>
      <c r="Z1161" s="283"/>
    </row>
    <row r="1162">
      <c r="A1162" s="283"/>
      <c r="B1162" s="283"/>
      <c r="C1162" s="283"/>
      <c r="D1162" s="283"/>
      <c r="E1162" s="283"/>
      <c r="F1162" s="283"/>
      <c r="G1162" s="283"/>
      <c r="H1162" s="283"/>
      <c r="I1162" s="283"/>
      <c r="J1162" s="283"/>
      <c r="K1162" s="283"/>
      <c r="L1162" s="283"/>
      <c r="M1162" s="283"/>
      <c r="N1162" s="283"/>
      <c r="O1162" s="283"/>
      <c r="P1162" s="283"/>
      <c r="Q1162" s="283"/>
      <c r="R1162" s="283"/>
      <c r="S1162" s="283"/>
      <c r="T1162" s="283"/>
      <c r="U1162" s="283"/>
      <c r="V1162" s="283"/>
      <c r="W1162" s="283"/>
      <c r="X1162" s="283"/>
      <c r="Y1162" s="283"/>
      <c r="Z1162" s="283"/>
    </row>
    <row r="1163">
      <c r="A1163" s="283"/>
      <c r="B1163" s="283"/>
      <c r="C1163" s="283"/>
      <c r="D1163" s="283"/>
      <c r="E1163" s="283"/>
      <c r="F1163" s="283"/>
      <c r="G1163" s="283"/>
      <c r="H1163" s="283"/>
      <c r="I1163" s="283"/>
      <c r="J1163" s="283"/>
      <c r="K1163" s="283"/>
      <c r="L1163" s="283"/>
      <c r="M1163" s="283"/>
      <c r="N1163" s="283"/>
      <c r="O1163" s="283"/>
      <c r="P1163" s="283"/>
      <c r="Q1163" s="283"/>
      <c r="R1163" s="283"/>
      <c r="S1163" s="283"/>
      <c r="T1163" s="283"/>
      <c r="U1163" s="283"/>
      <c r="V1163" s="283"/>
      <c r="W1163" s="283"/>
      <c r="X1163" s="283"/>
      <c r="Y1163" s="283"/>
      <c r="Z1163" s="283"/>
    </row>
    <row r="1164">
      <c r="A1164" s="283"/>
      <c r="B1164" s="283"/>
      <c r="C1164" s="283"/>
      <c r="D1164" s="283"/>
      <c r="E1164" s="283"/>
      <c r="F1164" s="283"/>
      <c r="G1164" s="283"/>
      <c r="H1164" s="283"/>
      <c r="I1164" s="283"/>
      <c r="J1164" s="283"/>
      <c r="K1164" s="283"/>
      <c r="L1164" s="283"/>
      <c r="M1164" s="283"/>
      <c r="N1164" s="283"/>
      <c r="O1164" s="283"/>
      <c r="P1164" s="283"/>
      <c r="Q1164" s="283"/>
      <c r="R1164" s="283"/>
      <c r="S1164" s="283"/>
      <c r="T1164" s="283"/>
      <c r="U1164" s="283"/>
      <c r="V1164" s="283"/>
      <c r="W1164" s="283"/>
      <c r="X1164" s="283"/>
      <c r="Y1164" s="283"/>
      <c r="Z1164" s="283"/>
    </row>
    <row r="1165">
      <c r="A1165" s="283"/>
      <c r="B1165" s="283"/>
      <c r="C1165" s="283"/>
      <c r="D1165" s="283"/>
      <c r="E1165" s="283"/>
      <c r="F1165" s="283"/>
      <c r="G1165" s="283"/>
      <c r="H1165" s="283"/>
      <c r="I1165" s="283"/>
      <c r="J1165" s="283"/>
      <c r="K1165" s="283"/>
      <c r="L1165" s="283"/>
      <c r="M1165" s="283"/>
      <c r="N1165" s="283"/>
      <c r="O1165" s="283"/>
      <c r="P1165" s="283"/>
      <c r="Q1165" s="283"/>
      <c r="R1165" s="283"/>
      <c r="S1165" s="283"/>
      <c r="T1165" s="283"/>
      <c r="U1165" s="283"/>
      <c r="V1165" s="283"/>
      <c r="W1165" s="283"/>
      <c r="X1165" s="283"/>
      <c r="Y1165" s="283"/>
      <c r="Z1165" s="283"/>
    </row>
    <row r="1166">
      <c r="A1166" s="283"/>
      <c r="B1166" s="283"/>
      <c r="C1166" s="283"/>
      <c r="D1166" s="283"/>
      <c r="E1166" s="283"/>
      <c r="F1166" s="283"/>
      <c r="G1166" s="283"/>
      <c r="H1166" s="283"/>
      <c r="I1166" s="283"/>
      <c r="J1166" s="283"/>
      <c r="K1166" s="283"/>
      <c r="L1166" s="283"/>
      <c r="M1166" s="283"/>
      <c r="N1166" s="283"/>
      <c r="O1166" s="283"/>
      <c r="P1166" s="283"/>
      <c r="Q1166" s="283"/>
      <c r="R1166" s="283"/>
      <c r="S1166" s="283"/>
      <c r="T1166" s="283"/>
      <c r="U1166" s="283"/>
      <c r="V1166" s="283"/>
      <c r="W1166" s="283"/>
      <c r="X1166" s="283"/>
      <c r="Y1166" s="283"/>
      <c r="Z1166" s="283"/>
    </row>
    <row r="1167">
      <c r="A1167" s="283"/>
      <c r="B1167" s="283"/>
      <c r="C1167" s="283"/>
      <c r="D1167" s="283"/>
      <c r="E1167" s="283"/>
      <c r="F1167" s="283"/>
      <c r="G1167" s="283"/>
      <c r="H1167" s="283"/>
      <c r="I1167" s="283"/>
      <c r="J1167" s="283"/>
      <c r="K1167" s="283"/>
      <c r="L1167" s="283"/>
      <c r="M1167" s="283"/>
      <c r="N1167" s="283"/>
      <c r="O1167" s="283"/>
      <c r="P1167" s="283"/>
      <c r="Q1167" s="283"/>
      <c r="R1167" s="283"/>
      <c r="S1167" s="283"/>
      <c r="T1167" s="283"/>
      <c r="U1167" s="283"/>
      <c r="V1167" s="283"/>
      <c r="W1167" s="283"/>
      <c r="X1167" s="283"/>
      <c r="Y1167" s="283"/>
      <c r="Z1167" s="283"/>
    </row>
    <row r="1168">
      <c r="A1168" s="283"/>
      <c r="B1168" s="283"/>
      <c r="C1168" s="283"/>
      <c r="D1168" s="283"/>
      <c r="E1168" s="283"/>
      <c r="F1168" s="283"/>
      <c r="G1168" s="283"/>
      <c r="H1168" s="283"/>
      <c r="I1168" s="283"/>
      <c r="J1168" s="283"/>
      <c r="K1168" s="283"/>
      <c r="L1168" s="283"/>
      <c r="M1168" s="283"/>
      <c r="N1168" s="283"/>
      <c r="O1168" s="283"/>
      <c r="P1168" s="283"/>
      <c r="Q1168" s="283"/>
      <c r="R1168" s="283"/>
      <c r="S1168" s="283"/>
      <c r="T1168" s="283"/>
      <c r="U1168" s="283"/>
      <c r="V1168" s="283"/>
      <c r="W1168" s="283"/>
      <c r="X1168" s="283"/>
      <c r="Y1168" s="283"/>
      <c r="Z1168" s="283"/>
    </row>
    <row r="1169">
      <c r="A1169" s="283"/>
      <c r="B1169" s="283"/>
      <c r="C1169" s="283"/>
      <c r="D1169" s="283"/>
      <c r="E1169" s="283"/>
      <c r="F1169" s="283"/>
      <c r="G1169" s="283"/>
      <c r="H1169" s="283"/>
      <c r="I1169" s="283"/>
      <c r="J1169" s="283"/>
      <c r="K1169" s="283"/>
      <c r="L1169" s="283"/>
      <c r="M1169" s="283"/>
      <c r="N1169" s="283"/>
      <c r="O1169" s="283"/>
      <c r="P1169" s="283"/>
      <c r="Q1169" s="283"/>
      <c r="R1169" s="283"/>
      <c r="S1169" s="283"/>
      <c r="T1169" s="283"/>
      <c r="U1169" s="283"/>
      <c r="V1169" s="283"/>
      <c r="W1169" s="283"/>
      <c r="X1169" s="283"/>
      <c r="Y1169" s="283"/>
      <c r="Z1169" s="283"/>
    </row>
    <row r="1170">
      <c r="A1170" s="283"/>
      <c r="B1170" s="283"/>
      <c r="C1170" s="283"/>
      <c r="D1170" s="283"/>
      <c r="E1170" s="283"/>
      <c r="F1170" s="283"/>
      <c r="G1170" s="283"/>
      <c r="H1170" s="283"/>
      <c r="I1170" s="283"/>
      <c r="J1170" s="283"/>
      <c r="K1170" s="283"/>
      <c r="L1170" s="283"/>
      <c r="M1170" s="283"/>
      <c r="N1170" s="283"/>
      <c r="O1170" s="283"/>
      <c r="P1170" s="283"/>
      <c r="Q1170" s="283"/>
      <c r="R1170" s="283"/>
      <c r="S1170" s="283"/>
      <c r="T1170" s="283"/>
      <c r="U1170" s="283"/>
      <c r="V1170" s="283"/>
      <c r="W1170" s="283"/>
      <c r="X1170" s="283"/>
      <c r="Y1170" s="283"/>
      <c r="Z1170" s="283"/>
    </row>
    <row r="1171">
      <c r="A1171" s="283"/>
      <c r="B1171" s="283"/>
      <c r="C1171" s="283"/>
      <c r="D1171" s="283"/>
      <c r="E1171" s="283"/>
      <c r="F1171" s="283"/>
      <c r="G1171" s="283"/>
      <c r="H1171" s="283"/>
      <c r="I1171" s="283"/>
      <c r="J1171" s="283"/>
      <c r="K1171" s="283"/>
      <c r="L1171" s="283"/>
      <c r="M1171" s="283"/>
      <c r="N1171" s="283"/>
      <c r="O1171" s="283"/>
      <c r="P1171" s="283"/>
      <c r="Q1171" s="283"/>
      <c r="R1171" s="283"/>
      <c r="S1171" s="283"/>
      <c r="T1171" s="283"/>
      <c r="U1171" s="283"/>
      <c r="V1171" s="283"/>
      <c r="W1171" s="283"/>
      <c r="X1171" s="283"/>
      <c r="Y1171" s="283"/>
      <c r="Z1171" s="283"/>
    </row>
    <row r="1172">
      <c r="A1172" s="283"/>
      <c r="B1172" s="283"/>
      <c r="C1172" s="283"/>
      <c r="D1172" s="283"/>
      <c r="E1172" s="283"/>
      <c r="F1172" s="283"/>
      <c r="G1172" s="283"/>
      <c r="H1172" s="283"/>
      <c r="I1172" s="283"/>
      <c r="J1172" s="283"/>
      <c r="K1172" s="283"/>
      <c r="L1172" s="283"/>
      <c r="M1172" s="283"/>
      <c r="N1172" s="283"/>
      <c r="O1172" s="283"/>
      <c r="P1172" s="283"/>
      <c r="Q1172" s="283"/>
      <c r="R1172" s="283"/>
      <c r="S1172" s="283"/>
      <c r="T1172" s="283"/>
      <c r="U1172" s="283"/>
      <c r="V1172" s="283"/>
      <c r="W1172" s="283"/>
      <c r="X1172" s="283"/>
      <c r="Y1172" s="283"/>
      <c r="Z1172" s="283"/>
    </row>
    <row r="1173">
      <c r="A1173" s="283"/>
      <c r="B1173" s="283"/>
      <c r="C1173" s="283"/>
      <c r="D1173" s="283"/>
      <c r="E1173" s="283"/>
      <c r="F1173" s="283"/>
      <c r="G1173" s="283"/>
      <c r="H1173" s="283"/>
      <c r="I1173" s="283"/>
      <c r="J1173" s="283"/>
      <c r="K1173" s="283"/>
      <c r="L1173" s="283"/>
      <c r="M1173" s="283"/>
      <c r="N1173" s="283"/>
      <c r="O1173" s="283"/>
      <c r="P1173" s="283"/>
      <c r="Q1173" s="283"/>
      <c r="R1173" s="283"/>
      <c r="S1173" s="283"/>
      <c r="T1173" s="283"/>
      <c r="U1173" s="283"/>
      <c r="V1173" s="283"/>
      <c r="W1173" s="283"/>
      <c r="X1173" s="283"/>
      <c r="Y1173" s="283"/>
      <c r="Z1173" s="283"/>
    </row>
    <row r="1174">
      <c r="A1174" s="283"/>
      <c r="B1174" s="283"/>
      <c r="C1174" s="283"/>
      <c r="D1174" s="283"/>
      <c r="E1174" s="283"/>
      <c r="F1174" s="283"/>
      <c r="G1174" s="283"/>
      <c r="H1174" s="283"/>
      <c r="I1174" s="283"/>
      <c r="J1174" s="283"/>
      <c r="K1174" s="283"/>
      <c r="L1174" s="283"/>
      <c r="M1174" s="283"/>
      <c r="N1174" s="283"/>
      <c r="O1174" s="283"/>
      <c r="P1174" s="283"/>
      <c r="Q1174" s="283"/>
      <c r="R1174" s="283"/>
      <c r="S1174" s="283"/>
      <c r="T1174" s="283"/>
      <c r="U1174" s="283"/>
      <c r="V1174" s="283"/>
      <c r="W1174" s="283"/>
      <c r="X1174" s="283"/>
      <c r="Y1174" s="283"/>
      <c r="Z1174" s="283"/>
    </row>
    <row r="1175">
      <c r="A1175" s="283"/>
      <c r="B1175" s="283"/>
      <c r="C1175" s="283"/>
      <c r="D1175" s="283"/>
      <c r="E1175" s="283"/>
      <c r="F1175" s="283"/>
      <c r="G1175" s="283"/>
      <c r="H1175" s="283"/>
      <c r="I1175" s="283"/>
      <c r="J1175" s="283"/>
      <c r="K1175" s="283"/>
      <c r="L1175" s="283"/>
      <c r="M1175" s="283"/>
      <c r="N1175" s="283"/>
      <c r="O1175" s="283"/>
      <c r="P1175" s="283"/>
      <c r="Q1175" s="283"/>
      <c r="R1175" s="283"/>
      <c r="S1175" s="283"/>
      <c r="T1175" s="283"/>
      <c r="U1175" s="283"/>
      <c r="V1175" s="283"/>
      <c r="W1175" s="283"/>
      <c r="X1175" s="283"/>
      <c r="Y1175" s="283"/>
      <c r="Z1175" s="283"/>
    </row>
    <row r="1176">
      <c r="A1176" s="283"/>
      <c r="B1176" s="283"/>
      <c r="C1176" s="283"/>
      <c r="D1176" s="283"/>
      <c r="E1176" s="283"/>
      <c r="F1176" s="283"/>
      <c r="G1176" s="283"/>
      <c r="H1176" s="283"/>
      <c r="I1176" s="283"/>
      <c r="J1176" s="283"/>
      <c r="K1176" s="283"/>
      <c r="L1176" s="283"/>
      <c r="M1176" s="283"/>
      <c r="N1176" s="283"/>
      <c r="O1176" s="283"/>
      <c r="P1176" s="283"/>
      <c r="Q1176" s="283"/>
      <c r="R1176" s="283"/>
      <c r="S1176" s="283"/>
      <c r="T1176" s="283"/>
      <c r="U1176" s="283"/>
      <c r="V1176" s="283"/>
      <c r="W1176" s="283"/>
      <c r="X1176" s="283"/>
      <c r="Y1176" s="283"/>
      <c r="Z1176" s="283"/>
    </row>
    <row r="1177">
      <c r="A1177" s="283"/>
      <c r="B1177" s="283"/>
      <c r="C1177" s="283"/>
      <c r="D1177" s="283"/>
      <c r="E1177" s="283"/>
      <c r="F1177" s="283"/>
      <c r="G1177" s="283"/>
      <c r="H1177" s="283"/>
      <c r="I1177" s="283"/>
      <c r="J1177" s="283"/>
      <c r="K1177" s="283"/>
      <c r="L1177" s="283"/>
      <c r="M1177" s="283"/>
      <c r="N1177" s="283"/>
      <c r="O1177" s="283"/>
      <c r="P1177" s="283"/>
      <c r="Q1177" s="283"/>
      <c r="R1177" s="283"/>
      <c r="S1177" s="283"/>
      <c r="T1177" s="283"/>
      <c r="U1177" s="283"/>
      <c r="V1177" s="283"/>
      <c r="W1177" s="283"/>
      <c r="X1177" s="283"/>
      <c r="Y1177" s="283"/>
      <c r="Z1177" s="283"/>
    </row>
    <row r="1178">
      <c r="A1178" s="283"/>
      <c r="B1178" s="283"/>
      <c r="C1178" s="283"/>
      <c r="D1178" s="283"/>
      <c r="E1178" s="283"/>
      <c r="F1178" s="283"/>
      <c r="G1178" s="283"/>
      <c r="H1178" s="283"/>
      <c r="I1178" s="283"/>
      <c r="J1178" s="283"/>
      <c r="K1178" s="283"/>
      <c r="L1178" s="283"/>
      <c r="M1178" s="283"/>
      <c r="N1178" s="283"/>
      <c r="O1178" s="283"/>
      <c r="P1178" s="283"/>
      <c r="Q1178" s="283"/>
      <c r="R1178" s="283"/>
      <c r="S1178" s="283"/>
      <c r="T1178" s="283"/>
      <c r="U1178" s="283"/>
      <c r="V1178" s="283"/>
      <c r="W1178" s="283"/>
      <c r="X1178" s="283"/>
      <c r="Y1178" s="283"/>
      <c r="Z1178" s="283"/>
    </row>
    <row r="1179">
      <c r="A1179" s="283"/>
      <c r="B1179" s="283"/>
      <c r="C1179" s="283"/>
      <c r="D1179" s="283"/>
      <c r="E1179" s="283"/>
      <c r="F1179" s="283"/>
      <c r="G1179" s="283"/>
      <c r="H1179" s="283"/>
      <c r="I1179" s="283"/>
      <c r="J1179" s="283"/>
      <c r="K1179" s="283"/>
      <c r="L1179" s="283"/>
      <c r="M1179" s="283"/>
      <c r="N1179" s="283"/>
      <c r="O1179" s="283"/>
      <c r="P1179" s="283"/>
      <c r="Q1179" s="283"/>
      <c r="R1179" s="283"/>
      <c r="S1179" s="283"/>
      <c r="T1179" s="283"/>
      <c r="U1179" s="283"/>
      <c r="V1179" s="283"/>
      <c r="W1179" s="283"/>
      <c r="X1179" s="283"/>
      <c r="Y1179" s="283"/>
      <c r="Z1179" s="283"/>
    </row>
    <row r="1180">
      <c r="A1180" s="283"/>
      <c r="B1180" s="283"/>
      <c r="C1180" s="283"/>
      <c r="D1180" s="283"/>
      <c r="E1180" s="283"/>
      <c r="F1180" s="283"/>
      <c r="G1180" s="283"/>
      <c r="H1180" s="283"/>
      <c r="I1180" s="283"/>
      <c r="J1180" s="283"/>
      <c r="K1180" s="283"/>
      <c r="L1180" s="283"/>
      <c r="M1180" s="283"/>
      <c r="N1180" s="283"/>
      <c r="O1180" s="283"/>
      <c r="P1180" s="283"/>
      <c r="Q1180" s="283"/>
      <c r="R1180" s="283"/>
      <c r="S1180" s="283"/>
      <c r="T1180" s="283"/>
      <c r="U1180" s="283"/>
      <c r="V1180" s="283"/>
      <c r="W1180" s="283"/>
      <c r="X1180" s="283"/>
      <c r="Y1180" s="283"/>
      <c r="Z1180" s="283"/>
    </row>
    <row r="1181">
      <c r="A1181" s="283"/>
      <c r="B1181" s="283"/>
      <c r="C1181" s="283"/>
      <c r="D1181" s="283"/>
      <c r="E1181" s="283"/>
      <c r="F1181" s="283"/>
      <c r="G1181" s="283"/>
      <c r="H1181" s="283"/>
      <c r="I1181" s="283"/>
      <c r="J1181" s="283"/>
      <c r="K1181" s="283"/>
      <c r="L1181" s="283"/>
      <c r="M1181" s="283"/>
      <c r="N1181" s="283"/>
      <c r="O1181" s="283"/>
      <c r="P1181" s="283"/>
      <c r="Q1181" s="283"/>
      <c r="R1181" s="283"/>
      <c r="S1181" s="283"/>
      <c r="T1181" s="283"/>
      <c r="U1181" s="283"/>
      <c r="V1181" s="283"/>
      <c r="W1181" s="283"/>
      <c r="X1181" s="283"/>
      <c r="Y1181" s="283"/>
      <c r="Z1181" s="283"/>
    </row>
    <row r="1182">
      <c r="A1182" s="283"/>
      <c r="B1182" s="283"/>
      <c r="C1182" s="283"/>
      <c r="D1182" s="283"/>
      <c r="E1182" s="283"/>
      <c r="F1182" s="283"/>
      <c r="G1182" s="283"/>
      <c r="H1182" s="283"/>
      <c r="I1182" s="283"/>
      <c r="J1182" s="283"/>
      <c r="K1182" s="283"/>
      <c r="L1182" s="283"/>
      <c r="M1182" s="283"/>
      <c r="N1182" s="283"/>
      <c r="O1182" s="283"/>
      <c r="P1182" s="283"/>
      <c r="Q1182" s="283"/>
      <c r="R1182" s="283"/>
      <c r="S1182" s="283"/>
      <c r="T1182" s="283"/>
      <c r="U1182" s="283"/>
      <c r="V1182" s="283"/>
      <c r="W1182" s="283"/>
      <c r="X1182" s="283"/>
      <c r="Y1182" s="283"/>
      <c r="Z1182" s="283"/>
    </row>
    <row r="1183">
      <c r="A1183" s="283"/>
      <c r="B1183" s="283"/>
      <c r="C1183" s="283"/>
      <c r="D1183" s="283"/>
      <c r="E1183" s="283"/>
      <c r="F1183" s="283"/>
      <c r="G1183" s="283"/>
      <c r="H1183" s="283"/>
      <c r="I1183" s="283"/>
      <c r="J1183" s="283"/>
      <c r="K1183" s="283"/>
      <c r="L1183" s="283"/>
      <c r="M1183" s="283"/>
      <c r="N1183" s="283"/>
      <c r="O1183" s="283"/>
      <c r="P1183" s="283"/>
      <c r="Q1183" s="283"/>
      <c r="R1183" s="283"/>
      <c r="S1183" s="283"/>
      <c r="T1183" s="283"/>
      <c r="U1183" s="283"/>
      <c r="V1183" s="283"/>
      <c r="W1183" s="283"/>
      <c r="X1183" s="283"/>
      <c r="Y1183" s="283"/>
      <c r="Z1183" s="283"/>
    </row>
    <row r="1184">
      <c r="A1184" s="283"/>
      <c r="B1184" s="283"/>
      <c r="C1184" s="283"/>
      <c r="D1184" s="283"/>
      <c r="E1184" s="283"/>
      <c r="F1184" s="283"/>
      <c r="G1184" s="283"/>
      <c r="H1184" s="283"/>
      <c r="I1184" s="283"/>
      <c r="J1184" s="283"/>
      <c r="K1184" s="283"/>
      <c r="L1184" s="283"/>
      <c r="M1184" s="283"/>
      <c r="N1184" s="283"/>
      <c r="O1184" s="283"/>
      <c r="P1184" s="283"/>
      <c r="Q1184" s="283"/>
      <c r="R1184" s="283"/>
      <c r="S1184" s="283"/>
      <c r="T1184" s="283"/>
      <c r="U1184" s="283"/>
      <c r="V1184" s="283"/>
      <c r="W1184" s="283"/>
      <c r="X1184" s="283"/>
      <c r="Y1184" s="283"/>
      <c r="Z1184" s="283"/>
    </row>
    <row r="1185">
      <c r="A1185" s="283"/>
      <c r="B1185" s="283"/>
      <c r="C1185" s="283"/>
      <c r="D1185" s="283"/>
      <c r="E1185" s="283"/>
      <c r="F1185" s="283"/>
      <c r="G1185" s="283"/>
      <c r="H1185" s="283"/>
      <c r="I1185" s="283"/>
      <c r="J1185" s="283"/>
      <c r="K1185" s="283"/>
      <c r="L1185" s="283"/>
      <c r="M1185" s="283"/>
      <c r="N1185" s="283"/>
      <c r="O1185" s="283"/>
      <c r="P1185" s="283"/>
      <c r="Q1185" s="283"/>
      <c r="R1185" s="283"/>
      <c r="S1185" s="283"/>
      <c r="T1185" s="283"/>
      <c r="U1185" s="283"/>
      <c r="V1185" s="283"/>
      <c r="W1185" s="283"/>
      <c r="X1185" s="283"/>
      <c r="Y1185" s="283"/>
      <c r="Z1185" s="283"/>
    </row>
    <row r="1186">
      <c r="A1186" s="283"/>
      <c r="B1186" s="283"/>
      <c r="C1186" s="283"/>
      <c r="D1186" s="283"/>
      <c r="E1186" s="283"/>
      <c r="F1186" s="283"/>
      <c r="G1186" s="283"/>
      <c r="H1186" s="283"/>
      <c r="I1186" s="283"/>
      <c r="J1186" s="283"/>
      <c r="K1186" s="283"/>
      <c r="L1186" s="283"/>
      <c r="M1186" s="283"/>
      <c r="N1186" s="283"/>
      <c r="O1186" s="283"/>
      <c r="P1186" s="283"/>
      <c r="Q1186" s="283"/>
      <c r="R1186" s="283"/>
      <c r="S1186" s="283"/>
      <c r="T1186" s="283"/>
      <c r="U1186" s="283"/>
      <c r="V1186" s="283"/>
      <c r="W1186" s="283"/>
      <c r="X1186" s="283"/>
      <c r="Y1186" s="283"/>
      <c r="Z1186" s="283"/>
    </row>
    <row r="1187">
      <c r="A1187" s="283"/>
      <c r="B1187" s="283"/>
      <c r="C1187" s="283"/>
      <c r="D1187" s="283"/>
      <c r="E1187" s="283"/>
      <c r="F1187" s="283"/>
      <c r="G1187" s="283"/>
      <c r="H1187" s="283"/>
      <c r="I1187" s="283"/>
      <c r="J1187" s="283"/>
      <c r="K1187" s="283"/>
      <c r="L1187" s="283"/>
      <c r="M1187" s="283"/>
      <c r="N1187" s="283"/>
      <c r="O1187" s="283"/>
      <c r="P1187" s="283"/>
      <c r="Q1187" s="283"/>
      <c r="R1187" s="283"/>
      <c r="S1187" s="283"/>
      <c r="T1187" s="283"/>
      <c r="U1187" s="283"/>
      <c r="V1187" s="283"/>
      <c r="W1187" s="283"/>
      <c r="X1187" s="283"/>
      <c r="Y1187" s="283"/>
      <c r="Z1187" s="283"/>
    </row>
    <row r="1188">
      <c r="A1188" s="283"/>
      <c r="B1188" s="283"/>
      <c r="C1188" s="283"/>
      <c r="D1188" s="283"/>
      <c r="E1188" s="283"/>
      <c r="F1188" s="283"/>
      <c r="G1188" s="283"/>
      <c r="H1188" s="283"/>
      <c r="I1188" s="283"/>
      <c r="J1188" s="283"/>
      <c r="K1188" s="283"/>
      <c r="L1188" s="283"/>
      <c r="M1188" s="283"/>
      <c r="N1188" s="283"/>
      <c r="O1188" s="283"/>
      <c r="P1188" s="283"/>
      <c r="Q1188" s="283"/>
      <c r="R1188" s="283"/>
      <c r="S1188" s="283"/>
      <c r="T1188" s="283"/>
      <c r="U1188" s="283"/>
      <c r="V1188" s="283"/>
      <c r="W1188" s="283"/>
      <c r="X1188" s="283"/>
      <c r="Y1188" s="283"/>
      <c r="Z1188" s="283"/>
    </row>
    <row r="1189">
      <c r="A1189" s="283"/>
      <c r="B1189" s="283"/>
      <c r="C1189" s="283"/>
      <c r="D1189" s="283"/>
      <c r="E1189" s="283"/>
      <c r="F1189" s="283"/>
      <c r="G1189" s="283"/>
      <c r="H1189" s="283"/>
      <c r="I1189" s="283"/>
      <c r="J1189" s="283"/>
      <c r="K1189" s="283"/>
      <c r="L1189" s="283"/>
      <c r="M1189" s="283"/>
      <c r="N1189" s="283"/>
      <c r="O1189" s="283"/>
      <c r="P1189" s="283"/>
      <c r="Q1189" s="283"/>
      <c r="R1189" s="283"/>
      <c r="S1189" s="283"/>
      <c r="T1189" s="283"/>
      <c r="U1189" s="283"/>
      <c r="V1189" s="283"/>
      <c r="W1189" s="283"/>
      <c r="X1189" s="283"/>
      <c r="Y1189" s="283"/>
      <c r="Z1189" s="283"/>
    </row>
    <row r="1190">
      <c r="A1190" s="283"/>
      <c r="B1190" s="283"/>
      <c r="C1190" s="283"/>
      <c r="D1190" s="283"/>
      <c r="E1190" s="283"/>
      <c r="F1190" s="283"/>
      <c r="G1190" s="283"/>
      <c r="H1190" s="283"/>
      <c r="I1190" s="283"/>
      <c r="J1190" s="283"/>
      <c r="K1190" s="283"/>
      <c r="L1190" s="283"/>
      <c r="M1190" s="283"/>
      <c r="N1190" s="283"/>
      <c r="O1190" s="283"/>
      <c r="P1190" s="283"/>
      <c r="Q1190" s="283"/>
      <c r="R1190" s="283"/>
      <c r="S1190" s="283"/>
      <c r="T1190" s="283"/>
      <c r="U1190" s="283"/>
      <c r="V1190" s="283"/>
      <c r="W1190" s="283"/>
      <c r="X1190" s="283"/>
      <c r="Y1190" s="283"/>
      <c r="Z1190" s="283"/>
    </row>
    <row r="1191">
      <c r="A1191" s="283"/>
      <c r="B1191" s="283"/>
      <c r="C1191" s="283"/>
      <c r="D1191" s="283"/>
      <c r="E1191" s="283"/>
      <c r="F1191" s="283"/>
      <c r="G1191" s="283"/>
      <c r="H1191" s="283"/>
      <c r="I1191" s="283"/>
      <c r="J1191" s="283"/>
      <c r="K1191" s="283"/>
      <c r="L1191" s="283"/>
      <c r="M1191" s="283"/>
      <c r="N1191" s="283"/>
      <c r="O1191" s="283"/>
      <c r="P1191" s="283"/>
      <c r="Q1191" s="283"/>
      <c r="R1191" s="283"/>
      <c r="S1191" s="283"/>
      <c r="T1191" s="283"/>
      <c r="U1191" s="283"/>
      <c r="V1191" s="283"/>
      <c r="W1191" s="283"/>
      <c r="X1191" s="283"/>
      <c r="Y1191" s="283"/>
      <c r="Z1191" s="283"/>
    </row>
    <row r="1192">
      <c r="A1192" s="283"/>
      <c r="B1192" s="283"/>
      <c r="C1192" s="283"/>
      <c r="D1192" s="283"/>
      <c r="E1192" s="283"/>
      <c r="F1192" s="283"/>
      <c r="G1192" s="283"/>
      <c r="H1192" s="283"/>
      <c r="I1192" s="283"/>
      <c r="J1192" s="283"/>
      <c r="K1192" s="283"/>
      <c r="L1192" s="283"/>
      <c r="M1192" s="283"/>
      <c r="N1192" s="283"/>
      <c r="O1192" s="283"/>
      <c r="P1192" s="283"/>
      <c r="Q1192" s="283"/>
      <c r="R1192" s="283"/>
      <c r="S1192" s="283"/>
      <c r="T1192" s="283"/>
      <c r="U1192" s="283"/>
      <c r="V1192" s="283"/>
      <c r="W1192" s="283"/>
      <c r="X1192" s="283"/>
      <c r="Y1192" s="283"/>
      <c r="Z1192" s="283"/>
    </row>
    <row r="1193">
      <c r="A1193" s="283"/>
      <c r="B1193" s="283"/>
      <c r="C1193" s="283"/>
      <c r="D1193" s="283"/>
      <c r="E1193" s="283"/>
      <c r="F1193" s="283"/>
      <c r="G1193" s="283"/>
      <c r="H1193" s="283"/>
      <c r="I1193" s="283"/>
      <c r="J1193" s="283"/>
      <c r="K1193" s="283"/>
      <c r="L1193" s="283"/>
      <c r="M1193" s="283"/>
      <c r="N1193" s="283"/>
      <c r="O1193" s="283"/>
      <c r="P1193" s="283"/>
      <c r="Q1193" s="283"/>
      <c r="R1193" s="283"/>
      <c r="S1193" s="283"/>
      <c r="T1193" s="283"/>
      <c r="U1193" s="283"/>
      <c r="V1193" s="283"/>
      <c r="W1193" s="283"/>
      <c r="X1193" s="283"/>
      <c r="Y1193" s="283"/>
      <c r="Z1193" s="283"/>
    </row>
    <row r="1194">
      <c r="A1194" s="283"/>
      <c r="B1194" s="283"/>
      <c r="C1194" s="283"/>
      <c r="D1194" s="283"/>
      <c r="E1194" s="283"/>
      <c r="F1194" s="283"/>
      <c r="G1194" s="283"/>
      <c r="H1194" s="283"/>
      <c r="I1194" s="283"/>
      <c r="J1194" s="283"/>
      <c r="K1194" s="283"/>
      <c r="L1194" s="283"/>
      <c r="M1194" s="283"/>
      <c r="N1194" s="283"/>
      <c r="O1194" s="283"/>
      <c r="P1194" s="283"/>
      <c r="Q1194" s="283"/>
      <c r="R1194" s="283"/>
      <c r="S1194" s="283"/>
      <c r="T1194" s="283"/>
      <c r="U1194" s="283"/>
      <c r="V1194" s="283"/>
      <c r="W1194" s="283"/>
      <c r="X1194" s="283"/>
      <c r="Y1194" s="283"/>
      <c r="Z1194" s="283"/>
    </row>
    <row r="1195">
      <c r="A1195" s="283"/>
      <c r="B1195" s="283"/>
      <c r="C1195" s="283"/>
      <c r="D1195" s="283"/>
      <c r="E1195" s="283"/>
      <c r="F1195" s="283"/>
      <c r="G1195" s="283"/>
      <c r="H1195" s="283"/>
      <c r="I1195" s="283"/>
      <c r="J1195" s="283"/>
      <c r="K1195" s="283"/>
      <c r="L1195" s="283"/>
      <c r="M1195" s="283"/>
      <c r="N1195" s="283"/>
      <c r="O1195" s="283"/>
      <c r="P1195" s="283"/>
      <c r="Q1195" s="283"/>
      <c r="R1195" s="283"/>
      <c r="S1195" s="283"/>
      <c r="T1195" s="283"/>
      <c r="U1195" s="283"/>
      <c r="V1195" s="283"/>
      <c r="W1195" s="283"/>
      <c r="X1195" s="283"/>
      <c r="Y1195" s="283"/>
      <c r="Z1195" s="283"/>
    </row>
    <row r="1196">
      <c r="A1196" s="283"/>
      <c r="B1196" s="283"/>
      <c r="C1196" s="283"/>
      <c r="D1196" s="283"/>
      <c r="E1196" s="283"/>
      <c r="F1196" s="283"/>
      <c r="G1196" s="283"/>
      <c r="H1196" s="283"/>
      <c r="I1196" s="283"/>
      <c r="J1196" s="283"/>
      <c r="K1196" s="283"/>
      <c r="L1196" s="283"/>
      <c r="M1196" s="283"/>
      <c r="N1196" s="283"/>
      <c r="O1196" s="283"/>
      <c r="P1196" s="283"/>
      <c r="Q1196" s="283"/>
      <c r="R1196" s="283"/>
      <c r="S1196" s="283"/>
      <c r="T1196" s="283"/>
      <c r="U1196" s="283"/>
      <c r="V1196" s="283"/>
      <c r="W1196" s="283"/>
      <c r="X1196" s="283"/>
      <c r="Y1196" s="283"/>
      <c r="Z1196" s="283"/>
    </row>
    <row r="1197">
      <c r="A1197" s="283"/>
      <c r="B1197" s="283"/>
      <c r="C1197" s="283"/>
      <c r="D1197" s="283"/>
      <c r="E1197" s="283"/>
      <c r="F1197" s="283"/>
      <c r="G1197" s="283"/>
      <c r="H1197" s="283"/>
      <c r="I1197" s="283"/>
      <c r="J1197" s="283"/>
      <c r="K1197" s="283"/>
      <c r="L1197" s="283"/>
      <c r="M1197" s="283"/>
      <c r="N1197" s="283"/>
      <c r="O1197" s="283"/>
      <c r="P1197" s="283"/>
      <c r="Q1197" s="283"/>
      <c r="R1197" s="283"/>
      <c r="S1197" s="283"/>
      <c r="T1197" s="283"/>
      <c r="U1197" s="283"/>
      <c r="V1197" s="283"/>
      <c r="W1197" s="283"/>
      <c r="X1197" s="283"/>
      <c r="Y1197" s="283"/>
      <c r="Z1197" s="283"/>
    </row>
    <row r="1198">
      <c r="A1198" s="283"/>
      <c r="B1198" s="283"/>
      <c r="C1198" s="283"/>
      <c r="D1198" s="283"/>
      <c r="E1198" s="283"/>
      <c r="F1198" s="283"/>
      <c r="G1198" s="283"/>
      <c r="H1198" s="283"/>
      <c r="I1198" s="283"/>
      <c r="J1198" s="283"/>
      <c r="K1198" s="283"/>
      <c r="L1198" s="283"/>
      <c r="M1198" s="283"/>
      <c r="N1198" s="283"/>
      <c r="O1198" s="283"/>
      <c r="P1198" s="283"/>
      <c r="Q1198" s="283"/>
      <c r="R1198" s="283"/>
      <c r="S1198" s="283"/>
      <c r="T1198" s="283"/>
      <c r="U1198" s="283"/>
      <c r="V1198" s="283"/>
      <c r="W1198" s="283"/>
      <c r="X1198" s="283"/>
      <c r="Y1198" s="283"/>
      <c r="Z1198" s="283"/>
    </row>
    <row r="1199">
      <c r="A1199" s="283"/>
      <c r="B1199" s="283"/>
      <c r="C1199" s="283"/>
      <c r="D1199" s="283"/>
      <c r="E1199" s="283"/>
      <c r="F1199" s="283"/>
      <c r="G1199" s="283"/>
      <c r="H1199" s="283"/>
      <c r="I1199" s="283"/>
      <c r="J1199" s="283"/>
      <c r="K1199" s="283"/>
      <c r="L1199" s="283"/>
      <c r="M1199" s="283"/>
      <c r="N1199" s="283"/>
      <c r="O1199" s="283"/>
      <c r="P1199" s="283"/>
      <c r="Q1199" s="283"/>
      <c r="R1199" s="283"/>
      <c r="S1199" s="283"/>
      <c r="T1199" s="283"/>
      <c r="U1199" s="283"/>
      <c r="V1199" s="283"/>
      <c r="W1199" s="283"/>
      <c r="X1199" s="283"/>
      <c r="Y1199" s="283"/>
      <c r="Z1199" s="283"/>
    </row>
    <row r="1200">
      <c r="A1200" s="283"/>
      <c r="B1200" s="283"/>
      <c r="C1200" s="283"/>
      <c r="D1200" s="283"/>
      <c r="E1200" s="283"/>
      <c r="F1200" s="283"/>
      <c r="G1200" s="283"/>
      <c r="H1200" s="283"/>
      <c r="I1200" s="283"/>
      <c r="J1200" s="283"/>
      <c r="K1200" s="283"/>
      <c r="L1200" s="283"/>
      <c r="M1200" s="283"/>
      <c r="N1200" s="283"/>
      <c r="O1200" s="283"/>
      <c r="P1200" s="283"/>
      <c r="Q1200" s="283"/>
      <c r="R1200" s="283"/>
      <c r="S1200" s="283"/>
      <c r="T1200" s="283"/>
      <c r="U1200" s="283"/>
      <c r="V1200" s="283"/>
      <c r="W1200" s="283"/>
      <c r="X1200" s="283"/>
      <c r="Y1200" s="283"/>
      <c r="Z1200" s="283"/>
    </row>
    <row r="1201">
      <c r="A1201" s="283"/>
      <c r="B1201" s="283"/>
      <c r="C1201" s="283"/>
      <c r="D1201" s="283"/>
      <c r="E1201" s="283"/>
      <c r="F1201" s="283"/>
      <c r="G1201" s="283"/>
      <c r="H1201" s="283"/>
      <c r="I1201" s="283"/>
      <c r="J1201" s="283"/>
      <c r="K1201" s="283"/>
      <c r="L1201" s="283"/>
      <c r="M1201" s="283"/>
      <c r="N1201" s="283"/>
      <c r="O1201" s="283"/>
      <c r="P1201" s="283"/>
      <c r="Q1201" s="283"/>
      <c r="R1201" s="283"/>
      <c r="S1201" s="283"/>
      <c r="T1201" s="283"/>
      <c r="U1201" s="283"/>
      <c r="V1201" s="283"/>
      <c r="W1201" s="283"/>
      <c r="X1201" s="283"/>
      <c r="Y1201" s="283"/>
      <c r="Z1201" s="283"/>
    </row>
    <row r="1202">
      <c r="A1202" s="283"/>
      <c r="B1202" s="283"/>
      <c r="C1202" s="283"/>
      <c r="D1202" s="283"/>
      <c r="E1202" s="283"/>
      <c r="F1202" s="283"/>
      <c r="G1202" s="283"/>
      <c r="H1202" s="283"/>
      <c r="I1202" s="283"/>
      <c r="J1202" s="283"/>
      <c r="K1202" s="283"/>
      <c r="L1202" s="283"/>
      <c r="M1202" s="283"/>
      <c r="N1202" s="283"/>
      <c r="O1202" s="283"/>
      <c r="P1202" s="283"/>
      <c r="Q1202" s="283"/>
      <c r="R1202" s="283"/>
      <c r="S1202" s="283"/>
      <c r="T1202" s="283"/>
      <c r="U1202" s="283"/>
      <c r="V1202" s="283"/>
      <c r="W1202" s="283"/>
      <c r="X1202" s="283"/>
      <c r="Y1202" s="283"/>
      <c r="Z1202" s="283"/>
    </row>
    <row r="1203">
      <c r="A1203" s="283"/>
      <c r="B1203" s="283"/>
      <c r="C1203" s="283"/>
      <c r="D1203" s="283"/>
      <c r="E1203" s="283"/>
      <c r="F1203" s="283"/>
      <c r="G1203" s="283"/>
      <c r="H1203" s="283"/>
      <c r="I1203" s="283"/>
      <c r="J1203" s="283"/>
      <c r="K1203" s="283"/>
      <c r="L1203" s="283"/>
      <c r="M1203" s="283"/>
      <c r="N1203" s="283"/>
      <c r="O1203" s="283"/>
      <c r="P1203" s="283"/>
      <c r="Q1203" s="283"/>
      <c r="R1203" s="283"/>
      <c r="S1203" s="283"/>
      <c r="T1203" s="283"/>
      <c r="U1203" s="283"/>
      <c r="V1203" s="283"/>
      <c r="W1203" s="283"/>
      <c r="X1203" s="283"/>
      <c r="Y1203" s="283"/>
      <c r="Z1203" s="283"/>
    </row>
    <row r="1204">
      <c r="A1204" s="283"/>
      <c r="B1204" s="283"/>
      <c r="C1204" s="283"/>
      <c r="D1204" s="283"/>
      <c r="E1204" s="283"/>
      <c r="F1204" s="283"/>
      <c r="G1204" s="283"/>
      <c r="H1204" s="283"/>
      <c r="I1204" s="283"/>
      <c r="J1204" s="283"/>
      <c r="K1204" s="283"/>
      <c r="L1204" s="283"/>
      <c r="M1204" s="283"/>
      <c r="N1204" s="283"/>
      <c r="O1204" s="283"/>
      <c r="P1204" s="283"/>
      <c r="Q1204" s="283"/>
      <c r="R1204" s="283"/>
      <c r="S1204" s="283"/>
      <c r="T1204" s="283"/>
      <c r="U1204" s="283"/>
      <c r="V1204" s="283"/>
      <c r="W1204" s="283"/>
      <c r="X1204" s="283"/>
      <c r="Y1204" s="283"/>
      <c r="Z1204" s="283"/>
    </row>
    <row r="1205">
      <c r="A1205" s="283"/>
      <c r="B1205" s="283"/>
      <c r="C1205" s="283"/>
      <c r="D1205" s="283"/>
      <c r="E1205" s="283"/>
      <c r="F1205" s="283"/>
      <c r="G1205" s="283"/>
      <c r="H1205" s="283"/>
      <c r="I1205" s="283"/>
      <c r="J1205" s="283"/>
      <c r="K1205" s="283"/>
      <c r="L1205" s="283"/>
      <c r="M1205" s="283"/>
      <c r="N1205" s="283"/>
      <c r="O1205" s="283"/>
      <c r="P1205" s="283"/>
      <c r="Q1205" s="283"/>
      <c r="R1205" s="283"/>
      <c r="S1205" s="283"/>
      <c r="T1205" s="283"/>
      <c r="U1205" s="283"/>
      <c r="V1205" s="283"/>
      <c r="W1205" s="283"/>
      <c r="X1205" s="283"/>
      <c r="Y1205" s="283"/>
      <c r="Z1205" s="283"/>
    </row>
    <row r="1206">
      <c r="A1206" s="283"/>
      <c r="B1206" s="283"/>
      <c r="C1206" s="283"/>
      <c r="D1206" s="283"/>
      <c r="E1206" s="283"/>
      <c r="F1206" s="283"/>
      <c r="G1206" s="283"/>
      <c r="H1206" s="283"/>
      <c r="I1206" s="283"/>
      <c r="J1206" s="283"/>
      <c r="K1206" s="283"/>
      <c r="L1206" s="283"/>
      <c r="M1206" s="283"/>
      <c r="N1206" s="283"/>
      <c r="O1206" s="283"/>
      <c r="P1206" s="283"/>
      <c r="Q1206" s="283"/>
      <c r="R1206" s="283"/>
      <c r="S1206" s="283"/>
      <c r="T1206" s="283"/>
      <c r="U1206" s="283"/>
      <c r="V1206" s="283"/>
      <c r="W1206" s="283"/>
      <c r="X1206" s="283"/>
      <c r="Y1206" s="283"/>
      <c r="Z1206" s="283"/>
    </row>
    <row r="1207">
      <c r="A1207" s="283"/>
      <c r="B1207" s="283"/>
      <c r="C1207" s="283"/>
      <c r="D1207" s="283"/>
      <c r="E1207" s="283"/>
      <c r="F1207" s="283"/>
      <c r="G1207" s="283"/>
      <c r="H1207" s="283"/>
      <c r="I1207" s="283"/>
      <c r="J1207" s="283"/>
      <c r="K1207" s="283"/>
      <c r="L1207" s="283"/>
      <c r="M1207" s="283"/>
      <c r="N1207" s="283"/>
      <c r="O1207" s="283"/>
      <c r="P1207" s="283"/>
      <c r="Q1207" s="283"/>
      <c r="R1207" s="283"/>
      <c r="S1207" s="283"/>
      <c r="T1207" s="283"/>
      <c r="U1207" s="283"/>
      <c r="V1207" s="283"/>
      <c r="W1207" s="283"/>
      <c r="X1207" s="283"/>
      <c r="Y1207" s="283"/>
      <c r="Z1207" s="283"/>
    </row>
    <row r="1208">
      <c r="A1208" s="283"/>
      <c r="B1208" s="283"/>
      <c r="C1208" s="283"/>
      <c r="D1208" s="283"/>
      <c r="E1208" s="283"/>
      <c r="F1208" s="283"/>
      <c r="G1208" s="283"/>
      <c r="H1208" s="283"/>
      <c r="I1208" s="283"/>
      <c r="J1208" s="283"/>
      <c r="K1208" s="283"/>
      <c r="L1208" s="283"/>
      <c r="M1208" s="283"/>
      <c r="N1208" s="283"/>
      <c r="O1208" s="283"/>
      <c r="P1208" s="283"/>
      <c r="Q1208" s="283"/>
      <c r="R1208" s="283"/>
      <c r="S1208" s="283"/>
      <c r="T1208" s="283"/>
      <c r="U1208" s="283"/>
      <c r="V1208" s="283"/>
      <c r="W1208" s="283"/>
      <c r="X1208" s="283"/>
      <c r="Y1208" s="283"/>
      <c r="Z1208" s="283"/>
    </row>
    <row r="1209">
      <c r="A1209" s="283"/>
      <c r="B1209" s="283"/>
      <c r="C1209" s="283"/>
      <c r="D1209" s="283"/>
      <c r="E1209" s="283"/>
      <c r="F1209" s="283"/>
      <c r="G1209" s="283"/>
      <c r="H1209" s="283"/>
      <c r="I1209" s="283"/>
      <c r="J1209" s="283"/>
      <c r="K1209" s="283"/>
      <c r="L1209" s="283"/>
      <c r="M1209" s="283"/>
      <c r="N1209" s="283"/>
      <c r="O1209" s="283"/>
      <c r="P1209" s="283"/>
      <c r="Q1209" s="283"/>
      <c r="R1209" s="283"/>
      <c r="S1209" s="283"/>
      <c r="T1209" s="283"/>
      <c r="U1209" s="283"/>
      <c r="V1209" s="283"/>
      <c r="W1209" s="283"/>
      <c r="X1209" s="283"/>
      <c r="Y1209" s="283"/>
      <c r="Z1209" s="283"/>
    </row>
    <row r="1210">
      <c r="A1210" s="283"/>
      <c r="B1210" s="283"/>
      <c r="C1210" s="283"/>
      <c r="D1210" s="283"/>
      <c r="E1210" s="283"/>
      <c r="F1210" s="283"/>
      <c r="G1210" s="283"/>
      <c r="H1210" s="283"/>
      <c r="I1210" s="283"/>
      <c r="J1210" s="283"/>
      <c r="K1210" s="283"/>
      <c r="L1210" s="283"/>
      <c r="M1210" s="283"/>
      <c r="N1210" s="283"/>
      <c r="O1210" s="283"/>
      <c r="P1210" s="283"/>
      <c r="Q1210" s="283"/>
      <c r="R1210" s="283"/>
      <c r="S1210" s="283"/>
      <c r="T1210" s="283"/>
      <c r="U1210" s="283"/>
      <c r="V1210" s="283"/>
      <c r="W1210" s="283"/>
      <c r="X1210" s="283"/>
      <c r="Y1210" s="283"/>
      <c r="Z1210" s="283"/>
    </row>
    <row r="1211">
      <c r="A1211" s="283"/>
      <c r="B1211" s="283"/>
      <c r="C1211" s="283"/>
      <c r="D1211" s="283"/>
      <c r="E1211" s="283"/>
      <c r="F1211" s="283"/>
      <c r="G1211" s="283"/>
      <c r="H1211" s="283"/>
      <c r="I1211" s="283"/>
      <c r="J1211" s="283"/>
      <c r="K1211" s="283"/>
      <c r="L1211" s="283"/>
      <c r="M1211" s="283"/>
      <c r="N1211" s="283"/>
      <c r="O1211" s="283"/>
      <c r="P1211" s="283"/>
      <c r="Q1211" s="283"/>
      <c r="R1211" s="283"/>
      <c r="S1211" s="283"/>
      <c r="T1211" s="283"/>
      <c r="U1211" s="283"/>
      <c r="V1211" s="283"/>
      <c r="W1211" s="283"/>
      <c r="X1211" s="283"/>
      <c r="Y1211" s="283"/>
      <c r="Z1211" s="283"/>
    </row>
    <row r="1212">
      <c r="A1212" s="283"/>
      <c r="B1212" s="283"/>
      <c r="C1212" s="283"/>
      <c r="D1212" s="283"/>
      <c r="E1212" s="283"/>
      <c r="F1212" s="283"/>
      <c r="G1212" s="283"/>
      <c r="H1212" s="283"/>
      <c r="I1212" s="283"/>
      <c r="J1212" s="283"/>
      <c r="K1212" s="283"/>
      <c r="L1212" s="283"/>
      <c r="M1212" s="283"/>
      <c r="N1212" s="283"/>
      <c r="O1212" s="283"/>
      <c r="P1212" s="283"/>
      <c r="Q1212" s="283"/>
      <c r="R1212" s="283"/>
      <c r="S1212" s="283"/>
      <c r="T1212" s="283"/>
      <c r="U1212" s="283"/>
      <c r="V1212" s="283"/>
      <c r="W1212" s="283"/>
      <c r="X1212" s="283"/>
      <c r="Y1212" s="283"/>
      <c r="Z1212" s="283"/>
    </row>
    <row r="1213">
      <c r="A1213" s="283"/>
      <c r="B1213" s="283"/>
      <c r="C1213" s="283"/>
      <c r="D1213" s="283"/>
      <c r="E1213" s="283"/>
      <c r="F1213" s="283"/>
      <c r="G1213" s="283"/>
      <c r="H1213" s="283"/>
      <c r="I1213" s="283"/>
      <c r="J1213" s="283"/>
      <c r="K1213" s="283"/>
      <c r="L1213" s="283"/>
      <c r="M1213" s="283"/>
      <c r="N1213" s="283"/>
      <c r="O1213" s="283"/>
      <c r="P1213" s="283"/>
      <c r="Q1213" s="283"/>
      <c r="R1213" s="283"/>
      <c r="S1213" s="283"/>
      <c r="T1213" s="283"/>
      <c r="U1213" s="283"/>
      <c r="V1213" s="283"/>
      <c r="W1213" s="283"/>
      <c r="X1213" s="283"/>
      <c r="Y1213" s="283"/>
      <c r="Z1213" s="283"/>
    </row>
    <row r="1214">
      <c r="A1214" s="283"/>
      <c r="B1214" s="283"/>
      <c r="C1214" s="283"/>
      <c r="D1214" s="283"/>
      <c r="E1214" s="283"/>
      <c r="F1214" s="283"/>
      <c r="G1214" s="283"/>
      <c r="H1214" s="283"/>
      <c r="I1214" s="283"/>
      <c r="J1214" s="283"/>
      <c r="K1214" s="283"/>
      <c r="L1214" s="283"/>
      <c r="M1214" s="283"/>
      <c r="N1214" s="283"/>
      <c r="O1214" s="283"/>
      <c r="P1214" s="283"/>
      <c r="Q1214" s="283"/>
      <c r="R1214" s="283"/>
      <c r="S1214" s="283"/>
      <c r="T1214" s="283"/>
      <c r="U1214" s="283"/>
      <c r="V1214" s="283"/>
      <c r="W1214" s="283"/>
      <c r="X1214" s="283"/>
      <c r="Y1214" s="283"/>
      <c r="Z1214" s="283"/>
    </row>
    <row r="1215">
      <c r="A1215" s="283"/>
      <c r="B1215" s="283"/>
      <c r="C1215" s="283"/>
      <c r="D1215" s="283"/>
      <c r="E1215" s="283"/>
      <c r="F1215" s="283"/>
      <c r="G1215" s="283"/>
      <c r="H1215" s="283"/>
      <c r="I1215" s="283"/>
      <c r="J1215" s="283"/>
      <c r="K1215" s="283"/>
      <c r="L1215" s="283"/>
      <c r="M1215" s="283"/>
      <c r="N1215" s="283"/>
      <c r="O1215" s="283"/>
      <c r="P1215" s="283"/>
      <c r="Q1215" s="283"/>
      <c r="R1215" s="283"/>
      <c r="S1215" s="283"/>
      <c r="T1215" s="283"/>
      <c r="U1215" s="283"/>
      <c r="V1215" s="283"/>
      <c r="W1215" s="283"/>
      <c r="X1215" s="283"/>
      <c r="Y1215" s="283"/>
      <c r="Z1215" s="283"/>
    </row>
    <row r="1216">
      <c r="A1216" s="283"/>
      <c r="B1216" s="283"/>
      <c r="C1216" s="283"/>
      <c r="D1216" s="283"/>
      <c r="E1216" s="283"/>
      <c r="F1216" s="283"/>
      <c r="G1216" s="283"/>
      <c r="H1216" s="283"/>
      <c r="I1216" s="283"/>
      <c r="J1216" s="283"/>
      <c r="K1216" s="283"/>
      <c r="L1216" s="283"/>
      <c r="M1216" s="283"/>
      <c r="N1216" s="283"/>
      <c r="O1216" s="283"/>
      <c r="P1216" s="283"/>
      <c r="Q1216" s="283"/>
      <c r="R1216" s="283"/>
      <c r="S1216" s="283"/>
      <c r="T1216" s="283"/>
      <c r="U1216" s="283"/>
      <c r="V1216" s="283"/>
      <c r="W1216" s="283"/>
      <c r="X1216" s="283"/>
      <c r="Y1216" s="283"/>
      <c r="Z1216" s="283"/>
    </row>
    <row r="1217">
      <c r="A1217" s="283"/>
      <c r="B1217" s="283"/>
      <c r="C1217" s="283"/>
      <c r="D1217" s="283"/>
      <c r="E1217" s="283"/>
      <c r="F1217" s="283"/>
      <c r="G1217" s="283"/>
      <c r="H1217" s="283"/>
      <c r="I1217" s="283"/>
      <c r="J1217" s="283"/>
      <c r="K1217" s="283"/>
      <c r="L1217" s="283"/>
      <c r="M1217" s="283"/>
      <c r="N1217" s="283"/>
      <c r="O1217" s="283"/>
      <c r="P1217" s="283"/>
      <c r="Q1217" s="283"/>
      <c r="R1217" s="283"/>
      <c r="S1217" s="283"/>
      <c r="T1217" s="283"/>
      <c r="U1217" s="283"/>
      <c r="V1217" s="283"/>
      <c r="W1217" s="283"/>
      <c r="X1217" s="283"/>
      <c r="Y1217" s="283"/>
      <c r="Z1217" s="283"/>
    </row>
    <row r="1218">
      <c r="A1218" s="283"/>
      <c r="B1218" s="283"/>
      <c r="C1218" s="283"/>
      <c r="D1218" s="283"/>
      <c r="E1218" s="283"/>
      <c r="F1218" s="283"/>
      <c r="G1218" s="283"/>
      <c r="H1218" s="283"/>
      <c r="I1218" s="283"/>
      <c r="J1218" s="283"/>
      <c r="K1218" s="283"/>
      <c r="L1218" s="283"/>
      <c r="M1218" s="283"/>
      <c r="N1218" s="283"/>
      <c r="O1218" s="283"/>
      <c r="P1218" s="283"/>
      <c r="Q1218" s="283"/>
      <c r="R1218" s="283"/>
      <c r="S1218" s="283"/>
      <c r="T1218" s="283"/>
      <c r="U1218" s="283"/>
      <c r="V1218" s="283"/>
      <c r="W1218" s="283"/>
      <c r="X1218" s="283"/>
      <c r="Y1218" s="283"/>
      <c r="Z1218" s="283"/>
    </row>
    <row r="1219">
      <c r="A1219" s="283"/>
      <c r="B1219" s="283"/>
      <c r="C1219" s="283"/>
      <c r="D1219" s="283"/>
      <c r="E1219" s="283"/>
      <c r="F1219" s="283"/>
      <c r="G1219" s="283"/>
      <c r="H1219" s="283"/>
      <c r="I1219" s="283"/>
      <c r="J1219" s="283"/>
      <c r="K1219" s="283"/>
      <c r="L1219" s="283"/>
      <c r="M1219" s="283"/>
      <c r="N1219" s="283"/>
      <c r="O1219" s="283"/>
      <c r="P1219" s="283"/>
      <c r="Q1219" s="283"/>
      <c r="R1219" s="283"/>
      <c r="S1219" s="283"/>
      <c r="T1219" s="283"/>
      <c r="U1219" s="283"/>
      <c r="V1219" s="283"/>
      <c r="W1219" s="283"/>
      <c r="X1219" s="283"/>
      <c r="Y1219" s="283"/>
      <c r="Z1219" s="283"/>
    </row>
    <row r="1220">
      <c r="A1220" s="283"/>
      <c r="B1220" s="283"/>
      <c r="C1220" s="283"/>
      <c r="D1220" s="283"/>
      <c r="E1220" s="283"/>
      <c r="F1220" s="283"/>
      <c r="G1220" s="283"/>
      <c r="H1220" s="283"/>
      <c r="I1220" s="283"/>
      <c r="J1220" s="283"/>
      <c r="K1220" s="283"/>
      <c r="L1220" s="283"/>
      <c r="M1220" s="283"/>
      <c r="N1220" s="283"/>
      <c r="O1220" s="283"/>
      <c r="P1220" s="283"/>
      <c r="Q1220" s="283"/>
      <c r="R1220" s="283"/>
      <c r="S1220" s="283"/>
      <c r="T1220" s="283"/>
      <c r="U1220" s="283"/>
      <c r="V1220" s="283"/>
      <c r="W1220" s="283"/>
      <c r="X1220" s="283"/>
      <c r="Y1220" s="283"/>
      <c r="Z1220" s="283"/>
    </row>
    <row r="1221">
      <c r="A1221" s="283"/>
      <c r="B1221" s="283"/>
      <c r="C1221" s="283"/>
      <c r="D1221" s="283"/>
      <c r="E1221" s="283"/>
      <c r="F1221" s="283"/>
      <c r="G1221" s="283"/>
      <c r="H1221" s="283"/>
      <c r="I1221" s="283"/>
      <c r="J1221" s="283"/>
      <c r="K1221" s="283"/>
      <c r="L1221" s="283"/>
      <c r="M1221" s="283"/>
      <c r="N1221" s="283"/>
      <c r="O1221" s="283"/>
      <c r="P1221" s="283"/>
      <c r="Q1221" s="283"/>
      <c r="R1221" s="283"/>
      <c r="S1221" s="283"/>
      <c r="T1221" s="283"/>
      <c r="U1221" s="283"/>
      <c r="V1221" s="283"/>
      <c r="W1221" s="283"/>
      <c r="X1221" s="283"/>
      <c r="Y1221" s="283"/>
      <c r="Z1221" s="283"/>
    </row>
    <row r="1222">
      <c r="A1222" s="283"/>
      <c r="B1222" s="283"/>
      <c r="C1222" s="283"/>
      <c r="D1222" s="283"/>
      <c r="E1222" s="283"/>
      <c r="F1222" s="283"/>
      <c r="G1222" s="283"/>
      <c r="H1222" s="283"/>
      <c r="I1222" s="283"/>
      <c r="J1222" s="283"/>
      <c r="K1222" s="283"/>
      <c r="L1222" s="283"/>
      <c r="M1222" s="283"/>
      <c r="N1222" s="283"/>
      <c r="O1222" s="283"/>
      <c r="P1222" s="283"/>
      <c r="Q1222" s="283"/>
      <c r="R1222" s="283"/>
      <c r="S1222" s="283"/>
      <c r="T1222" s="283"/>
      <c r="U1222" s="283"/>
      <c r="V1222" s="283"/>
      <c r="W1222" s="283"/>
      <c r="X1222" s="283"/>
      <c r="Y1222" s="283"/>
      <c r="Z1222" s="283"/>
    </row>
    <row r="1223">
      <c r="A1223" s="283"/>
      <c r="B1223" s="283"/>
      <c r="C1223" s="283"/>
      <c r="D1223" s="283"/>
      <c r="E1223" s="283"/>
      <c r="F1223" s="283"/>
      <c r="G1223" s="283"/>
      <c r="H1223" s="283"/>
      <c r="I1223" s="283"/>
      <c r="J1223" s="283"/>
      <c r="K1223" s="283"/>
      <c r="L1223" s="283"/>
      <c r="M1223" s="283"/>
      <c r="N1223" s="283"/>
      <c r="O1223" s="283"/>
      <c r="P1223" s="283"/>
      <c r="Q1223" s="283"/>
      <c r="R1223" s="283"/>
      <c r="S1223" s="283"/>
      <c r="T1223" s="283"/>
      <c r="U1223" s="283"/>
      <c r="V1223" s="283"/>
      <c r="W1223" s="283"/>
      <c r="X1223" s="283"/>
      <c r="Y1223" s="283"/>
      <c r="Z1223" s="283"/>
    </row>
    <row r="1224">
      <c r="A1224" s="283"/>
      <c r="B1224" s="283"/>
      <c r="C1224" s="283"/>
      <c r="D1224" s="283"/>
      <c r="E1224" s="283"/>
      <c r="F1224" s="283"/>
      <c r="G1224" s="283"/>
      <c r="H1224" s="283"/>
      <c r="I1224" s="283"/>
      <c r="J1224" s="283"/>
      <c r="K1224" s="283"/>
      <c r="L1224" s="283"/>
      <c r="M1224" s="283"/>
      <c r="N1224" s="283"/>
      <c r="O1224" s="283"/>
      <c r="P1224" s="283"/>
      <c r="Q1224" s="283"/>
      <c r="R1224" s="283"/>
      <c r="S1224" s="283"/>
      <c r="T1224" s="283"/>
      <c r="U1224" s="283"/>
      <c r="V1224" s="283"/>
      <c r="W1224" s="283"/>
      <c r="X1224" s="283"/>
      <c r="Y1224" s="283"/>
      <c r="Z1224" s="283"/>
    </row>
    <row r="1225">
      <c r="A1225" s="283"/>
      <c r="B1225" s="283"/>
      <c r="C1225" s="283"/>
      <c r="D1225" s="283"/>
      <c r="E1225" s="283"/>
      <c r="F1225" s="283"/>
      <c r="G1225" s="283"/>
      <c r="H1225" s="283"/>
      <c r="I1225" s="283"/>
      <c r="J1225" s="283"/>
      <c r="K1225" s="283"/>
      <c r="L1225" s="283"/>
      <c r="M1225" s="283"/>
      <c r="N1225" s="283"/>
      <c r="O1225" s="283"/>
      <c r="P1225" s="283"/>
      <c r="Q1225" s="283"/>
      <c r="R1225" s="283"/>
      <c r="S1225" s="283"/>
      <c r="T1225" s="283"/>
      <c r="U1225" s="283"/>
      <c r="V1225" s="283"/>
      <c r="W1225" s="283"/>
      <c r="X1225" s="283"/>
      <c r="Y1225" s="283"/>
      <c r="Z1225" s="283"/>
    </row>
    <row r="1226">
      <c r="A1226" s="283"/>
      <c r="B1226" s="283"/>
      <c r="C1226" s="283"/>
      <c r="D1226" s="283"/>
      <c r="E1226" s="283"/>
      <c r="F1226" s="283"/>
      <c r="G1226" s="283"/>
      <c r="H1226" s="283"/>
      <c r="I1226" s="283"/>
      <c r="J1226" s="283"/>
      <c r="K1226" s="283"/>
      <c r="L1226" s="283"/>
      <c r="M1226" s="283"/>
      <c r="N1226" s="283"/>
      <c r="O1226" s="283"/>
      <c r="P1226" s="283"/>
      <c r="Q1226" s="283"/>
      <c r="R1226" s="283"/>
      <c r="S1226" s="283"/>
      <c r="T1226" s="283"/>
      <c r="U1226" s="283"/>
      <c r="V1226" s="283"/>
      <c r="W1226" s="283"/>
      <c r="X1226" s="283"/>
      <c r="Y1226" s="283"/>
      <c r="Z1226" s="283"/>
    </row>
    <row r="1227">
      <c r="A1227" s="283"/>
      <c r="B1227" s="283"/>
      <c r="C1227" s="283"/>
      <c r="D1227" s="283"/>
      <c r="E1227" s="283"/>
      <c r="F1227" s="283"/>
      <c r="G1227" s="283"/>
      <c r="H1227" s="283"/>
      <c r="I1227" s="283"/>
      <c r="J1227" s="283"/>
      <c r="K1227" s="283"/>
      <c r="L1227" s="283"/>
      <c r="M1227" s="283"/>
      <c r="N1227" s="283"/>
      <c r="O1227" s="283"/>
      <c r="P1227" s="283"/>
      <c r="Q1227" s="283"/>
      <c r="R1227" s="283"/>
      <c r="S1227" s="283"/>
      <c r="T1227" s="283"/>
      <c r="U1227" s="283"/>
      <c r="V1227" s="283"/>
      <c r="W1227" s="283"/>
      <c r="X1227" s="283"/>
      <c r="Y1227" s="283"/>
      <c r="Z1227" s="283"/>
    </row>
    <row r="1228">
      <c r="A1228" s="283"/>
      <c r="B1228" s="283"/>
      <c r="C1228" s="283"/>
      <c r="D1228" s="283"/>
      <c r="E1228" s="283"/>
      <c r="F1228" s="283"/>
      <c r="G1228" s="283"/>
      <c r="H1228" s="283"/>
      <c r="I1228" s="283"/>
      <c r="J1228" s="283"/>
      <c r="K1228" s="283"/>
      <c r="L1228" s="283"/>
      <c r="M1228" s="283"/>
      <c r="N1228" s="283"/>
      <c r="O1228" s="283"/>
      <c r="P1228" s="283"/>
      <c r="Q1228" s="283"/>
      <c r="R1228" s="283"/>
      <c r="S1228" s="283"/>
      <c r="T1228" s="283"/>
      <c r="U1228" s="283"/>
      <c r="V1228" s="283"/>
      <c r="W1228" s="283"/>
      <c r="X1228" s="283"/>
      <c r="Y1228" s="283"/>
      <c r="Z1228" s="283"/>
    </row>
    <row r="1229">
      <c r="A1229" s="283"/>
      <c r="B1229" s="283"/>
      <c r="C1229" s="283"/>
      <c r="D1229" s="283"/>
      <c r="E1229" s="283"/>
      <c r="F1229" s="283"/>
      <c r="G1229" s="283"/>
      <c r="H1229" s="283"/>
      <c r="I1229" s="283"/>
      <c r="J1229" s="283"/>
      <c r="K1229" s="283"/>
      <c r="L1229" s="283"/>
      <c r="M1229" s="283"/>
      <c r="N1229" s="283"/>
      <c r="O1229" s="283"/>
      <c r="P1229" s="283"/>
      <c r="Q1229" s="283"/>
      <c r="R1229" s="283"/>
      <c r="S1229" s="283"/>
      <c r="T1229" s="283"/>
      <c r="U1229" s="283"/>
      <c r="V1229" s="283"/>
      <c r="W1229" s="283"/>
      <c r="X1229" s="283"/>
      <c r="Y1229" s="283"/>
      <c r="Z1229" s="283"/>
    </row>
    <row r="1230">
      <c r="A1230" s="283"/>
      <c r="B1230" s="283"/>
      <c r="C1230" s="283"/>
      <c r="D1230" s="283"/>
      <c r="E1230" s="283"/>
      <c r="F1230" s="283"/>
      <c r="G1230" s="283"/>
      <c r="H1230" s="283"/>
      <c r="I1230" s="283"/>
      <c r="J1230" s="283"/>
      <c r="K1230" s="283"/>
      <c r="L1230" s="283"/>
      <c r="M1230" s="283"/>
      <c r="N1230" s="283"/>
      <c r="O1230" s="283"/>
      <c r="P1230" s="283"/>
      <c r="Q1230" s="283"/>
      <c r="R1230" s="283"/>
      <c r="S1230" s="283"/>
      <c r="T1230" s="283"/>
      <c r="U1230" s="283"/>
      <c r="V1230" s="283"/>
      <c r="W1230" s="283"/>
      <c r="X1230" s="283"/>
      <c r="Y1230" s="283"/>
      <c r="Z1230" s="283"/>
    </row>
    <row r="1231">
      <c r="A1231" s="283"/>
      <c r="B1231" s="283"/>
      <c r="C1231" s="283"/>
      <c r="D1231" s="283"/>
      <c r="E1231" s="283"/>
      <c r="F1231" s="283"/>
      <c r="G1231" s="283"/>
      <c r="H1231" s="283"/>
      <c r="I1231" s="283"/>
      <c r="J1231" s="283"/>
      <c r="K1231" s="283"/>
      <c r="L1231" s="283"/>
      <c r="M1231" s="283"/>
      <c r="N1231" s="283"/>
      <c r="O1231" s="283"/>
      <c r="P1231" s="283"/>
      <c r="Q1231" s="283"/>
      <c r="R1231" s="283"/>
      <c r="S1231" s="283"/>
      <c r="T1231" s="283"/>
      <c r="U1231" s="283"/>
      <c r="V1231" s="283"/>
      <c r="W1231" s="283"/>
      <c r="X1231" s="283"/>
      <c r="Y1231" s="283"/>
      <c r="Z1231" s="283"/>
    </row>
    <row r="1232">
      <c r="A1232" s="283"/>
      <c r="B1232" s="283"/>
      <c r="C1232" s="283"/>
      <c r="D1232" s="283"/>
      <c r="E1232" s="283"/>
      <c r="F1232" s="283"/>
      <c r="G1232" s="283"/>
      <c r="H1232" s="283"/>
      <c r="I1232" s="283"/>
      <c r="J1232" s="283"/>
      <c r="K1232" s="283"/>
      <c r="L1232" s="283"/>
      <c r="M1232" s="283"/>
      <c r="N1232" s="283"/>
      <c r="O1232" s="283"/>
      <c r="P1232" s="283"/>
      <c r="Q1232" s="283"/>
      <c r="R1232" s="283"/>
      <c r="S1232" s="283"/>
      <c r="T1232" s="283"/>
      <c r="U1232" s="283"/>
      <c r="V1232" s="283"/>
      <c r="W1232" s="283"/>
      <c r="X1232" s="283"/>
      <c r="Y1232" s="283"/>
      <c r="Z1232" s="283"/>
    </row>
    <row r="1233">
      <c r="A1233" s="283"/>
      <c r="B1233" s="283"/>
      <c r="C1233" s="283"/>
      <c r="D1233" s="283"/>
      <c r="E1233" s="283"/>
      <c r="F1233" s="283"/>
      <c r="G1233" s="283"/>
      <c r="H1233" s="283"/>
      <c r="I1233" s="283"/>
      <c r="J1233" s="283"/>
      <c r="K1233" s="283"/>
      <c r="L1233" s="283"/>
      <c r="M1233" s="283"/>
      <c r="N1233" s="283"/>
      <c r="O1233" s="283"/>
      <c r="P1233" s="283"/>
      <c r="Q1233" s="283"/>
      <c r="R1233" s="283"/>
      <c r="S1233" s="283"/>
      <c r="T1233" s="283"/>
      <c r="U1233" s="283"/>
      <c r="V1233" s="283"/>
      <c r="W1233" s="283"/>
      <c r="X1233" s="283"/>
      <c r="Y1233" s="283"/>
      <c r="Z1233" s="283"/>
    </row>
    <row r="1234">
      <c r="A1234" s="283"/>
      <c r="B1234" s="283"/>
      <c r="C1234" s="283"/>
      <c r="D1234" s="283"/>
      <c r="E1234" s="283"/>
      <c r="F1234" s="283"/>
      <c r="G1234" s="283"/>
      <c r="H1234" s="283"/>
      <c r="I1234" s="283"/>
      <c r="J1234" s="283"/>
      <c r="K1234" s="283"/>
      <c r="L1234" s="283"/>
      <c r="M1234" s="283"/>
      <c r="N1234" s="283"/>
      <c r="O1234" s="283"/>
      <c r="P1234" s="283"/>
      <c r="Q1234" s="283"/>
      <c r="R1234" s="283"/>
      <c r="S1234" s="283"/>
      <c r="T1234" s="283"/>
      <c r="U1234" s="283"/>
      <c r="V1234" s="283"/>
      <c r="W1234" s="283"/>
      <c r="X1234" s="283"/>
      <c r="Y1234" s="283"/>
      <c r="Z1234" s="283"/>
    </row>
    <row r="1235">
      <c r="A1235" s="283"/>
      <c r="B1235" s="283"/>
      <c r="C1235" s="283"/>
      <c r="D1235" s="283"/>
      <c r="E1235" s="283"/>
      <c r="F1235" s="283"/>
      <c r="G1235" s="283"/>
      <c r="H1235" s="283"/>
      <c r="I1235" s="283"/>
      <c r="J1235" s="283"/>
      <c r="K1235" s="283"/>
      <c r="L1235" s="283"/>
      <c r="M1235" s="283"/>
      <c r="N1235" s="283"/>
      <c r="O1235" s="283"/>
      <c r="P1235" s="283"/>
      <c r="Q1235" s="283"/>
      <c r="R1235" s="283"/>
      <c r="S1235" s="283"/>
      <c r="T1235" s="283"/>
      <c r="U1235" s="283"/>
      <c r="V1235" s="283"/>
      <c r="W1235" s="283"/>
      <c r="X1235" s="283"/>
      <c r="Y1235" s="283"/>
      <c r="Z1235" s="283"/>
    </row>
    <row r="1236">
      <c r="A1236" s="283"/>
      <c r="B1236" s="283"/>
      <c r="C1236" s="283"/>
      <c r="D1236" s="283"/>
      <c r="E1236" s="283"/>
      <c r="F1236" s="283"/>
      <c r="G1236" s="283"/>
      <c r="H1236" s="283"/>
      <c r="I1236" s="283"/>
      <c r="J1236" s="283"/>
      <c r="K1236" s="283"/>
      <c r="L1236" s="283"/>
      <c r="M1236" s="283"/>
      <c r="N1236" s="283"/>
      <c r="O1236" s="283"/>
      <c r="P1236" s="283"/>
      <c r="Q1236" s="283"/>
      <c r="R1236" s="283"/>
      <c r="S1236" s="283"/>
      <c r="T1236" s="283"/>
      <c r="U1236" s="283"/>
      <c r="V1236" s="283"/>
      <c r="W1236" s="283"/>
      <c r="X1236" s="283"/>
      <c r="Y1236" s="283"/>
      <c r="Z1236" s="283"/>
    </row>
    <row r="1237">
      <c r="A1237" s="283"/>
      <c r="B1237" s="283"/>
      <c r="C1237" s="283"/>
      <c r="D1237" s="283"/>
      <c r="E1237" s="283"/>
      <c r="F1237" s="283"/>
      <c r="G1237" s="283"/>
      <c r="H1237" s="283"/>
      <c r="I1237" s="283"/>
      <c r="J1237" s="283"/>
      <c r="K1237" s="283"/>
      <c r="L1237" s="283"/>
      <c r="M1237" s="283"/>
      <c r="N1237" s="283"/>
      <c r="O1237" s="283"/>
      <c r="P1237" s="283"/>
      <c r="Q1237" s="283"/>
      <c r="R1237" s="283"/>
      <c r="S1237" s="283"/>
      <c r="T1237" s="283"/>
      <c r="U1237" s="283"/>
      <c r="V1237" s="283"/>
      <c r="W1237" s="283"/>
      <c r="X1237" s="283"/>
      <c r="Y1237" s="283"/>
      <c r="Z1237" s="283"/>
    </row>
    <row r="1238">
      <c r="A1238" s="283"/>
      <c r="B1238" s="283"/>
      <c r="C1238" s="283"/>
      <c r="D1238" s="283"/>
      <c r="E1238" s="283"/>
      <c r="F1238" s="283"/>
      <c r="G1238" s="283"/>
      <c r="H1238" s="283"/>
      <c r="I1238" s="283"/>
      <c r="J1238" s="283"/>
      <c r="K1238" s="283"/>
      <c r="L1238" s="283"/>
      <c r="M1238" s="283"/>
      <c r="N1238" s="283"/>
      <c r="O1238" s="283"/>
      <c r="P1238" s="283"/>
      <c r="Q1238" s="283"/>
      <c r="R1238" s="283"/>
      <c r="S1238" s="283"/>
      <c r="T1238" s="283"/>
      <c r="U1238" s="283"/>
      <c r="V1238" s="283"/>
      <c r="W1238" s="283"/>
      <c r="X1238" s="283"/>
      <c r="Y1238" s="283"/>
      <c r="Z1238" s="283"/>
    </row>
    <row r="1239">
      <c r="A1239" s="283"/>
      <c r="B1239" s="283"/>
      <c r="C1239" s="283"/>
      <c r="D1239" s="283"/>
      <c r="E1239" s="283"/>
      <c r="F1239" s="283"/>
      <c r="G1239" s="283"/>
      <c r="H1239" s="283"/>
      <c r="I1239" s="283"/>
      <c r="J1239" s="283"/>
      <c r="K1239" s="283"/>
      <c r="L1239" s="283"/>
      <c r="M1239" s="283"/>
      <c r="N1239" s="283"/>
      <c r="O1239" s="283"/>
      <c r="P1239" s="283"/>
      <c r="Q1239" s="283"/>
      <c r="R1239" s="283"/>
      <c r="S1239" s="283"/>
      <c r="T1239" s="283"/>
      <c r="U1239" s="283"/>
      <c r="V1239" s="283"/>
      <c r="W1239" s="283"/>
      <c r="X1239" s="283"/>
      <c r="Y1239" s="283"/>
      <c r="Z1239" s="283"/>
    </row>
    <row r="1240">
      <c r="A1240" s="283"/>
      <c r="B1240" s="283"/>
      <c r="C1240" s="283"/>
      <c r="D1240" s="283"/>
      <c r="E1240" s="283"/>
      <c r="F1240" s="283"/>
      <c r="G1240" s="283"/>
      <c r="H1240" s="283"/>
      <c r="I1240" s="283"/>
      <c r="J1240" s="283"/>
      <c r="K1240" s="283"/>
      <c r="L1240" s="283"/>
      <c r="M1240" s="283"/>
      <c r="N1240" s="283"/>
      <c r="O1240" s="283"/>
      <c r="P1240" s="283"/>
      <c r="Q1240" s="283"/>
      <c r="R1240" s="283"/>
      <c r="S1240" s="283"/>
      <c r="T1240" s="283"/>
      <c r="U1240" s="283"/>
      <c r="V1240" s="283"/>
      <c r="W1240" s="283"/>
      <c r="X1240" s="283"/>
      <c r="Y1240" s="283"/>
      <c r="Z1240" s="283"/>
    </row>
    <row r="1241">
      <c r="A1241" s="283"/>
      <c r="B1241" s="283"/>
      <c r="C1241" s="283"/>
      <c r="D1241" s="283"/>
      <c r="E1241" s="283"/>
      <c r="F1241" s="283"/>
      <c r="G1241" s="283"/>
      <c r="H1241" s="283"/>
      <c r="I1241" s="283"/>
      <c r="J1241" s="283"/>
      <c r="K1241" s="283"/>
      <c r="L1241" s="283"/>
      <c r="M1241" s="283"/>
      <c r="N1241" s="283"/>
      <c r="O1241" s="283"/>
      <c r="P1241" s="283"/>
      <c r="Q1241" s="283"/>
      <c r="R1241" s="283"/>
      <c r="S1241" s="283"/>
      <c r="T1241" s="283"/>
      <c r="U1241" s="283"/>
      <c r="V1241" s="283"/>
      <c r="W1241" s="283"/>
      <c r="X1241" s="283"/>
      <c r="Y1241" s="283"/>
      <c r="Z1241" s="283"/>
    </row>
    <row r="1242">
      <c r="A1242" s="283"/>
      <c r="B1242" s="283"/>
      <c r="C1242" s="283"/>
      <c r="D1242" s="283"/>
      <c r="E1242" s="283"/>
      <c r="F1242" s="283"/>
      <c r="G1242" s="283"/>
      <c r="H1242" s="283"/>
      <c r="I1242" s="283"/>
      <c r="J1242" s="283"/>
      <c r="K1242" s="283"/>
      <c r="L1242" s="283"/>
      <c r="M1242" s="283"/>
      <c r="N1242" s="283"/>
      <c r="O1242" s="283"/>
      <c r="P1242" s="283"/>
      <c r="Q1242" s="283"/>
      <c r="R1242" s="283"/>
      <c r="S1242" s="283"/>
      <c r="T1242" s="283"/>
      <c r="U1242" s="283"/>
      <c r="V1242" s="283"/>
      <c r="W1242" s="283"/>
      <c r="X1242" s="283"/>
      <c r="Y1242" s="283"/>
      <c r="Z1242" s="283"/>
    </row>
    <row r="1243">
      <c r="A1243" s="283"/>
      <c r="B1243" s="283"/>
      <c r="C1243" s="283"/>
      <c r="D1243" s="283"/>
      <c r="E1243" s="283"/>
      <c r="F1243" s="283"/>
      <c r="G1243" s="283"/>
      <c r="H1243" s="283"/>
      <c r="I1243" s="283"/>
      <c r="J1243" s="283"/>
      <c r="K1243" s="283"/>
      <c r="L1243" s="283"/>
      <c r="M1243" s="283"/>
      <c r="N1243" s="283"/>
      <c r="O1243" s="283"/>
      <c r="P1243" s="283"/>
      <c r="Q1243" s="283"/>
      <c r="R1243" s="283"/>
      <c r="S1243" s="283"/>
      <c r="T1243" s="283"/>
      <c r="U1243" s="283"/>
      <c r="V1243" s="283"/>
      <c r="W1243" s="283"/>
      <c r="X1243" s="283"/>
      <c r="Y1243" s="283"/>
      <c r="Z1243" s="283"/>
    </row>
    <row r="1244">
      <c r="A1244" s="283"/>
      <c r="B1244" s="283"/>
      <c r="C1244" s="283"/>
      <c r="D1244" s="283"/>
      <c r="E1244" s="283"/>
      <c r="F1244" s="283"/>
      <c r="G1244" s="283"/>
      <c r="H1244" s="283"/>
      <c r="I1244" s="283"/>
      <c r="J1244" s="283"/>
      <c r="K1244" s="283"/>
      <c r="L1244" s="283"/>
      <c r="M1244" s="283"/>
      <c r="N1244" s="283"/>
      <c r="O1244" s="283"/>
      <c r="P1244" s="283"/>
      <c r="Q1244" s="283"/>
      <c r="R1244" s="283"/>
      <c r="S1244" s="283"/>
      <c r="T1244" s="283"/>
      <c r="U1244" s="283"/>
      <c r="V1244" s="283"/>
      <c r="W1244" s="283"/>
      <c r="X1244" s="283"/>
      <c r="Y1244" s="283"/>
      <c r="Z1244" s="283"/>
    </row>
    <row r="1245">
      <c r="A1245" s="283"/>
      <c r="B1245" s="283"/>
      <c r="C1245" s="283"/>
      <c r="D1245" s="283"/>
      <c r="E1245" s="283"/>
      <c r="F1245" s="283"/>
      <c r="G1245" s="283"/>
      <c r="H1245" s="283"/>
      <c r="I1245" s="283"/>
      <c r="J1245" s="283"/>
      <c r="K1245" s="283"/>
      <c r="L1245" s="283"/>
      <c r="M1245" s="283"/>
      <c r="N1245" s="283"/>
      <c r="O1245" s="283"/>
      <c r="P1245" s="283"/>
      <c r="Q1245" s="283"/>
      <c r="R1245" s="283"/>
      <c r="S1245" s="283"/>
      <c r="T1245" s="283"/>
      <c r="U1245" s="283"/>
      <c r="V1245" s="283"/>
      <c r="W1245" s="283"/>
      <c r="X1245" s="283"/>
      <c r="Y1245" s="283"/>
      <c r="Z1245" s="283"/>
    </row>
    <row r="1246">
      <c r="A1246" s="283"/>
      <c r="B1246" s="283"/>
      <c r="C1246" s="283"/>
      <c r="D1246" s="283"/>
      <c r="E1246" s="283"/>
      <c r="F1246" s="283"/>
      <c r="G1246" s="283"/>
      <c r="H1246" s="283"/>
      <c r="I1246" s="283"/>
      <c r="J1246" s="283"/>
      <c r="K1246" s="283"/>
      <c r="L1246" s="283"/>
      <c r="M1246" s="283"/>
      <c r="N1246" s="283"/>
      <c r="O1246" s="283"/>
      <c r="P1246" s="283"/>
      <c r="Q1246" s="283"/>
      <c r="R1246" s="283"/>
      <c r="S1246" s="283"/>
      <c r="T1246" s="283"/>
      <c r="U1246" s="283"/>
      <c r="V1246" s="283"/>
      <c r="W1246" s="283"/>
      <c r="X1246" s="283"/>
      <c r="Y1246" s="283"/>
      <c r="Z1246" s="283"/>
    </row>
    <row r="1247">
      <c r="A1247" s="283"/>
      <c r="B1247" s="283"/>
      <c r="C1247" s="283"/>
      <c r="D1247" s="283"/>
      <c r="E1247" s="283"/>
      <c r="F1247" s="283"/>
      <c r="G1247" s="283"/>
      <c r="H1247" s="283"/>
      <c r="I1247" s="283"/>
      <c r="J1247" s="283"/>
      <c r="K1247" s="283"/>
      <c r="L1247" s="283"/>
      <c r="M1247" s="283"/>
      <c r="N1247" s="283"/>
      <c r="O1247" s="283"/>
      <c r="P1247" s="283"/>
      <c r="Q1247" s="283"/>
      <c r="R1247" s="283"/>
      <c r="S1247" s="283"/>
      <c r="T1247" s="283"/>
      <c r="U1247" s="283"/>
      <c r="V1247" s="283"/>
      <c r="W1247" s="283"/>
      <c r="X1247" s="283"/>
      <c r="Y1247" s="283"/>
      <c r="Z1247" s="283"/>
    </row>
    <row r="1248">
      <c r="A1248" s="283"/>
      <c r="B1248" s="283"/>
      <c r="C1248" s="283"/>
      <c r="D1248" s="283"/>
      <c r="E1248" s="283"/>
      <c r="F1248" s="283"/>
      <c r="G1248" s="283"/>
      <c r="H1248" s="283"/>
      <c r="I1248" s="283"/>
      <c r="J1248" s="283"/>
      <c r="K1248" s="283"/>
      <c r="L1248" s="283"/>
      <c r="M1248" s="283"/>
      <c r="N1248" s="283"/>
      <c r="O1248" s="283"/>
      <c r="P1248" s="283"/>
      <c r="Q1248" s="283"/>
      <c r="R1248" s="283"/>
      <c r="S1248" s="283"/>
      <c r="T1248" s="283"/>
      <c r="U1248" s="283"/>
      <c r="V1248" s="283"/>
      <c r="W1248" s="283"/>
      <c r="X1248" s="283"/>
      <c r="Y1248" s="283"/>
      <c r="Z1248" s="283"/>
    </row>
    <row r="1249">
      <c r="A1249" s="283"/>
      <c r="B1249" s="283"/>
      <c r="C1249" s="283"/>
      <c r="D1249" s="283"/>
      <c r="E1249" s="283"/>
      <c r="F1249" s="283"/>
      <c r="G1249" s="283"/>
      <c r="H1249" s="283"/>
      <c r="I1249" s="283"/>
      <c r="J1249" s="283"/>
      <c r="K1249" s="283"/>
      <c r="L1249" s="283"/>
      <c r="M1249" s="283"/>
      <c r="N1249" s="283"/>
      <c r="O1249" s="283"/>
      <c r="P1249" s="283"/>
      <c r="Q1249" s="283"/>
      <c r="R1249" s="283"/>
      <c r="S1249" s="283"/>
      <c r="T1249" s="283"/>
      <c r="U1249" s="283"/>
      <c r="V1249" s="283"/>
      <c r="W1249" s="283"/>
      <c r="X1249" s="283"/>
      <c r="Y1249" s="283"/>
      <c r="Z1249" s="283"/>
    </row>
    <row r="1250">
      <c r="A1250" s="283"/>
      <c r="B1250" s="283"/>
      <c r="C1250" s="283"/>
      <c r="D1250" s="283"/>
      <c r="E1250" s="283"/>
      <c r="F1250" s="283"/>
      <c r="G1250" s="283"/>
      <c r="H1250" s="283"/>
      <c r="I1250" s="283"/>
      <c r="J1250" s="283"/>
      <c r="K1250" s="283"/>
      <c r="L1250" s="283"/>
      <c r="M1250" s="283"/>
      <c r="N1250" s="283"/>
      <c r="O1250" s="283"/>
      <c r="P1250" s="283"/>
      <c r="Q1250" s="283"/>
      <c r="R1250" s="283"/>
      <c r="S1250" s="283"/>
      <c r="T1250" s="283"/>
      <c r="U1250" s="283"/>
      <c r="V1250" s="283"/>
      <c r="W1250" s="283"/>
      <c r="X1250" s="283"/>
      <c r="Y1250" s="283"/>
      <c r="Z1250" s="283"/>
    </row>
    <row r="1251">
      <c r="A1251" s="283"/>
      <c r="B1251" s="283"/>
      <c r="C1251" s="283"/>
      <c r="D1251" s="283"/>
      <c r="E1251" s="283"/>
      <c r="F1251" s="283"/>
      <c r="G1251" s="283"/>
      <c r="H1251" s="283"/>
      <c r="I1251" s="283"/>
      <c r="J1251" s="283"/>
      <c r="K1251" s="283"/>
      <c r="L1251" s="283"/>
      <c r="M1251" s="283"/>
      <c r="N1251" s="283"/>
      <c r="O1251" s="283"/>
      <c r="P1251" s="283"/>
      <c r="Q1251" s="283"/>
      <c r="R1251" s="283"/>
      <c r="S1251" s="283"/>
      <c r="T1251" s="283"/>
      <c r="U1251" s="283"/>
      <c r="V1251" s="283"/>
      <c r="W1251" s="283"/>
      <c r="X1251" s="283"/>
      <c r="Y1251" s="283"/>
      <c r="Z1251" s="283"/>
    </row>
    <row r="1252">
      <c r="A1252" s="283"/>
      <c r="B1252" s="283"/>
      <c r="C1252" s="283"/>
      <c r="D1252" s="283"/>
      <c r="E1252" s="283"/>
      <c r="F1252" s="283"/>
      <c r="G1252" s="283"/>
      <c r="H1252" s="283"/>
      <c r="I1252" s="283"/>
      <c r="J1252" s="283"/>
      <c r="K1252" s="283"/>
      <c r="L1252" s="283"/>
      <c r="M1252" s="283"/>
      <c r="N1252" s="283"/>
      <c r="O1252" s="283"/>
      <c r="P1252" s="283"/>
      <c r="Q1252" s="283"/>
      <c r="R1252" s="283"/>
      <c r="S1252" s="283"/>
      <c r="T1252" s="283"/>
      <c r="U1252" s="283"/>
      <c r="V1252" s="283"/>
      <c r="W1252" s="283"/>
      <c r="X1252" s="283"/>
      <c r="Y1252" s="283"/>
      <c r="Z1252" s="283"/>
    </row>
    <row r="1253">
      <c r="A1253" s="283"/>
      <c r="B1253" s="283"/>
      <c r="C1253" s="283"/>
      <c r="D1253" s="283"/>
      <c r="E1253" s="283"/>
      <c r="F1253" s="283"/>
      <c r="G1253" s="283"/>
      <c r="H1253" s="283"/>
      <c r="I1253" s="283"/>
      <c r="J1253" s="283"/>
      <c r="K1253" s="283"/>
      <c r="L1253" s="283"/>
      <c r="M1253" s="283"/>
      <c r="N1253" s="283"/>
      <c r="O1253" s="283"/>
      <c r="P1253" s="283"/>
      <c r="Q1253" s="283"/>
      <c r="R1253" s="283"/>
      <c r="S1253" s="283"/>
      <c r="T1253" s="283"/>
      <c r="U1253" s="283"/>
      <c r="V1253" s="283"/>
      <c r="W1253" s="283"/>
      <c r="X1253" s="283"/>
      <c r="Y1253" s="283"/>
      <c r="Z1253" s="283"/>
    </row>
    <row r="1254">
      <c r="A1254" s="283"/>
      <c r="B1254" s="283"/>
      <c r="C1254" s="283"/>
      <c r="D1254" s="283"/>
      <c r="E1254" s="283"/>
      <c r="F1254" s="283"/>
      <c r="G1254" s="283"/>
      <c r="H1254" s="283"/>
      <c r="I1254" s="283"/>
      <c r="J1254" s="283"/>
      <c r="K1254" s="283"/>
      <c r="L1254" s="283"/>
      <c r="M1254" s="283"/>
      <c r="N1254" s="283"/>
      <c r="O1254" s="283"/>
      <c r="P1254" s="283"/>
      <c r="Q1254" s="283"/>
      <c r="R1254" s="283"/>
      <c r="S1254" s="283"/>
      <c r="T1254" s="283"/>
      <c r="U1254" s="283"/>
      <c r="V1254" s="283"/>
      <c r="W1254" s="283"/>
      <c r="X1254" s="283"/>
      <c r="Y1254" s="283"/>
      <c r="Z1254" s="283"/>
    </row>
    <row r="1255">
      <c r="A1255" s="283"/>
      <c r="B1255" s="283"/>
      <c r="C1255" s="283"/>
      <c r="D1255" s="283"/>
      <c r="E1255" s="283"/>
      <c r="F1255" s="283"/>
      <c r="G1255" s="283"/>
      <c r="H1255" s="283"/>
      <c r="I1255" s="283"/>
      <c r="J1255" s="283"/>
      <c r="K1255" s="283"/>
      <c r="L1255" s="283"/>
      <c r="M1255" s="283"/>
      <c r="N1255" s="283"/>
      <c r="O1255" s="283"/>
      <c r="P1255" s="283"/>
      <c r="Q1255" s="283"/>
      <c r="R1255" s="283"/>
      <c r="S1255" s="283"/>
      <c r="T1255" s="283"/>
      <c r="U1255" s="283"/>
      <c r="V1255" s="283"/>
      <c r="W1255" s="283"/>
      <c r="X1255" s="283"/>
      <c r="Y1255" s="283"/>
      <c r="Z1255" s="283"/>
    </row>
  </sheetData>
  <mergeCells count="18">
    <mergeCell ref="B6:B7"/>
    <mergeCell ref="C6:C7"/>
    <mergeCell ref="D6:D7"/>
    <mergeCell ref="E6:E7"/>
    <mergeCell ref="F6:F7"/>
    <mergeCell ref="G6:G7"/>
    <mergeCell ref="H6:J6"/>
    <mergeCell ref="K6:N6"/>
    <mergeCell ref="O6:O7"/>
    <mergeCell ref="P6:P7"/>
    <mergeCell ref="A1:P1"/>
    <mergeCell ref="A2:P2"/>
    <mergeCell ref="A3:D3"/>
    <mergeCell ref="E3:P3"/>
    <mergeCell ref="A4:P4"/>
    <mergeCell ref="A5:P5"/>
    <mergeCell ref="A6:A7"/>
    <mergeCell ref="A23:P23"/>
  </mergeCells>
  <dataValidations>
    <dataValidation type="list" allowBlank="1" showErrorMessage="1" sqref="B8:B22 B24:B499">
      <formula1>"1CL,2CL,3CL,4CL"</formula1>
    </dataValidation>
    <dataValidation type="list" allowBlank="1" showErrorMessage="1" sqref="P48:P52 P63 P66:P68 P78:P81">
      <formula1>"SERVED,ONGOING,CLEARED OUT"</formula1>
    </dataValidation>
    <dataValidation type="list" allowBlank="1" showErrorMessage="1" sqref="E8:E22 E24:E499">
      <formula1>"I,II,III"</formula1>
    </dataValidation>
    <dataValidation type="list" allowBlank="1" showErrorMessage="1" sqref="P8:P22 P24:P47 P53:P62 P64:P65 P69:P77 P82:P210">
      <formula1>"SERVED,ONGOING,CONFINED,ONGOING/CONFINED"</formula1>
    </dataValidation>
    <dataValidation type="list" allowBlank="1" sqref="F8:F22 F24:F499">
      <formula1>SUMMARY!$E$10:$E$19</formula1>
    </dataValidation>
    <dataValidation type="custom" allowBlank="1" showDropDown="1" sqref="E3 Q3:Z3 I8:J22 I24:J164 I166:J212 I215:J228 I230:J230 I232:J279 I281:J283 I285:J304 I306:J309 J310 I311:J312 J313:J314 I315:J321 I323:J328 I330:J332 I334:J339 I341:J342 I346:J346 I350:J353 J354 I355:J357 I361:J369 J370 I371:J374 J375:J376 I377:J413 J414 I415:J438 J439 I440:J499">
      <formula1>OR(NOT(ISERROR(DATEVALUE(E3))), AND(ISNUMBER(E3), LEFT(CELL("format", E3))="D"))</formula1>
    </dataValidation>
    <dataValidation type="list" allowBlank="1" showDropDown="1" showErrorMessage="1" sqref="H8:H22 H24:H499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.13"/>
    <col customWidth="1" min="3" max="3" width="16.25"/>
    <col customWidth="1" hidden="1" min="4" max="4" width="116.5"/>
    <col customWidth="1" hidden="1" min="5" max="5" width="10.25"/>
    <col customWidth="1" hidden="1" min="6" max="6" width="33.13"/>
    <col hidden="1" min="7" max="7" width="12.63"/>
    <col customWidth="1" min="13" max="13" width="10.25"/>
    <col customWidth="1" min="14" max="14" width="10.5"/>
    <col customWidth="1" min="15" max="15" width="14.88"/>
    <col customWidth="1" min="16" max="16" width="25.25"/>
  </cols>
  <sheetData>
    <row r="1">
      <c r="A1" s="284" t="s">
        <v>54</v>
      </c>
    </row>
    <row r="2">
      <c r="A2" s="285" t="s">
        <v>532</v>
      </c>
    </row>
    <row r="3">
      <c r="A3" s="286" t="s">
        <v>72</v>
      </c>
      <c r="E3" s="287">
        <v>46146.0</v>
      </c>
    </row>
    <row r="4" ht="34.5" customHeight="1">
      <c r="A4" s="288" t="s">
        <v>229</v>
      </c>
    </row>
    <row r="5">
      <c r="A5" s="289" t="s">
        <v>54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7"/>
    </row>
    <row r="6">
      <c r="A6" s="290" t="s">
        <v>55</v>
      </c>
      <c r="B6" s="290" t="s">
        <v>56</v>
      </c>
      <c r="C6" s="290"/>
      <c r="D6" s="290" t="s">
        <v>58</v>
      </c>
      <c r="E6" s="290" t="s">
        <v>59</v>
      </c>
      <c r="F6" s="290" t="s">
        <v>60</v>
      </c>
      <c r="G6" s="290" t="s">
        <v>61</v>
      </c>
      <c r="H6" s="291" t="s">
        <v>62</v>
      </c>
      <c r="I6" s="96"/>
      <c r="J6" s="97"/>
      <c r="K6" s="291" t="s">
        <v>63</v>
      </c>
      <c r="L6" s="96"/>
      <c r="M6" s="96"/>
      <c r="N6" s="97"/>
      <c r="O6" s="290" t="s">
        <v>64</v>
      </c>
      <c r="P6" s="290" t="s">
        <v>65</v>
      </c>
    </row>
    <row r="7" ht="19.5" customHeight="1">
      <c r="A7" s="68"/>
      <c r="B7" s="68"/>
      <c r="C7" s="68"/>
      <c r="D7" s="68"/>
      <c r="E7" s="68"/>
      <c r="F7" s="68"/>
      <c r="G7" s="68"/>
      <c r="H7" s="292" t="s">
        <v>66</v>
      </c>
      <c r="I7" s="293" t="s">
        <v>67</v>
      </c>
      <c r="J7" s="293" t="s">
        <v>68</v>
      </c>
      <c r="K7" s="293" t="s">
        <v>30</v>
      </c>
      <c r="L7" s="293" t="s">
        <v>69</v>
      </c>
      <c r="M7" s="293" t="s">
        <v>70</v>
      </c>
      <c r="N7" s="293" t="s">
        <v>71</v>
      </c>
      <c r="O7" s="68"/>
      <c r="P7" s="68"/>
    </row>
    <row r="8">
      <c r="A8" s="294">
        <v>4.0</v>
      </c>
      <c r="B8" s="187" t="s">
        <v>15</v>
      </c>
      <c r="C8" s="186" t="s">
        <v>533</v>
      </c>
      <c r="D8" s="295" t="s">
        <v>534</v>
      </c>
      <c r="E8" s="186" t="s">
        <v>35</v>
      </c>
      <c r="F8" s="296" t="s">
        <v>23</v>
      </c>
      <c r="G8" s="186">
        <v>10.0</v>
      </c>
      <c r="H8" s="297" t="s">
        <v>92</v>
      </c>
      <c r="I8" s="298"/>
      <c r="J8" s="298"/>
      <c r="K8" s="186">
        <v>10.0</v>
      </c>
      <c r="L8" s="186"/>
      <c r="M8" s="201"/>
      <c r="N8" s="201">
        <f t="shared" ref="N8:N11" si="1">K8-L8-M8</f>
        <v>10</v>
      </c>
      <c r="O8" s="186" t="s">
        <v>535</v>
      </c>
      <c r="P8" s="201" t="s">
        <v>100</v>
      </c>
    </row>
    <row r="9">
      <c r="A9" s="294">
        <v>9.0</v>
      </c>
      <c r="B9" s="299" t="s">
        <v>18</v>
      </c>
      <c r="C9" s="299" t="s">
        <v>536</v>
      </c>
      <c r="D9" s="300" t="s">
        <v>537</v>
      </c>
      <c r="E9" s="299" t="s">
        <v>35</v>
      </c>
      <c r="F9" s="299" t="s">
        <v>19</v>
      </c>
      <c r="G9" s="299">
        <v>12.0</v>
      </c>
      <c r="H9" s="173" t="s">
        <v>92</v>
      </c>
      <c r="I9" s="301"/>
      <c r="J9" s="301"/>
      <c r="K9" s="299">
        <v>16.0</v>
      </c>
      <c r="L9" s="302"/>
      <c r="M9" s="303">
        <v>8.0</v>
      </c>
      <c r="N9" s="201">
        <f t="shared" si="1"/>
        <v>8</v>
      </c>
      <c r="O9" s="206" t="s">
        <v>538</v>
      </c>
      <c r="P9" s="299" t="s">
        <v>100</v>
      </c>
    </row>
    <row r="10">
      <c r="A10" s="294">
        <v>12.0</v>
      </c>
      <c r="B10" s="304" t="s">
        <v>18</v>
      </c>
      <c r="C10" s="304" t="s">
        <v>539</v>
      </c>
      <c r="D10" s="305" t="s">
        <v>540</v>
      </c>
      <c r="E10" s="304" t="s">
        <v>35</v>
      </c>
      <c r="F10" s="304" t="s">
        <v>23</v>
      </c>
      <c r="G10" s="304">
        <v>19.0</v>
      </c>
      <c r="H10" s="306" t="s">
        <v>92</v>
      </c>
      <c r="I10" s="307"/>
      <c r="J10" s="307"/>
      <c r="K10" s="304">
        <v>39.0</v>
      </c>
      <c r="L10" s="296"/>
      <c r="M10" s="297">
        <v>16.0</v>
      </c>
      <c r="N10" s="201">
        <f t="shared" si="1"/>
        <v>23</v>
      </c>
      <c r="O10" s="186" t="s">
        <v>541</v>
      </c>
      <c r="P10" s="304" t="s">
        <v>100</v>
      </c>
    </row>
    <row r="11">
      <c r="A11" s="294">
        <v>13.0</v>
      </c>
      <c r="B11" s="304" t="s">
        <v>18</v>
      </c>
      <c r="C11" s="304" t="s">
        <v>539</v>
      </c>
      <c r="D11" s="300" t="s">
        <v>542</v>
      </c>
      <c r="E11" s="304" t="s">
        <v>35</v>
      </c>
      <c r="F11" s="304" t="s">
        <v>20</v>
      </c>
      <c r="G11" s="304">
        <v>13.0</v>
      </c>
      <c r="H11" s="306" t="s">
        <v>92</v>
      </c>
      <c r="I11" s="307"/>
      <c r="J11" s="307"/>
      <c r="K11" s="304">
        <v>19.0</v>
      </c>
      <c r="L11" s="296"/>
      <c r="M11" s="297">
        <v>0.0</v>
      </c>
      <c r="N11" s="201">
        <f t="shared" si="1"/>
        <v>19</v>
      </c>
      <c r="O11" s="186" t="s">
        <v>541</v>
      </c>
      <c r="P11" s="304" t="s">
        <v>100</v>
      </c>
    </row>
    <row r="15" ht="29.25" customHeight="1">
      <c r="A15" s="308" t="s">
        <v>144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7"/>
    </row>
    <row r="16">
      <c r="A16" s="294">
        <v>1.0</v>
      </c>
      <c r="B16" s="187" t="s">
        <v>15</v>
      </c>
      <c r="C16" s="186" t="s">
        <v>543</v>
      </c>
      <c r="D16" s="309" t="s">
        <v>544</v>
      </c>
      <c r="E16" s="186" t="s">
        <v>34</v>
      </c>
      <c r="F16" s="296" t="s">
        <v>23</v>
      </c>
      <c r="G16" s="186">
        <v>50.0</v>
      </c>
      <c r="H16" s="297" t="s">
        <v>76</v>
      </c>
      <c r="I16" s="298">
        <v>45950.0</v>
      </c>
      <c r="J16" s="298">
        <v>46129.0</v>
      </c>
      <c r="K16" s="186">
        <v>180.0</v>
      </c>
      <c r="L16" s="186"/>
      <c r="M16" s="201">
        <v>180.0</v>
      </c>
      <c r="N16" s="201">
        <f t="shared" ref="N16:N28" si="2">K16-L16-M16</f>
        <v>0</v>
      </c>
      <c r="O16" s="186" t="s">
        <v>545</v>
      </c>
      <c r="P16" s="201" t="s">
        <v>70</v>
      </c>
    </row>
    <row r="17">
      <c r="A17" s="294">
        <v>3.0</v>
      </c>
      <c r="B17" s="187" t="s">
        <v>15</v>
      </c>
      <c r="C17" s="186" t="s">
        <v>543</v>
      </c>
      <c r="D17" s="295" t="s">
        <v>546</v>
      </c>
      <c r="E17" s="186" t="s">
        <v>35</v>
      </c>
      <c r="F17" s="296" t="s">
        <v>19</v>
      </c>
      <c r="G17" s="186">
        <v>10.0</v>
      </c>
      <c r="H17" s="297" t="s">
        <v>92</v>
      </c>
      <c r="I17" s="298"/>
      <c r="J17" s="298"/>
      <c r="K17" s="186">
        <v>10.0</v>
      </c>
      <c r="L17" s="186"/>
      <c r="M17" s="201">
        <v>10.0</v>
      </c>
      <c r="N17" s="201">
        <f t="shared" si="2"/>
        <v>0</v>
      </c>
      <c r="O17" s="186" t="s">
        <v>547</v>
      </c>
      <c r="P17" s="201" t="s">
        <v>70</v>
      </c>
    </row>
    <row r="18">
      <c r="A18" s="294">
        <v>10.0</v>
      </c>
      <c r="B18" s="310" t="s">
        <v>18</v>
      </c>
      <c r="C18" s="299" t="s">
        <v>548</v>
      </c>
      <c r="D18" s="311" t="s">
        <v>549</v>
      </c>
      <c r="E18" s="312" t="s">
        <v>35</v>
      </c>
      <c r="F18" s="299" t="s">
        <v>23</v>
      </c>
      <c r="G18" s="299">
        <v>19.0</v>
      </c>
      <c r="H18" s="313" t="s">
        <v>92</v>
      </c>
      <c r="I18" s="301"/>
      <c r="J18" s="301"/>
      <c r="K18" s="299">
        <v>39.0</v>
      </c>
      <c r="L18" s="314"/>
      <c r="M18" s="315">
        <v>39.0</v>
      </c>
      <c r="N18" s="201">
        <f t="shared" si="2"/>
        <v>0</v>
      </c>
      <c r="O18" s="299" t="s">
        <v>538</v>
      </c>
      <c r="P18" s="316" t="s">
        <v>70</v>
      </c>
    </row>
    <row r="19">
      <c r="A19" s="294">
        <v>5.0</v>
      </c>
      <c r="B19" s="206" t="s">
        <v>16</v>
      </c>
      <c r="C19" s="206" t="s">
        <v>550</v>
      </c>
      <c r="D19" s="206" t="s">
        <v>551</v>
      </c>
      <c r="E19" s="206" t="s">
        <v>35</v>
      </c>
      <c r="F19" s="304" t="s">
        <v>21</v>
      </c>
      <c r="G19" s="206">
        <v>8.0</v>
      </c>
      <c r="H19" s="304" t="s">
        <v>92</v>
      </c>
      <c r="I19" s="307"/>
      <c r="J19" s="307"/>
      <c r="K19" s="206">
        <v>8.0</v>
      </c>
      <c r="L19" s="186"/>
      <c r="M19" s="201">
        <v>8.0</v>
      </c>
      <c r="N19" s="201">
        <f t="shared" si="2"/>
        <v>0</v>
      </c>
      <c r="O19" s="186" t="s">
        <v>552</v>
      </c>
      <c r="P19" s="205" t="s">
        <v>70</v>
      </c>
    </row>
    <row r="20">
      <c r="A20" s="294">
        <v>6.0</v>
      </c>
      <c r="B20" s="206" t="s">
        <v>16</v>
      </c>
      <c r="C20" s="206" t="s">
        <v>550</v>
      </c>
      <c r="D20" s="206" t="s">
        <v>553</v>
      </c>
      <c r="E20" s="206" t="s">
        <v>34</v>
      </c>
      <c r="F20" s="304" t="s">
        <v>22</v>
      </c>
      <c r="G20" s="206">
        <v>30.0</v>
      </c>
      <c r="H20" s="304" t="s">
        <v>76</v>
      </c>
      <c r="I20" s="307">
        <v>45831.0</v>
      </c>
      <c r="J20" s="307">
        <v>45880.0</v>
      </c>
      <c r="K20" s="206">
        <v>65.0</v>
      </c>
      <c r="L20" s="186">
        <v>0.0</v>
      </c>
      <c r="M20" s="186">
        <v>65.0</v>
      </c>
      <c r="N20" s="201">
        <f t="shared" si="2"/>
        <v>0</v>
      </c>
      <c r="O20" s="186" t="s">
        <v>554</v>
      </c>
      <c r="P20" s="205" t="s">
        <v>70</v>
      </c>
    </row>
    <row r="21">
      <c r="A21" s="302"/>
      <c r="B21" s="317" t="s">
        <v>18</v>
      </c>
      <c r="C21" s="299" t="s">
        <v>555</v>
      </c>
      <c r="D21" s="318" t="s">
        <v>556</v>
      </c>
      <c r="E21" s="317" t="s">
        <v>35</v>
      </c>
      <c r="F21" s="317" t="s">
        <v>20</v>
      </c>
      <c r="G21" s="299">
        <v>8.0</v>
      </c>
      <c r="H21" s="173" t="s">
        <v>92</v>
      </c>
      <c r="I21" s="301"/>
      <c r="J21" s="301"/>
      <c r="K21" s="299">
        <v>8.0</v>
      </c>
      <c r="L21" s="302"/>
      <c r="M21" s="303">
        <v>8.0</v>
      </c>
      <c r="N21" s="201">
        <f t="shared" si="2"/>
        <v>0</v>
      </c>
      <c r="O21" s="207" t="s">
        <v>541</v>
      </c>
      <c r="P21" s="299" t="s">
        <v>70</v>
      </c>
    </row>
    <row r="22">
      <c r="A22" s="302"/>
      <c r="B22" s="299" t="s">
        <v>18</v>
      </c>
      <c r="C22" s="299" t="s">
        <v>557</v>
      </c>
      <c r="D22" s="300" t="s">
        <v>558</v>
      </c>
      <c r="E22" s="299" t="s">
        <v>35</v>
      </c>
      <c r="F22" s="299" t="s">
        <v>21</v>
      </c>
      <c r="G22" s="299">
        <v>8.0</v>
      </c>
      <c r="H22" s="173" t="s">
        <v>92</v>
      </c>
      <c r="I22" s="301"/>
      <c r="J22" s="301"/>
      <c r="K22" s="299">
        <v>8.0</v>
      </c>
      <c r="L22" s="302"/>
      <c r="M22" s="303">
        <v>8.0</v>
      </c>
      <c r="N22" s="201">
        <f t="shared" si="2"/>
        <v>0</v>
      </c>
      <c r="O22" s="206" t="s">
        <v>538</v>
      </c>
      <c r="P22" s="299" t="s">
        <v>70</v>
      </c>
    </row>
    <row r="23" ht="31.5" customHeight="1">
      <c r="A23" s="294">
        <v>7.0</v>
      </c>
      <c r="B23" s="304" t="s">
        <v>18</v>
      </c>
      <c r="C23" s="304" t="s">
        <v>559</v>
      </c>
      <c r="D23" s="304" t="s">
        <v>560</v>
      </c>
      <c r="E23" s="206" t="s">
        <v>34</v>
      </c>
      <c r="F23" s="304" t="s">
        <v>24</v>
      </c>
      <c r="G23" s="304">
        <v>50.0</v>
      </c>
      <c r="H23" s="306" t="s">
        <v>76</v>
      </c>
      <c r="I23" s="307">
        <v>45943.0</v>
      </c>
      <c r="J23" s="307">
        <v>46122.0</v>
      </c>
      <c r="K23" s="304">
        <v>180.0</v>
      </c>
      <c r="L23" s="186"/>
      <c r="M23" s="201">
        <v>180.0</v>
      </c>
      <c r="N23" s="201">
        <f t="shared" si="2"/>
        <v>0</v>
      </c>
      <c r="O23" s="186" t="s">
        <v>561</v>
      </c>
      <c r="P23" s="206" t="s">
        <v>70</v>
      </c>
    </row>
    <row r="24">
      <c r="A24" s="294">
        <v>11.0</v>
      </c>
      <c r="B24" s="317" t="s">
        <v>18</v>
      </c>
      <c r="C24" s="299" t="s">
        <v>562</v>
      </c>
      <c r="D24" s="319" t="s">
        <v>549</v>
      </c>
      <c r="E24" s="317" t="s">
        <v>35</v>
      </c>
      <c r="F24" s="317" t="s">
        <v>23</v>
      </c>
      <c r="G24" s="317">
        <v>19.0</v>
      </c>
      <c r="H24" s="173" t="s">
        <v>92</v>
      </c>
      <c r="I24" s="301"/>
      <c r="J24" s="301"/>
      <c r="K24" s="317">
        <v>39.0</v>
      </c>
      <c r="L24" s="314"/>
      <c r="M24" s="315">
        <v>39.0</v>
      </c>
      <c r="N24" s="201">
        <f t="shared" si="2"/>
        <v>0</v>
      </c>
      <c r="O24" s="317" t="s">
        <v>538</v>
      </c>
      <c r="P24" s="299" t="s">
        <v>70</v>
      </c>
    </row>
    <row r="25">
      <c r="A25" s="294">
        <v>2.0</v>
      </c>
      <c r="B25" s="187" t="s">
        <v>15</v>
      </c>
      <c r="C25" s="186" t="s">
        <v>543</v>
      </c>
      <c r="D25" s="295" t="s">
        <v>563</v>
      </c>
      <c r="E25" s="186" t="s">
        <v>35</v>
      </c>
      <c r="F25" s="296" t="s">
        <v>23</v>
      </c>
      <c r="G25" s="186">
        <v>8.0</v>
      </c>
      <c r="H25" s="297" t="s">
        <v>92</v>
      </c>
      <c r="I25" s="298"/>
      <c r="J25" s="298"/>
      <c r="K25" s="186">
        <v>8.0</v>
      </c>
      <c r="L25" s="186"/>
      <c r="M25" s="201">
        <v>8.0</v>
      </c>
      <c r="N25" s="201">
        <f t="shared" si="2"/>
        <v>0</v>
      </c>
      <c r="O25" s="186" t="s">
        <v>547</v>
      </c>
      <c r="P25" s="201" t="s">
        <v>70</v>
      </c>
    </row>
    <row r="26">
      <c r="A26" s="294">
        <v>8.0</v>
      </c>
      <c r="B26" s="299" t="s">
        <v>18</v>
      </c>
      <c r="C26" s="299" t="s">
        <v>557</v>
      </c>
      <c r="D26" s="300" t="s">
        <v>537</v>
      </c>
      <c r="E26" s="299" t="s">
        <v>35</v>
      </c>
      <c r="F26" s="299" t="s">
        <v>19</v>
      </c>
      <c r="G26" s="299">
        <v>12.0</v>
      </c>
      <c r="H26" s="173" t="s">
        <v>92</v>
      </c>
      <c r="I26" s="301"/>
      <c r="J26" s="301"/>
      <c r="K26" s="299">
        <v>16.0</v>
      </c>
      <c r="L26" s="302"/>
      <c r="M26" s="303">
        <v>16.0</v>
      </c>
      <c r="N26" s="201">
        <f t="shared" si="2"/>
        <v>0</v>
      </c>
      <c r="O26" s="206" t="s">
        <v>538</v>
      </c>
      <c r="P26" s="299" t="s">
        <v>70</v>
      </c>
    </row>
    <row r="27">
      <c r="A27" s="294"/>
      <c r="B27" s="187" t="s">
        <v>15</v>
      </c>
      <c r="C27" s="186" t="s">
        <v>543</v>
      </c>
      <c r="D27" s="295" t="s">
        <v>564</v>
      </c>
      <c r="E27" s="186" t="s">
        <v>35</v>
      </c>
      <c r="F27" s="296" t="s">
        <v>19</v>
      </c>
      <c r="G27" s="186">
        <v>10.0</v>
      </c>
      <c r="H27" s="297" t="s">
        <v>92</v>
      </c>
      <c r="I27" s="298"/>
      <c r="J27" s="298"/>
      <c r="K27" s="186">
        <v>10.0</v>
      </c>
      <c r="L27" s="186"/>
      <c r="M27" s="201">
        <v>10.0</v>
      </c>
      <c r="N27" s="201">
        <f t="shared" si="2"/>
        <v>0</v>
      </c>
      <c r="O27" s="186" t="s">
        <v>547</v>
      </c>
      <c r="P27" s="201" t="s">
        <v>70</v>
      </c>
    </row>
    <row r="28">
      <c r="A28" s="201"/>
      <c r="B28" s="186" t="s">
        <v>18</v>
      </c>
      <c r="C28" s="186" t="s">
        <v>565</v>
      </c>
      <c r="D28" s="186" t="s">
        <v>566</v>
      </c>
      <c r="E28" s="186" t="s">
        <v>34</v>
      </c>
      <c r="F28" s="186" t="s">
        <v>23</v>
      </c>
      <c r="G28" s="186">
        <v>20.0</v>
      </c>
      <c r="H28" s="186" t="s">
        <v>76</v>
      </c>
      <c r="I28" s="202">
        <v>46044.0</v>
      </c>
      <c r="J28" s="202">
        <v>46093.0</v>
      </c>
      <c r="K28" s="201">
        <v>65.0</v>
      </c>
      <c r="L28" s="201">
        <v>0.0</v>
      </c>
      <c r="M28" s="201">
        <v>65.0</v>
      </c>
      <c r="N28" s="201">
        <f t="shared" si="2"/>
        <v>0</v>
      </c>
      <c r="O28" s="186" t="s">
        <v>181</v>
      </c>
      <c r="P28" s="201" t="s">
        <v>70</v>
      </c>
    </row>
    <row r="29">
      <c r="A29" s="302"/>
      <c r="B29" s="299" t="s">
        <v>18</v>
      </c>
      <c r="C29" s="299" t="s">
        <v>548</v>
      </c>
      <c r="D29" s="300" t="s">
        <v>537</v>
      </c>
      <c r="E29" s="299" t="s">
        <v>35</v>
      </c>
      <c r="F29" s="299" t="s">
        <v>19</v>
      </c>
      <c r="G29" s="299">
        <v>12.0</v>
      </c>
      <c r="H29" s="173" t="s">
        <v>92</v>
      </c>
      <c r="I29" s="301"/>
      <c r="J29" s="301"/>
      <c r="K29" s="299">
        <v>16.0</v>
      </c>
      <c r="L29" s="302"/>
      <c r="M29" s="303">
        <v>16.0</v>
      </c>
      <c r="N29" s="303">
        <v>0.0</v>
      </c>
      <c r="O29" s="206" t="s">
        <v>538</v>
      </c>
      <c r="P29" s="299" t="s">
        <v>70</v>
      </c>
    </row>
    <row r="30">
      <c r="A30" s="302"/>
      <c r="B30" s="299" t="s">
        <v>18</v>
      </c>
      <c r="C30" s="299" t="s">
        <v>557</v>
      </c>
      <c r="D30" s="300" t="s">
        <v>567</v>
      </c>
      <c r="E30" s="299" t="s">
        <v>35</v>
      </c>
      <c r="F30" s="299" t="s">
        <v>19</v>
      </c>
      <c r="G30" s="299">
        <v>8.0</v>
      </c>
      <c r="H30" s="173" t="s">
        <v>92</v>
      </c>
      <c r="I30" s="301"/>
      <c r="J30" s="301"/>
      <c r="K30" s="299">
        <v>8.0</v>
      </c>
      <c r="L30" s="302"/>
      <c r="M30" s="303">
        <v>8.0</v>
      </c>
      <c r="N30" s="303">
        <v>0.0</v>
      </c>
      <c r="O30" s="206" t="s">
        <v>538</v>
      </c>
      <c r="P30" s="299" t="s">
        <v>70</v>
      </c>
    </row>
    <row r="31">
      <c r="A31" s="302"/>
      <c r="B31" s="317" t="s">
        <v>18</v>
      </c>
      <c r="C31" s="299" t="s">
        <v>568</v>
      </c>
      <c r="D31" s="318" t="s">
        <v>569</v>
      </c>
      <c r="E31" s="317" t="s">
        <v>35</v>
      </c>
      <c r="F31" s="299" t="s">
        <v>23</v>
      </c>
      <c r="G31" s="299">
        <v>10.0</v>
      </c>
      <c r="H31" s="173" t="s">
        <v>92</v>
      </c>
      <c r="I31" s="301"/>
      <c r="J31" s="301"/>
      <c r="K31" s="299">
        <v>10.0</v>
      </c>
      <c r="L31" s="302"/>
      <c r="M31" s="299">
        <v>10.0</v>
      </c>
      <c r="N31" s="299">
        <v>0.0</v>
      </c>
      <c r="O31" s="207" t="s">
        <v>541</v>
      </c>
      <c r="P31" s="299" t="s">
        <v>70</v>
      </c>
    </row>
    <row r="32">
      <c r="A32" s="320"/>
      <c r="B32" s="317" t="s">
        <v>18</v>
      </c>
      <c r="C32" s="299" t="s">
        <v>570</v>
      </c>
      <c r="D32" s="182" t="s">
        <v>571</v>
      </c>
      <c r="E32" s="317" t="s">
        <v>35</v>
      </c>
      <c r="F32" s="299" t="s">
        <v>29</v>
      </c>
      <c r="G32" s="299">
        <v>8.0</v>
      </c>
      <c r="H32" s="173" t="s">
        <v>92</v>
      </c>
      <c r="I32" s="301"/>
      <c r="J32" s="301"/>
      <c r="K32" s="299">
        <v>8.0</v>
      </c>
      <c r="L32" s="314"/>
      <c r="M32" s="303">
        <v>8.0</v>
      </c>
      <c r="N32" s="303">
        <v>0.0</v>
      </c>
      <c r="O32" s="141" t="s">
        <v>538</v>
      </c>
      <c r="P32" s="299" t="s">
        <v>70</v>
      </c>
    </row>
    <row r="33">
      <c r="A33" s="302"/>
      <c r="B33" s="299" t="s">
        <v>18</v>
      </c>
      <c r="C33" s="299" t="s">
        <v>572</v>
      </c>
      <c r="D33" s="300" t="s">
        <v>567</v>
      </c>
      <c r="E33" s="299" t="s">
        <v>35</v>
      </c>
      <c r="F33" s="299" t="s">
        <v>19</v>
      </c>
      <c r="G33" s="299">
        <v>8.0</v>
      </c>
      <c r="H33" s="173" t="s">
        <v>92</v>
      </c>
      <c r="I33" s="301"/>
      <c r="J33" s="301"/>
      <c r="K33" s="299">
        <v>8.0</v>
      </c>
      <c r="L33" s="302"/>
      <c r="M33" s="299">
        <v>10.0</v>
      </c>
      <c r="N33" s="303">
        <v>0.0</v>
      </c>
      <c r="O33" s="206" t="s">
        <v>538</v>
      </c>
      <c r="P33" s="299" t="s">
        <v>70</v>
      </c>
    </row>
    <row r="34">
      <c r="A34" s="302"/>
      <c r="B34" s="299" t="s">
        <v>18</v>
      </c>
      <c r="C34" s="299" t="s">
        <v>573</v>
      </c>
      <c r="D34" s="300" t="s">
        <v>567</v>
      </c>
      <c r="E34" s="299" t="s">
        <v>35</v>
      </c>
      <c r="F34" s="299" t="s">
        <v>19</v>
      </c>
      <c r="G34" s="299">
        <v>8.0</v>
      </c>
      <c r="H34" s="173" t="s">
        <v>92</v>
      </c>
      <c r="I34" s="301"/>
      <c r="J34" s="301"/>
      <c r="K34" s="299">
        <v>8.0</v>
      </c>
      <c r="L34" s="302"/>
      <c r="M34" s="299">
        <v>12.0</v>
      </c>
      <c r="N34" s="299">
        <v>0.0</v>
      </c>
      <c r="O34" s="206" t="s">
        <v>538</v>
      </c>
      <c r="P34" s="299" t="s">
        <v>70</v>
      </c>
    </row>
    <row r="35">
      <c r="A35" s="302"/>
      <c r="B35" s="299" t="s">
        <v>18</v>
      </c>
      <c r="C35" s="299" t="s">
        <v>574</v>
      </c>
      <c r="D35" s="300" t="s">
        <v>537</v>
      </c>
      <c r="E35" s="299" t="s">
        <v>35</v>
      </c>
      <c r="F35" s="299" t="s">
        <v>19</v>
      </c>
      <c r="G35" s="299">
        <v>12.0</v>
      </c>
      <c r="H35" s="173" t="s">
        <v>92</v>
      </c>
      <c r="I35" s="301"/>
      <c r="J35" s="301"/>
      <c r="K35" s="299">
        <v>16.0</v>
      </c>
      <c r="L35" s="302"/>
      <c r="M35" s="303">
        <v>16.0</v>
      </c>
      <c r="N35" s="201">
        <f t="shared" ref="N35:N37" si="3">K35-L35-M35</f>
        <v>0</v>
      </c>
      <c r="O35" s="206" t="s">
        <v>538</v>
      </c>
      <c r="P35" s="299" t="s">
        <v>70</v>
      </c>
    </row>
    <row r="36">
      <c r="A36" s="302"/>
      <c r="B36" s="299" t="s">
        <v>18</v>
      </c>
      <c r="C36" s="299" t="s">
        <v>562</v>
      </c>
      <c r="D36" s="321" t="s">
        <v>537</v>
      </c>
      <c r="E36" s="299" t="s">
        <v>35</v>
      </c>
      <c r="F36" s="299" t="s">
        <v>19</v>
      </c>
      <c r="G36" s="299">
        <v>12.0</v>
      </c>
      <c r="H36" s="173" t="s">
        <v>92</v>
      </c>
      <c r="I36" s="301"/>
      <c r="J36" s="301"/>
      <c r="K36" s="299">
        <v>16.0</v>
      </c>
      <c r="L36" s="302"/>
      <c r="M36" s="303">
        <v>16.0</v>
      </c>
      <c r="N36" s="201">
        <f t="shared" si="3"/>
        <v>0</v>
      </c>
      <c r="O36" s="206" t="s">
        <v>538</v>
      </c>
      <c r="P36" s="299" t="s">
        <v>70</v>
      </c>
    </row>
    <row r="37">
      <c r="A37" s="302"/>
      <c r="B37" s="317" t="s">
        <v>18</v>
      </c>
      <c r="C37" s="299" t="s">
        <v>575</v>
      </c>
      <c r="D37" s="318" t="s">
        <v>576</v>
      </c>
      <c r="E37" s="317" t="s">
        <v>35</v>
      </c>
      <c r="F37" s="299" t="s">
        <v>19</v>
      </c>
      <c r="G37" s="299">
        <v>10.0</v>
      </c>
      <c r="H37" s="173" t="s">
        <v>92</v>
      </c>
      <c r="I37" s="301"/>
      <c r="J37" s="301"/>
      <c r="K37" s="299">
        <v>10.0</v>
      </c>
      <c r="L37" s="302"/>
      <c r="M37" s="303">
        <v>10.0</v>
      </c>
      <c r="N37" s="201">
        <f t="shared" si="3"/>
        <v>0</v>
      </c>
      <c r="O37" s="207" t="s">
        <v>541</v>
      </c>
      <c r="P37" s="299" t="s">
        <v>70</v>
      </c>
    </row>
    <row r="38">
      <c r="A38" s="322"/>
      <c r="B38" s="304" t="s">
        <v>18</v>
      </c>
      <c r="C38" s="304" t="s">
        <v>577</v>
      </c>
      <c r="D38" s="304" t="s">
        <v>578</v>
      </c>
      <c r="E38" s="206" t="s">
        <v>35</v>
      </c>
      <c r="F38" s="304" t="s">
        <v>20</v>
      </c>
      <c r="G38" s="304">
        <v>8.0</v>
      </c>
      <c r="H38" s="306" t="s">
        <v>92</v>
      </c>
      <c r="I38" s="307"/>
      <c r="J38" s="307"/>
      <c r="K38" s="304">
        <v>8.0</v>
      </c>
      <c r="L38" s="186"/>
      <c r="M38" s="201">
        <v>8.0</v>
      </c>
      <c r="N38" s="201"/>
      <c r="O38" s="186" t="s">
        <v>579</v>
      </c>
      <c r="P38" s="205" t="s">
        <v>70</v>
      </c>
    </row>
    <row r="39">
      <c r="A39" s="322"/>
      <c r="B39" s="304" t="s">
        <v>18</v>
      </c>
      <c r="C39" s="304" t="s">
        <v>557</v>
      </c>
      <c r="D39" s="304" t="s">
        <v>580</v>
      </c>
      <c r="E39" s="206" t="s">
        <v>35</v>
      </c>
      <c r="F39" s="304" t="s">
        <v>20</v>
      </c>
      <c r="G39" s="304">
        <v>8.0</v>
      </c>
      <c r="H39" s="306" t="s">
        <v>92</v>
      </c>
      <c r="I39" s="307"/>
      <c r="J39" s="307"/>
      <c r="K39" s="304">
        <v>8.0</v>
      </c>
      <c r="L39" s="186"/>
      <c r="M39" s="201">
        <v>8.0</v>
      </c>
      <c r="N39" s="201"/>
      <c r="O39" s="186" t="s">
        <v>579</v>
      </c>
      <c r="P39" s="205" t="s">
        <v>70</v>
      </c>
    </row>
    <row r="40">
      <c r="A40" s="322"/>
      <c r="B40" s="304" t="s">
        <v>18</v>
      </c>
      <c r="C40" s="304" t="s">
        <v>572</v>
      </c>
      <c r="D40" s="304" t="s">
        <v>581</v>
      </c>
      <c r="E40" s="206" t="s">
        <v>35</v>
      </c>
      <c r="F40" s="304" t="s">
        <v>20</v>
      </c>
      <c r="G40" s="304">
        <v>8.0</v>
      </c>
      <c r="H40" s="306" t="s">
        <v>92</v>
      </c>
      <c r="I40" s="307"/>
      <c r="J40" s="307"/>
      <c r="K40" s="304">
        <v>8.0</v>
      </c>
      <c r="L40" s="186"/>
      <c r="M40" s="201">
        <v>8.0</v>
      </c>
      <c r="N40" s="201"/>
      <c r="O40" s="186" t="s">
        <v>582</v>
      </c>
      <c r="P40" s="205" t="s">
        <v>70</v>
      </c>
    </row>
    <row r="41">
      <c r="A41" s="322"/>
      <c r="B41" s="304" t="s">
        <v>18</v>
      </c>
      <c r="C41" s="304" t="s">
        <v>572</v>
      </c>
      <c r="D41" s="304" t="s">
        <v>583</v>
      </c>
      <c r="E41" s="206" t="s">
        <v>35</v>
      </c>
      <c r="F41" s="304" t="s">
        <v>20</v>
      </c>
      <c r="G41" s="304">
        <v>8.0</v>
      </c>
      <c r="H41" s="306" t="s">
        <v>92</v>
      </c>
      <c r="I41" s="307"/>
      <c r="J41" s="307"/>
      <c r="K41" s="304">
        <v>8.0</v>
      </c>
      <c r="L41" s="186"/>
      <c r="M41" s="201">
        <v>8.0</v>
      </c>
      <c r="N41" s="201"/>
      <c r="O41" s="186" t="s">
        <v>579</v>
      </c>
      <c r="P41" s="205" t="s">
        <v>70</v>
      </c>
    </row>
    <row r="42">
      <c r="A42" s="322"/>
      <c r="B42" s="304" t="s">
        <v>18</v>
      </c>
      <c r="C42" s="304" t="s">
        <v>555</v>
      </c>
      <c r="D42" s="304" t="s">
        <v>584</v>
      </c>
      <c r="E42" s="206" t="s">
        <v>35</v>
      </c>
      <c r="F42" s="304" t="s">
        <v>20</v>
      </c>
      <c r="G42" s="304">
        <v>8.0</v>
      </c>
      <c r="H42" s="306" t="s">
        <v>92</v>
      </c>
      <c r="I42" s="307"/>
      <c r="J42" s="307"/>
      <c r="K42" s="304">
        <v>8.0</v>
      </c>
      <c r="L42" s="186"/>
      <c r="M42" s="201">
        <v>8.0</v>
      </c>
      <c r="N42" s="201"/>
      <c r="O42" s="186" t="s">
        <v>579</v>
      </c>
      <c r="P42" s="205" t="s">
        <v>70</v>
      </c>
    </row>
    <row r="43">
      <c r="A43" s="322"/>
      <c r="B43" s="304" t="s">
        <v>18</v>
      </c>
      <c r="C43" s="304" t="s">
        <v>585</v>
      </c>
      <c r="D43" s="304" t="s">
        <v>586</v>
      </c>
      <c r="E43" s="206" t="s">
        <v>35</v>
      </c>
      <c r="F43" s="304" t="s">
        <v>20</v>
      </c>
      <c r="G43" s="304">
        <v>8.0</v>
      </c>
      <c r="H43" s="306" t="s">
        <v>92</v>
      </c>
      <c r="I43" s="307"/>
      <c r="J43" s="307"/>
      <c r="K43" s="304">
        <v>8.0</v>
      </c>
      <c r="L43" s="186"/>
      <c r="M43" s="201">
        <v>8.0</v>
      </c>
      <c r="N43" s="201"/>
      <c r="O43" s="186" t="s">
        <v>587</v>
      </c>
      <c r="P43" s="205" t="s">
        <v>70</v>
      </c>
    </row>
    <row r="44">
      <c r="A44" s="302"/>
      <c r="B44" s="299" t="s">
        <v>18</v>
      </c>
      <c r="C44" s="299" t="s">
        <v>585</v>
      </c>
      <c r="D44" s="300" t="s">
        <v>537</v>
      </c>
      <c r="E44" s="299" t="s">
        <v>35</v>
      </c>
      <c r="F44" s="299" t="s">
        <v>19</v>
      </c>
      <c r="G44" s="299">
        <v>12.0</v>
      </c>
      <c r="H44" s="173" t="s">
        <v>92</v>
      </c>
      <c r="I44" s="301"/>
      <c r="J44" s="301"/>
      <c r="K44" s="299">
        <v>16.0</v>
      </c>
      <c r="L44" s="302"/>
      <c r="M44" s="303">
        <v>16.0</v>
      </c>
      <c r="N44" s="201">
        <f t="shared" ref="N44:N45" si="4">K44-L44-M44</f>
        <v>0</v>
      </c>
      <c r="O44" s="206" t="s">
        <v>538</v>
      </c>
      <c r="P44" s="299" t="s">
        <v>70</v>
      </c>
    </row>
    <row r="45">
      <c r="A45" s="302"/>
      <c r="B45" s="299" t="s">
        <v>18</v>
      </c>
      <c r="C45" s="299" t="s">
        <v>588</v>
      </c>
      <c r="D45" s="300" t="s">
        <v>537</v>
      </c>
      <c r="E45" s="299" t="s">
        <v>35</v>
      </c>
      <c r="F45" s="299" t="s">
        <v>19</v>
      </c>
      <c r="G45" s="299">
        <v>12.0</v>
      </c>
      <c r="H45" s="173" t="s">
        <v>92</v>
      </c>
      <c r="I45" s="301"/>
      <c r="J45" s="301"/>
      <c r="K45" s="299">
        <v>16.0</v>
      </c>
      <c r="L45" s="302"/>
      <c r="M45" s="303">
        <v>16.0</v>
      </c>
      <c r="N45" s="201">
        <f t="shared" si="4"/>
        <v>0</v>
      </c>
      <c r="O45" s="206" t="s">
        <v>538</v>
      </c>
      <c r="P45" s="299" t="s">
        <v>70</v>
      </c>
    </row>
    <row r="46">
      <c r="A46" s="322"/>
      <c r="B46" s="304" t="s">
        <v>18</v>
      </c>
      <c r="C46" s="304" t="s">
        <v>548</v>
      </c>
      <c r="D46" s="304" t="s">
        <v>589</v>
      </c>
      <c r="E46" s="206" t="s">
        <v>35</v>
      </c>
      <c r="F46" s="304" t="s">
        <v>19</v>
      </c>
      <c r="G46" s="304">
        <v>10.0</v>
      </c>
      <c r="H46" s="306" t="s">
        <v>92</v>
      </c>
      <c r="I46" s="307"/>
      <c r="J46" s="307"/>
      <c r="K46" s="304">
        <v>10.0</v>
      </c>
      <c r="L46" s="186"/>
      <c r="M46" s="201">
        <v>8.0</v>
      </c>
      <c r="N46" s="201"/>
      <c r="O46" s="186" t="s">
        <v>582</v>
      </c>
      <c r="P46" s="205" t="s">
        <v>70</v>
      </c>
    </row>
    <row r="47">
      <c r="A47" s="322"/>
      <c r="B47" s="304" t="s">
        <v>18</v>
      </c>
      <c r="C47" s="304" t="s">
        <v>573</v>
      </c>
      <c r="D47" s="304" t="s">
        <v>590</v>
      </c>
      <c r="E47" s="206" t="s">
        <v>35</v>
      </c>
      <c r="F47" s="304" t="s">
        <v>19</v>
      </c>
      <c r="G47" s="304">
        <v>19.0</v>
      </c>
      <c r="H47" s="306" t="s">
        <v>92</v>
      </c>
      <c r="I47" s="307"/>
      <c r="J47" s="307"/>
      <c r="K47" s="304">
        <v>39.0</v>
      </c>
      <c r="L47" s="186"/>
      <c r="M47" s="201">
        <v>26.0</v>
      </c>
      <c r="N47" s="186">
        <v>13.0</v>
      </c>
      <c r="O47" s="186" t="s">
        <v>591</v>
      </c>
      <c r="P47" s="206" t="s">
        <v>70</v>
      </c>
    </row>
    <row r="48">
      <c r="A48" s="322"/>
      <c r="B48" s="304" t="s">
        <v>18</v>
      </c>
      <c r="C48" s="304" t="s">
        <v>592</v>
      </c>
      <c r="D48" s="304" t="s">
        <v>593</v>
      </c>
      <c r="E48" s="206" t="s">
        <v>35</v>
      </c>
      <c r="F48" s="304" t="s">
        <v>20</v>
      </c>
      <c r="G48" s="304">
        <v>8.0</v>
      </c>
      <c r="H48" s="306" t="s">
        <v>92</v>
      </c>
      <c r="I48" s="307"/>
      <c r="J48" s="307"/>
      <c r="K48" s="304">
        <v>8.0</v>
      </c>
      <c r="L48" s="186"/>
      <c r="M48" s="201">
        <v>6.0</v>
      </c>
      <c r="N48" s="201">
        <f t="shared" ref="N48:N50" si="5">K48-L48-M48</f>
        <v>2</v>
      </c>
      <c r="O48" s="186" t="s">
        <v>594</v>
      </c>
      <c r="P48" s="205" t="s">
        <v>70</v>
      </c>
    </row>
    <row r="49">
      <c r="A49" s="322"/>
      <c r="B49" s="304" t="s">
        <v>18</v>
      </c>
      <c r="C49" s="304" t="s">
        <v>575</v>
      </c>
      <c r="D49" s="300" t="s">
        <v>595</v>
      </c>
      <c r="E49" s="304" t="s">
        <v>35</v>
      </c>
      <c r="F49" s="304" t="s">
        <v>20</v>
      </c>
      <c r="G49" s="304">
        <v>8.0</v>
      </c>
      <c r="H49" s="306" t="s">
        <v>92</v>
      </c>
      <c r="I49" s="307"/>
      <c r="J49" s="307"/>
      <c r="K49" s="304">
        <v>8.0</v>
      </c>
      <c r="L49" s="296"/>
      <c r="M49" s="297">
        <v>8.0</v>
      </c>
      <c r="N49" s="201">
        <f t="shared" si="5"/>
        <v>0</v>
      </c>
      <c r="O49" s="186" t="s">
        <v>541</v>
      </c>
      <c r="P49" s="304" t="s">
        <v>70</v>
      </c>
    </row>
    <row r="50">
      <c r="A50" s="322"/>
      <c r="B50" s="304" t="s">
        <v>18</v>
      </c>
      <c r="C50" s="304" t="s">
        <v>559</v>
      </c>
      <c r="D50" s="304" t="s">
        <v>596</v>
      </c>
      <c r="E50" s="206" t="s">
        <v>35</v>
      </c>
      <c r="F50" s="304" t="s">
        <v>23</v>
      </c>
      <c r="G50" s="304">
        <v>13.0</v>
      </c>
      <c r="H50" s="306" t="s">
        <v>92</v>
      </c>
      <c r="I50" s="307"/>
      <c r="J50" s="307"/>
      <c r="K50" s="304">
        <v>13.0</v>
      </c>
      <c r="L50" s="186"/>
      <c r="M50" s="201">
        <v>13.0</v>
      </c>
      <c r="N50" s="201">
        <f t="shared" si="5"/>
        <v>0</v>
      </c>
      <c r="O50" s="186" t="s">
        <v>597</v>
      </c>
      <c r="P50" s="206" t="s">
        <v>70</v>
      </c>
    </row>
    <row r="51">
      <c r="A51" s="322"/>
      <c r="B51" s="304" t="s">
        <v>18</v>
      </c>
      <c r="C51" s="304" t="s">
        <v>592</v>
      </c>
      <c r="D51" s="304" t="s">
        <v>598</v>
      </c>
      <c r="E51" s="206" t="s">
        <v>35</v>
      </c>
      <c r="F51" s="304" t="s">
        <v>23</v>
      </c>
      <c r="G51" s="304">
        <v>13.0</v>
      </c>
      <c r="H51" s="306" t="s">
        <v>92</v>
      </c>
      <c r="I51" s="307"/>
      <c r="J51" s="307"/>
      <c r="K51" s="304">
        <v>13.0</v>
      </c>
      <c r="L51" s="186"/>
      <c r="M51" s="201"/>
      <c r="N51" s="189"/>
      <c r="O51" s="186" t="s">
        <v>582</v>
      </c>
      <c r="P51" s="206" t="s">
        <v>70</v>
      </c>
    </row>
    <row r="52">
      <c r="A52" s="294">
        <v>6.0</v>
      </c>
      <c r="B52" s="206" t="s">
        <v>17</v>
      </c>
      <c r="C52" s="206" t="s">
        <v>599</v>
      </c>
      <c r="D52" s="206" t="s">
        <v>600</v>
      </c>
      <c r="E52" s="206" t="s">
        <v>35</v>
      </c>
      <c r="F52" s="304" t="s">
        <v>21</v>
      </c>
      <c r="G52" s="206">
        <v>8.0</v>
      </c>
      <c r="H52" s="304" t="s">
        <v>92</v>
      </c>
      <c r="I52" s="323"/>
      <c r="J52" s="323"/>
      <c r="K52" s="206">
        <v>8.0</v>
      </c>
      <c r="L52" s="186">
        <v>0.0</v>
      </c>
      <c r="M52" s="186">
        <v>8.0</v>
      </c>
      <c r="N52" s="189">
        <f t="shared" ref="N52:N53" si="6">K52-M52-L52</f>
        <v>0</v>
      </c>
      <c r="O52" s="186" t="s">
        <v>554</v>
      </c>
      <c r="P52" s="206" t="s">
        <v>70</v>
      </c>
    </row>
    <row r="53">
      <c r="A53" s="322"/>
      <c r="B53" s="304" t="s">
        <v>17</v>
      </c>
      <c r="C53" s="304" t="s">
        <v>601</v>
      </c>
      <c r="D53" s="304" t="s">
        <v>602</v>
      </c>
      <c r="E53" s="206" t="s">
        <v>35</v>
      </c>
      <c r="F53" s="304" t="s">
        <v>19</v>
      </c>
      <c r="G53" s="304">
        <v>8.0</v>
      </c>
      <c r="H53" s="306" t="s">
        <v>92</v>
      </c>
      <c r="I53" s="323"/>
      <c r="J53" s="323"/>
      <c r="K53" s="304">
        <v>8.0</v>
      </c>
      <c r="L53" s="186">
        <v>0.0</v>
      </c>
      <c r="M53" s="186">
        <v>8.0</v>
      </c>
      <c r="N53" s="189">
        <f t="shared" si="6"/>
        <v>0</v>
      </c>
      <c r="O53" s="186" t="s">
        <v>358</v>
      </c>
      <c r="P53" s="206" t="s">
        <v>70</v>
      </c>
    </row>
    <row r="54">
      <c r="A54" s="322"/>
      <c r="B54" s="304" t="s">
        <v>17</v>
      </c>
      <c r="C54" s="304" t="s">
        <v>603</v>
      </c>
      <c r="D54" s="321" t="s">
        <v>604</v>
      </c>
      <c r="E54" s="206" t="s">
        <v>35</v>
      </c>
      <c r="F54" s="304" t="s">
        <v>19</v>
      </c>
      <c r="G54" s="304">
        <v>8.0</v>
      </c>
      <c r="H54" s="304" t="s">
        <v>92</v>
      </c>
      <c r="I54" s="307"/>
      <c r="J54" s="307"/>
      <c r="K54" s="304">
        <v>8.0</v>
      </c>
      <c r="L54" s="186"/>
      <c r="M54" s="201">
        <v>8.0</v>
      </c>
      <c r="N54" s="201">
        <f t="shared" ref="N54:N59" si="7">K54-L54-M54</f>
        <v>0</v>
      </c>
      <c r="O54" s="186" t="s">
        <v>541</v>
      </c>
      <c r="P54" s="206" t="s">
        <v>70</v>
      </c>
    </row>
    <row r="55">
      <c r="A55" s="322"/>
      <c r="B55" s="304" t="s">
        <v>17</v>
      </c>
      <c r="C55" s="304" t="s">
        <v>605</v>
      </c>
      <c r="D55" s="304" t="s">
        <v>606</v>
      </c>
      <c r="E55" s="206" t="s">
        <v>35</v>
      </c>
      <c r="F55" s="304" t="s">
        <v>21</v>
      </c>
      <c r="G55" s="304">
        <v>10.0</v>
      </c>
      <c r="H55" s="306" t="s">
        <v>92</v>
      </c>
      <c r="I55" s="307"/>
      <c r="J55" s="307"/>
      <c r="K55" s="304">
        <v>10.0</v>
      </c>
      <c r="L55" s="186"/>
      <c r="M55" s="186">
        <v>10.0</v>
      </c>
      <c r="N55" s="189">
        <f t="shared" si="7"/>
        <v>0</v>
      </c>
      <c r="O55" s="186" t="s">
        <v>561</v>
      </c>
      <c r="P55" s="206" t="s">
        <v>70</v>
      </c>
    </row>
    <row r="56" ht="30.75" customHeight="1">
      <c r="A56" s="322"/>
      <c r="B56" s="304" t="s">
        <v>17</v>
      </c>
      <c r="C56" s="304" t="s">
        <v>607</v>
      </c>
      <c r="D56" s="304" t="s">
        <v>608</v>
      </c>
      <c r="E56" s="206" t="s">
        <v>34</v>
      </c>
      <c r="F56" s="304" t="s">
        <v>23</v>
      </c>
      <c r="G56" s="304">
        <v>20.0</v>
      </c>
      <c r="H56" s="306" t="s">
        <v>76</v>
      </c>
      <c r="I56" s="307">
        <v>45996.0</v>
      </c>
      <c r="J56" s="307">
        <v>46010.0</v>
      </c>
      <c r="K56" s="304">
        <v>40.0</v>
      </c>
      <c r="L56" s="186">
        <v>0.0</v>
      </c>
      <c r="M56" s="201">
        <v>40.0</v>
      </c>
      <c r="N56" s="201">
        <f t="shared" si="7"/>
        <v>0</v>
      </c>
      <c r="O56" s="186" t="s">
        <v>609</v>
      </c>
      <c r="P56" s="206" t="s">
        <v>70</v>
      </c>
    </row>
    <row r="57" ht="30.75" customHeight="1">
      <c r="A57" s="322"/>
      <c r="B57" s="304" t="s">
        <v>17</v>
      </c>
      <c r="C57" s="304" t="s">
        <v>607</v>
      </c>
      <c r="D57" s="304" t="s">
        <v>610</v>
      </c>
      <c r="E57" s="206" t="s">
        <v>34</v>
      </c>
      <c r="F57" s="304" t="s">
        <v>23</v>
      </c>
      <c r="G57" s="304">
        <v>30.0</v>
      </c>
      <c r="H57" s="306" t="s">
        <v>76</v>
      </c>
      <c r="I57" s="307">
        <v>45943.0</v>
      </c>
      <c r="J57" s="307">
        <v>45992.0</v>
      </c>
      <c r="K57" s="304">
        <v>65.0</v>
      </c>
      <c r="L57" s="186"/>
      <c r="M57" s="201">
        <v>65.0</v>
      </c>
      <c r="N57" s="201">
        <f t="shared" si="7"/>
        <v>0</v>
      </c>
      <c r="O57" s="186" t="s">
        <v>380</v>
      </c>
      <c r="P57" s="206" t="s">
        <v>70</v>
      </c>
    </row>
    <row r="58">
      <c r="A58" s="322"/>
      <c r="B58" s="304" t="s">
        <v>17</v>
      </c>
      <c r="C58" s="304" t="s">
        <v>607</v>
      </c>
      <c r="D58" s="305" t="s">
        <v>611</v>
      </c>
      <c r="E58" s="206" t="s">
        <v>35</v>
      </c>
      <c r="F58" s="304" t="s">
        <v>21</v>
      </c>
      <c r="G58" s="304">
        <v>10.0</v>
      </c>
      <c r="H58" s="304" t="s">
        <v>92</v>
      </c>
      <c r="I58" s="307"/>
      <c r="J58" s="307"/>
      <c r="K58" s="304">
        <v>10.0</v>
      </c>
      <c r="L58" s="186"/>
      <c r="M58" s="201">
        <v>10.0</v>
      </c>
      <c r="N58" s="201">
        <f t="shared" si="7"/>
        <v>0</v>
      </c>
      <c r="O58" s="186" t="s">
        <v>541</v>
      </c>
      <c r="P58" s="206" t="s">
        <v>70</v>
      </c>
    </row>
    <row r="59">
      <c r="A59" s="322"/>
      <c r="B59" s="304" t="s">
        <v>17</v>
      </c>
      <c r="C59" s="304" t="s">
        <v>293</v>
      </c>
      <c r="D59" s="300" t="s">
        <v>611</v>
      </c>
      <c r="E59" s="206" t="s">
        <v>35</v>
      </c>
      <c r="F59" s="304" t="s">
        <v>21</v>
      </c>
      <c r="G59" s="304">
        <v>10.0</v>
      </c>
      <c r="H59" s="304" t="s">
        <v>92</v>
      </c>
      <c r="I59" s="307"/>
      <c r="J59" s="307"/>
      <c r="K59" s="304">
        <v>10.0</v>
      </c>
      <c r="L59" s="186"/>
      <c r="M59" s="201">
        <v>10.0</v>
      </c>
      <c r="N59" s="201">
        <f t="shared" si="7"/>
        <v>0</v>
      </c>
      <c r="O59" s="186" t="s">
        <v>541</v>
      </c>
      <c r="P59" s="206" t="s">
        <v>70</v>
      </c>
    </row>
    <row r="60">
      <c r="A60" s="322"/>
      <c r="B60" s="324" t="s">
        <v>17</v>
      </c>
      <c r="C60" s="296" t="s">
        <v>612</v>
      </c>
      <c r="D60" s="296" t="s">
        <v>613</v>
      </c>
      <c r="E60" s="296" t="s">
        <v>35</v>
      </c>
      <c r="F60" s="296" t="s">
        <v>20</v>
      </c>
      <c r="G60" s="296">
        <v>8.0</v>
      </c>
      <c r="H60" s="296" t="s">
        <v>92</v>
      </c>
      <c r="I60" s="298"/>
      <c r="J60" s="298"/>
      <c r="K60" s="296">
        <v>8.0</v>
      </c>
      <c r="L60" s="296"/>
      <c r="M60" s="297">
        <v>8.0</v>
      </c>
      <c r="N60" s="297">
        <v>0.0</v>
      </c>
      <c r="O60" s="277" t="s">
        <v>614</v>
      </c>
      <c r="P60" s="297" t="s">
        <v>70</v>
      </c>
    </row>
    <row r="61">
      <c r="A61" s="322"/>
      <c r="B61" s="324" t="s">
        <v>17</v>
      </c>
      <c r="C61" s="296" t="s">
        <v>612</v>
      </c>
      <c r="D61" s="296" t="s">
        <v>615</v>
      </c>
      <c r="E61" s="296" t="s">
        <v>35</v>
      </c>
      <c r="F61" s="296" t="s">
        <v>23</v>
      </c>
      <c r="G61" s="296">
        <v>8.0</v>
      </c>
      <c r="H61" s="296" t="s">
        <v>92</v>
      </c>
      <c r="I61" s="298"/>
      <c r="J61" s="298"/>
      <c r="K61" s="296">
        <v>8.0</v>
      </c>
      <c r="L61" s="296"/>
      <c r="M61" s="297">
        <v>8.0</v>
      </c>
      <c r="N61" s="325">
        <f>K61-L61-M61</f>
        <v>0</v>
      </c>
      <c r="O61" s="277" t="s">
        <v>614</v>
      </c>
      <c r="P61" s="297" t="s">
        <v>70</v>
      </c>
    </row>
    <row r="62">
      <c r="A62" s="322"/>
      <c r="B62" s="324" t="s">
        <v>17</v>
      </c>
      <c r="C62" s="296" t="s">
        <v>612</v>
      </c>
      <c r="D62" s="296" t="s">
        <v>616</v>
      </c>
      <c r="E62" s="296" t="s">
        <v>35</v>
      </c>
      <c r="F62" s="296" t="s">
        <v>23</v>
      </c>
      <c r="G62" s="296" t="s">
        <v>617</v>
      </c>
      <c r="H62" s="296" t="s">
        <v>92</v>
      </c>
      <c r="I62" s="298"/>
      <c r="J62" s="298"/>
      <c r="K62" s="296">
        <v>8.0</v>
      </c>
      <c r="L62" s="296"/>
      <c r="M62" s="297">
        <v>8.0</v>
      </c>
      <c r="N62" s="325">
        <f>0</f>
        <v>0</v>
      </c>
      <c r="O62" s="277" t="s">
        <v>614</v>
      </c>
      <c r="P62" s="297" t="s">
        <v>70</v>
      </c>
    </row>
    <row r="63">
      <c r="A63" s="322"/>
      <c r="B63" s="304" t="s">
        <v>17</v>
      </c>
      <c r="C63" s="304" t="s">
        <v>618</v>
      </c>
      <c r="D63" s="321" t="s">
        <v>611</v>
      </c>
      <c r="E63" s="206" t="s">
        <v>35</v>
      </c>
      <c r="F63" s="304" t="s">
        <v>21</v>
      </c>
      <c r="G63" s="304">
        <v>10.0</v>
      </c>
      <c r="H63" s="304" t="s">
        <v>92</v>
      </c>
      <c r="I63" s="307"/>
      <c r="J63" s="307"/>
      <c r="K63" s="304">
        <v>10.0</v>
      </c>
      <c r="L63" s="186"/>
      <c r="M63" s="201">
        <v>10.0</v>
      </c>
      <c r="N63" s="201">
        <f t="shared" ref="N63:N64" si="8">K63-L63-M63</f>
        <v>0</v>
      </c>
      <c r="O63" s="186" t="s">
        <v>538</v>
      </c>
      <c r="P63" s="206" t="s">
        <v>70</v>
      </c>
    </row>
    <row r="64">
      <c r="A64" s="322"/>
      <c r="B64" s="304" t="s">
        <v>18</v>
      </c>
      <c r="C64" s="304" t="s">
        <v>565</v>
      </c>
      <c r="D64" s="304" t="s">
        <v>619</v>
      </c>
      <c r="E64" s="206" t="s">
        <v>35</v>
      </c>
      <c r="F64" s="304" t="s">
        <v>20</v>
      </c>
      <c r="G64" s="304">
        <v>10.0</v>
      </c>
      <c r="H64" s="306" t="s">
        <v>92</v>
      </c>
      <c r="I64" s="307"/>
      <c r="J64" s="307"/>
      <c r="K64" s="304">
        <v>10.0</v>
      </c>
      <c r="L64" s="186"/>
      <c r="M64" s="303">
        <v>10.0</v>
      </c>
      <c r="N64" s="201">
        <f t="shared" si="8"/>
        <v>0</v>
      </c>
      <c r="O64" s="186"/>
      <c r="P64" s="206" t="s">
        <v>70</v>
      </c>
    </row>
    <row r="65">
      <c r="A65" s="314"/>
      <c r="B65" s="299" t="s">
        <v>17</v>
      </c>
      <c r="C65" s="299" t="s">
        <v>620</v>
      </c>
      <c r="D65" s="299" t="s">
        <v>621</v>
      </c>
      <c r="E65" s="181" t="s">
        <v>35</v>
      </c>
      <c r="F65" s="299" t="s">
        <v>23</v>
      </c>
      <c r="G65" s="299">
        <v>10.0</v>
      </c>
      <c r="H65" s="326" t="s">
        <v>92</v>
      </c>
      <c r="I65" s="301"/>
      <c r="J65" s="301"/>
      <c r="K65" s="299">
        <v>10.0</v>
      </c>
      <c r="L65" s="141"/>
      <c r="M65" s="139">
        <v>10.0</v>
      </c>
      <c r="N65" s="139">
        <v>0.0</v>
      </c>
      <c r="O65" s="181" t="s">
        <v>552</v>
      </c>
      <c r="P65" s="139" t="s">
        <v>70</v>
      </c>
    </row>
    <row r="66" ht="30.0" customHeight="1">
      <c r="A66" s="314"/>
      <c r="B66" s="299" t="s">
        <v>17</v>
      </c>
      <c r="C66" s="299" t="s">
        <v>620</v>
      </c>
      <c r="D66" s="299" t="s">
        <v>622</v>
      </c>
      <c r="E66" s="181" t="s">
        <v>35</v>
      </c>
      <c r="F66" s="299" t="s">
        <v>23</v>
      </c>
      <c r="G66" s="299">
        <v>19.0</v>
      </c>
      <c r="H66" s="326" t="s">
        <v>92</v>
      </c>
      <c r="I66" s="301"/>
      <c r="J66" s="301"/>
      <c r="K66" s="299">
        <v>39.0</v>
      </c>
      <c r="L66" s="141"/>
      <c r="M66" s="139">
        <v>39.0</v>
      </c>
      <c r="N66" s="139">
        <f>K66-M66</f>
        <v>0</v>
      </c>
      <c r="O66" s="181" t="s">
        <v>623</v>
      </c>
      <c r="P66" s="181" t="s">
        <v>70</v>
      </c>
    </row>
    <row r="67">
      <c r="A67" s="322"/>
      <c r="B67" s="304" t="s">
        <v>17</v>
      </c>
      <c r="C67" s="304" t="s">
        <v>618</v>
      </c>
      <c r="D67" s="321" t="s">
        <v>611</v>
      </c>
      <c r="E67" s="206" t="s">
        <v>35</v>
      </c>
      <c r="F67" s="304" t="s">
        <v>21</v>
      </c>
      <c r="G67" s="304">
        <v>10.0</v>
      </c>
      <c r="H67" s="304" t="s">
        <v>92</v>
      </c>
      <c r="I67" s="307"/>
      <c r="J67" s="307"/>
      <c r="K67" s="304">
        <v>10.0</v>
      </c>
      <c r="L67" s="186"/>
      <c r="M67" s="201">
        <v>10.0</v>
      </c>
      <c r="N67" s="201">
        <f>K67-L67-M67</f>
        <v>0</v>
      </c>
      <c r="O67" s="186" t="s">
        <v>538</v>
      </c>
      <c r="P67" s="206" t="s">
        <v>70</v>
      </c>
    </row>
    <row r="68">
      <c r="A68" s="322"/>
      <c r="B68" s="304" t="s">
        <v>16</v>
      </c>
      <c r="C68" s="304" t="s">
        <v>624</v>
      </c>
      <c r="D68" s="184" t="s">
        <v>625</v>
      </c>
      <c r="E68" s="206" t="s">
        <v>35</v>
      </c>
      <c r="F68" s="304" t="s">
        <v>23</v>
      </c>
      <c r="G68" s="304">
        <v>13.0</v>
      </c>
      <c r="H68" s="304" t="s">
        <v>92</v>
      </c>
      <c r="I68" s="307"/>
      <c r="J68" s="307"/>
      <c r="K68" s="304">
        <v>19.0</v>
      </c>
      <c r="L68" s="186"/>
      <c r="M68" s="186">
        <v>19.0</v>
      </c>
      <c r="N68" s="186">
        <v>0.0</v>
      </c>
      <c r="O68" s="186" t="s">
        <v>541</v>
      </c>
      <c r="P68" s="205" t="s">
        <v>70</v>
      </c>
    </row>
    <row r="69">
      <c r="A69" s="322"/>
      <c r="B69" s="304" t="s">
        <v>16</v>
      </c>
      <c r="C69" s="304" t="s">
        <v>626</v>
      </c>
      <c r="D69" s="277" t="s">
        <v>627</v>
      </c>
      <c r="E69" s="206" t="s">
        <v>35</v>
      </c>
      <c r="F69" s="304" t="s">
        <v>19</v>
      </c>
      <c r="G69" s="304">
        <v>8.0</v>
      </c>
      <c r="H69" s="304" t="s">
        <v>92</v>
      </c>
      <c r="I69" s="307"/>
      <c r="J69" s="307"/>
      <c r="K69" s="304">
        <v>8.0</v>
      </c>
      <c r="L69" s="186"/>
      <c r="M69" s="186"/>
      <c r="N69" s="189"/>
      <c r="O69" s="186" t="s">
        <v>541</v>
      </c>
      <c r="P69" s="205" t="s">
        <v>70</v>
      </c>
    </row>
    <row r="70">
      <c r="A70" s="294">
        <v>2.0</v>
      </c>
      <c r="B70" s="187" t="s">
        <v>15</v>
      </c>
      <c r="C70" s="186" t="s">
        <v>628</v>
      </c>
      <c r="D70" s="186" t="s">
        <v>359</v>
      </c>
      <c r="E70" s="186" t="s">
        <v>34</v>
      </c>
      <c r="F70" s="296" t="s">
        <v>23</v>
      </c>
      <c r="G70" s="186">
        <v>30.0</v>
      </c>
      <c r="H70" s="297" t="s">
        <v>92</v>
      </c>
      <c r="I70" s="298">
        <v>45819.0</v>
      </c>
      <c r="J70" s="327">
        <v>45868.0</v>
      </c>
      <c r="K70" s="186">
        <v>65.0</v>
      </c>
      <c r="L70" s="186">
        <v>20.0</v>
      </c>
      <c r="M70" s="186">
        <v>45.0</v>
      </c>
      <c r="N70" s="189">
        <f t="shared" ref="N70:N72" si="9">K70-M70-L70</f>
        <v>0</v>
      </c>
      <c r="O70" s="186" t="s">
        <v>629</v>
      </c>
      <c r="P70" s="201" t="s">
        <v>70</v>
      </c>
    </row>
    <row r="71">
      <c r="A71" s="294">
        <v>7.0</v>
      </c>
      <c r="B71" s="187" t="s">
        <v>16</v>
      </c>
      <c r="C71" s="186" t="s">
        <v>630</v>
      </c>
      <c r="D71" s="186" t="s">
        <v>631</v>
      </c>
      <c r="E71" s="186" t="s">
        <v>35</v>
      </c>
      <c r="F71" s="296" t="s">
        <v>19</v>
      </c>
      <c r="G71" s="186">
        <v>10.0</v>
      </c>
      <c r="H71" s="296" t="s">
        <v>92</v>
      </c>
      <c r="I71" s="298"/>
      <c r="J71" s="298"/>
      <c r="K71" s="186">
        <v>10.0</v>
      </c>
      <c r="L71" s="186">
        <v>0.0</v>
      </c>
      <c r="M71" s="186">
        <v>10.0</v>
      </c>
      <c r="N71" s="189">
        <f t="shared" si="9"/>
        <v>0</v>
      </c>
      <c r="O71" s="186" t="s">
        <v>629</v>
      </c>
      <c r="P71" s="201" t="s">
        <v>70</v>
      </c>
    </row>
    <row r="72">
      <c r="A72" s="294">
        <v>8.0</v>
      </c>
      <c r="B72" s="206" t="s">
        <v>15</v>
      </c>
      <c r="C72" s="206" t="s">
        <v>632</v>
      </c>
      <c r="D72" s="206" t="s">
        <v>633</v>
      </c>
      <c r="E72" s="206" t="s">
        <v>35</v>
      </c>
      <c r="F72" s="304" t="s">
        <v>21</v>
      </c>
      <c r="G72" s="206">
        <v>8.0</v>
      </c>
      <c r="H72" s="304" t="s">
        <v>92</v>
      </c>
      <c r="I72" s="323"/>
      <c r="J72" s="323"/>
      <c r="K72" s="206">
        <v>8.0</v>
      </c>
      <c r="L72" s="186">
        <v>0.0</v>
      </c>
      <c r="M72" s="186">
        <v>8.0</v>
      </c>
      <c r="N72" s="189">
        <f t="shared" si="9"/>
        <v>0</v>
      </c>
      <c r="O72" s="186" t="s">
        <v>554</v>
      </c>
      <c r="P72" s="206" t="s">
        <v>70</v>
      </c>
    </row>
    <row r="73">
      <c r="A73" s="294"/>
      <c r="B73" s="304" t="s">
        <v>16</v>
      </c>
      <c r="C73" s="304" t="s">
        <v>624</v>
      </c>
      <c r="D73" s="304" t="s">
        <v>634</v>
      </c>
      <c r="E73" s="304" t="s">
        <v>35</v>
      </c>
      <c r="F73" s="304" t="s">
        <v>21</v>
      </c>
      <c r="G73" s="304">
        <v>8.0</v>
      </c>
      <c r="H73" s="306" t="s">
        <v>92</v>
      </c>
      <c r="I73" s="307"/>
      <c r="J73" s="307"/>
      <c r="K73" s="304">
        <v>8.0</v>
      </c>
      <c r="L73" s="296">
        <v>8.0</v>
      </c>
      <c r="M73" s="296">
        <v>8.0</v>
      </c>
      <c r="N73" s="296">
        <v>0.0</v>
      </c>
      <c r="O73" s="277" t="s">
        <v>635</v>
      </c>
      <c r="P73" s="304" t="s">
        <v>70</v>
      </c>
    </row>
    <row r="74">
      <c r="A74" s="294"/>
      <c r="B74" s="187" t="s">
        <v>16</v>
      </c>
      <c r="C74" s="186" t="s">
        <v>636</v>
      </c>
      <c r="D74" s="186" t="s">
        <v>637</v>
      </c>
      <c r="E74" s="186" t="s">
        <v>35</v>
      </c>
      <c r="F74" s="296" t="s">
        <v>21</v>
      </c>
      <c r="G74" s="186">
        <v>8.0</v>
      </c>
      <c r="H74" s="296" t="s">
        <v>92</v>
      </c>
      <c r="I74" s="298"/>
      <c r="J74" s="298"/>
      <c r="K74" s="186">
        <v>8.0</v>
      </c>
      <c r="L74" s="186"/>
      <c r="M74" s="186">
        <v>8.0</v>
      </c>
      <c r="N74" s="186">
        <v>0.0</v>
      </c>
      <c r="O74" s="186" t="s">
        <v>638</v>
      </c>
      <c r="P74" s="201" t="s">
        <v>70</v>
      </c>
    </row>
    <row r="75">
      <c r="A75" s="322"/>
      <c r="B75" s="304" t="s">
        <v>16</v>
      </c>
      <c r="C75" s="304" t="s">
        <v>639</v>
      </c>
      <c r="D75" s="304" t="s">
        <v>640</v>
      </c>
      <c r="E75" s="304" t="s">
        <v>34</v>
      </c>
      <c r="F75" s="304" t="s">
        <v>23</v>
      </c>
      <c r="G75" s="304">
        <v>20.0</v>
      </c>
      <c r="H75" s="306" t="s">
        <v>76</v>
      </c>
      <c r="I75" s="307">
        <v>45980.0</v>
      </c>
      <c r="J75" s="307">
        <v>45994.0</v>
      </c>
      <c r="K75" s="304">
        <v>40.0</v>
      </c>
      <c r="L75" s="296"/>
      <c r="M75" s="297">
        <v>40.0</v>
      </c>
      <c r="N75" s="296">
        <f>K75-M75</f>
        <v>0</v>
      </c>
      <c r="O75" s="168" t="s">
        <v>579</v>
      </c>
      <c r="P75" s="304" t="s">
        <v>70</v>
      </c>
    </row>
    <row r="76">
      <c r="A76" s="294">
        <v>9.0</v>
      </c>
      <c r="B76" s="187" t="s">
        <v>16</v>
      </c>
      <c r="C76" s="186" t="s">
        <v>641</v>
      </c>
      <c r="D76" s="186" t="s">
        <v>642</v>
      </c>
      <c r="E76" s="186" t="s">
        <v>35</v>
      </c>
      <c r="F76" s="296" t="s">
        <v>19</v>
      </c>
      <c r="G76" s="186">
        <v>10.0</v>
      </c>
      <c r="H76" s="296" t="s">
        <v>92</v>
      </c>
      <c r="I76" s="298"/>
      <c r="J76" s="298"/>
      <c r="K76" s="186">
        <v>10.0</v>
      </c>
      <c r="L76" s="186">
        <v>0.0</v>
      </c>
      <c r="M76" s="186">
        <v>10.0</v>
      </c>
      <c r="N76" s="189">
        <f t="shared" ref="N76:N81" si="10">K76-M76-L76</f>
        <v>0</v>
      </c>
      <c r="O76" s="328" t="s">
        <v>629</v>
      </c>
      <c r="P76" s="201" t="s">
        <v>70</v>
      </c>
    </row>
    <row r="77">
      <c r="A77" s="294">
        <v>10.0</v>
      </c>
      <c r="B77" s="206" t="s">
        <v>16</v>
      </c>
      <c r="C77" s="206" t="s">
        <v>643</v>
      </c>
      <c r="D77" s="206" t="s">
        <v>644</v>
      </c>
      <c r="E77" s="206" t="s">
        <v>35</v>
      </c>
      <c r="F77" s="304" t="s">
        <v>23</v>
      </c>
      <c r="G77" s="206">
        <v>10.0</v>
      </c>
      <c r="H77" s="304" t="s">
        <v>92</v>
      </c>
      <c r="I77" s="323"/>
      <c r="J77" s="323"/>
      <c r="K77" s="206">
        <v>10.0</v>
      </c>
      <c r="L77" s="186">
        <v>0.0</v>
      </c>
      <c r="M77" s="186">
        <v>10.0</v>
      </c>
      <c r="N77" s="189">
        <f t="shared" si="10"/>
        <v>0</v>
      </c>
      <c r="O77" s="186" t="s">
        <v>554</v>
      </c>
      <c r="P77" s="206" t="s">
        <v>70</v>
      </c>
    </row>
    <row r="78">
      <c r="A78" s="294">
        <v>11.0</v>
      </c>
      <c r="B78" s="187" t="s">
        <v>16</v>
      </c>
      <c r="C78" s="186" t="s">
        <v>645</v>
      </c>
      <c r="D78" s="186" t="s">
        <v>631</v>
      </c>
      <c r="E78" s="186" t="s">
        <v>35</v>
      </c>
      <c r="F78" s="296" t="s">
        <v>19</v>
      </c>
      <c r="G78" s="186">
        <v>10.0</v>
      </c>
      <c r="H78" s="296" t="s">
        <v>92</v>
      </c>
      <c r="I78" s="298"/>
      <c r="J78" s="298"/>
      <c r="K78" s="186">
        <v>10.0</v>
      </c>
      <c r="L78" s="186">
        <v>0.0</v>
      </c>
      <c r="M78" s="186">
        <v>10.0</v>
      </c>
      <c r="N78" s="189">
        <f t="shared" si="10"/>
        <v>0</v>
      </c>
      <c r="O78" s="186" t="s">
        <v>629</v>
      </c>
      <c r="P78" s="201" t="s">
        <v>70</v>
      </c>
    </row>
    <row r="79">
      <c r="A79" s="294">
        <v>12.0</v>
      </c>
      <c r="B79" s="187" t="s">
        <v>16</v>
      </c>
      <c r="C79" s="186" t="s">
        <v>641</v>
      </c>
      <c r="D79" s="186" t="s">
        <v>631</v>
      </c>
      <c r="E79" s="186" t="s">
        <v>35</v>
      </c>
      <c r="F79" s="296" t="s">
        <v>19</v>
      </c>
      <c r="G79" s="186">
        <v>10.0</v>
      </c>
      <c r="H79" s="296" t="s">
        <v>92</v>
      </c>
      <c r="I79" s="298"/>
      <c r="J79" s="298"/>
      <c r="K79" s="186">
        <v>10.0</v>
      </c>
      <c r="L79" s="186">
        <v>0.0</v>
      </c>
      <c r="M79" s="186">
        <v>10.0</v>
      </c>
      <c r="N79" s="189">
        <f t="shared" si="10"/>
        <v>0</v>
      </c>
      <c r="O79" s="186" t="s">
        <v>629</v>
      </c>
      <c r="P79" s="201" t="s">
        <v>70</v>
      </c>
    </row>
    <row r="80">
      <c r="A80" s="294">
        <v>13.0</v>
      </c>
      <c r="B80" s="187" t="s">
        <v>16</v>
      </c>
      <c r="C80" s="186" t="s">
        <v>646</v>
      </c>
      <c r="D80" s="186" t="s">
        <v>631</v>
      </c>
      <c r="E80" s="186" t="s">
        <v>35</v>
      </c>
      <c r="F80" s="296" t="s">
        <v>19</v>
      </c>
      <c r="G80" s="186">
        <v>10.0</v>
      </c>
      <c r="H80" s="296" t="s">
        <v>92</v>
      </c>
      <c r="I80" s="298"/>
      <c r="J80" s="298"/>
      <c r="K80" s="186">
        <v>10.0</v>
      </c>
      <c r="L80" s="186">
        <v>0.0</v>
      </c>
      <c r="M80" s="186">
        <v>10.0</v>
      </c>
      <c r="N80" s="189">
        <f t="shared" si="10"/>
        <v>0</v>
      </c>
      <c r="O80" s="186" t="s">
        <v>629</v>
      </c>
      <c r="P80" s="201" t="s">
        <v>70</v>
      </c>
    </row>
    <row r="81">
      <c r="A81" s="294">
        <v>14.0</v>
      </c>
      <c r="B81" s="206" t="s">
        <v>15</v>
      </c>
      <c r="C81" s="206" t="s">
        <v>533</v>
      </c>
      <c r="D81" s="206" t="s">
        <v>647</v>
      </c>
      <c r="E81" s="206" t="s">
        <v>35</v>
      </c>
      <c r="F81" s="304" t="s">
        <v>22</v>
      </c>
      <c r="G81" s="206">
        <v>10.0</v>
      </c>
      <c r="H81" s="304" t="s">
        <v>92</v>
      </c>
      <c r="I81" s="323"/>
      <c r="J81" s="323"/>
      <c r="K81" s="206">
        <v>10.0</v>
      </c>
      <c r="L81" s="186">
        <v>0.0</v>
      </c>
      <c r="M81" s="186">
        <v>10.0</v>
      </c>
      <c r="N81" s="189">
        <f t="shared" si="10"/>
        <v>0</v>
      </c>
      <c r="O81" s="186" t="s">
        <v>554</v>
      </c>
      <c r="P81" s="205" t="s">
        <v>70</v>
      </c>
    </row>
    <row r="82">
      <c r="A82" s="322"/>
      <c r="B82" s="303" t="s">
        <v>16</v>
      </c>
      <c r="C82" s="303" t="s">
        <v>648</v>
      </c>
      <c r="D82" s="303" t="s">
        <v>649</v>
      </c>
      <c r="E82" s="268" t="s">
        <v>35</v>
      </c>
      <c r="F82" s="303" t="s">
        <v>19</v>
      </c>
      <c r="G82" s="303">
        <v>8.0</v>
      </c>
      <c r="H82" s="329" t="s">
        <v>92</v>
      </c>
      <c r="I82" s="330"/>
      <c r="J82" s="330"/>
      <c r="K82" s="303">
        <v>8.0</v>
      </c>
      <c r="L82" s="186">
        <v>0.0</v>
      </c>
      <c r="M82" s="186">
        <v>8.0</v>
      </c>
      <c r="N82" s="186">
        <v>0.0</v>
      </c>
      <c r="O82" s="186" t="s">
        <v>358</v>
      </c>
      <c r="P82" s="268" t="s">
        <v>70</v>
      </c>
    </row>
    <row r="83">
      <c r="A83" s="294">
        <v>15.0</v>
      </c>
      <c r="B83" s="187" t="s">
        <v>16</v>
      </c>
      <c r="C83" s="186" t="s">
        <v>650</v>
      </c>
      <c r="D83" s="186" t="s">
        <v>651</v>
      </c>
      <c r="E83" s="186" t="s">
        <v>34</v>
      </c>
      <c r="F83" s="296" t="s">
        <v>23</v>
      </c>
      <c r="G83" s="186">
        <v>30.0</v>
      </c>
      <c r="H83" s="297" t="s">
        <v>92</v>
      </c>
      <c r="I83" s="298">
        <v>45814.0</v>
      </c>
      <c r="J83" s="298">
        <v>45863.0</v>
      </c>
      <c r="K83" s="186">
        <v>65.0</v>
      </c>
      <c r="L83" s="186">
        <v>28.0</v>
      </c>
      <c r="M83" s="186">
        <v>37.0</v>
      </c>
      <c r="N83" s="189">
        <f t="shared" ref="N83:N86" si="11">K83-M83-L83</f>
        <v>0</v>
      </c>
      <c r="O83" s="186" t="s">
        <v>652</v>
      </c>
      <c r="P83" s="201" t="s">
        <v>70</v>
      </c>
    </row>
    <row r="84">
      <c r="A84" s="314"/>
      <c r="B84" s="317" t="s">
        <v>17</v>
      </c>
      <c r="C84" s="317" t="s">
        <v>653</v>
      </c>
      <c r="D84" s="299" t="s">
        <v>654</v>
      </c>
      <c r="E84" s="141" t="s">
        <v>35</v>
      </c>
      <c r="F84" s="317" t="s">
        <v>20</v>
      </c>
      <c r="G84" s="299">
        <v>10.0</v>
      </c>
      <c r="H84" s="173" t="s">
        <v>92</v>
      </c>
      <c r="I84" s="301"/>
      <c r="J84" s="301"/>
      <c r="K84" s="299">
        <v>10.0</v>
      </c>
      <c r="L84" s="141">
        <v>0.0</v>
      </c>
      <c r="M84" s="139">
        <v>10.0</v>
      </c>
      <c r="N84" s="140">
        <f t="shared" si="11"/>
        <v>0</v>
      </c>
      <c r="O84" s="141" t="s">
        <v>358</v>
      </c>
      <c r="P84" s="181" t="s">
        <v>70</v>
      </c>
    </row>
    <row r="85">
      <c r="A85" s="294">
        <v>1.0</v>
      </c>
      <c r="B85" s="187" t="s">
        <v>15</v>
      </c>
      <c r="C85" s="186" t="s">
        <v>543</v>
      </c>
      <c r="D85" s="186" t="s">
        <v>655</v>
      </c>
      <c r="E85" s="186" t="s">
        <v>34</v>
      </c>
      <c r="F85" s="296" t="s">
        <v>23</v>
      </c>
      <c r="G85" s="186">
        <v>30.0</v>
      </c>
      <c r="H85" s="297" t="s">
        <v>92</v>
      </c>
      <c r="I85" s="298">
        <v>45812.0</v>
      </c>
      <c r="J85" s="298">
        <v>45861.0</v>
      </c>
      <c r="K85" s="186">
        <v>65.0</v>
      </c>
      <c r="L85" s="186">
        <v>20.0</v>
      </c>
      <c r="M85" s="186">
        <v>45.0</v>
      </c>
      <c r="N85" s="189">
        <f t="shared" si="11"/>
        <v>0</v>
      </c>
      <c r="O85" s="186" t="s">
        <v>656</v>
      </c>
      <c r="P85" s="201" t="s">
        <v>70</v>
      </c>
    </row>
    <row r="86">
      <c r="A86" s="294">
        <v>3.0</v>
      </c>
      <c r="B86" s="187" t="s">
        <v>15</v>
      </c>
      <c r="C86" s="186" t="s">
        <v>657</v>
      </c>
      <c r="D86" s="186" t="s">
        <v>658</v>
      </c>
      <c r="E86" s="186" t="s">
        <v>34</v>
      </c>
      <c r="F86" s="296" t="s">
        <v>24</v>
      </c>
      <c r="G86" s="186">
        <v>20.0</v>
      </c>
      <c r="H86" s="297" t="s">
        <v>92</v>
      </c>
      <c r="I86" s="298">
        <v>45819.0</v>
      </c>
      <c r="J86" s="298">
        <v>45833.0</v>
      </c>
      <c r="K86" s="186">
        <v>40.0</v>
      </c>
      <c r="L86" s="186">
        <v>0.0</v>
      </c>
      <c r="M86" s="186">
        <v>40.0</v>
      </c>
      <c r="N86" s="189">
        <f t="shared" si="11"/>
        <v>0</v>
      </c>
      <c r="O86" s="186" t="s">
        <v>629</v>
      </c>
      <c r="P86" s="201" t="s">
        <v>70</v>
      </c>
    </row>
    <row r="87">
      <c r="A87" s="294"/>
      <c r="B87" s="187" t="s">
        <v>15</v>
      </c>
      <c r="C87" s="186" t="s">
        <v>659</v>
      </c>
      <c r="D87" s="186" t="s">
        <v>660</v>
      </c>
      <c r="E87" s="186" t="s">
        <v>35</v>
      </c>
      <c r="F87" s="296" t="s">
        <v>19</v>
      </c>
      <c r="G87" s="186">
        <v>9.0</v>
      </c>
      <c r="H87" s="296" t="s">
        <v>92</v>
      </c>
      <c r="I87" s="298"/>
      <c r="J87" s="298"/>
      <c r="K87" s="186">
        <v>9.0</v>
      </c>
      <c r="L87" s="186"/>
      <c r="M87" s="186">
        <v>9.0</v>
      </c>
      <c r="N87" s="186">
        <v>0.0</v>
      </c>
      <c r="O87" s="186" t="s">
        <v>638</v>
      </c>
      <c r="P87" s="201" t="s">
        <v>70</v>
      </c>
    </row>
    <row r="88">
      <c r="A88" s="294">
        <v>4.0</v>
      </c>
      <c r="B88" s="187" t="s">
        <v>15</v>
      </c>
      <c r="C88" s="186" t="s">
        <v>661</v>
      </c>
      <c r="D88" s="186" t="s">
        <v>662</v>
      </c>
      <c r="E88" s="186" t="s">
        <v>34</v>
      </c>
      <c r="F88" s="296" t="s">
        <v>23</v>
      </c>
      <c r="G88" s="186">
        <v>30.0</v>
      </c>
      <c r="H88" s="296" t="s">
        <v>76</v>
      </c>
      <c r="I88" s="298">
        <v>45825.0</v>
      </c>
      <c r="J88" s="298">
        <v>45874.0</v>
      </c>
      <c r="K88" s="186">
        <v>65.0</v>
      </c>
      <c r="L88" s="186">
        <v>33.0</v>
      </c>
      <c r="M88" s="186">
        <v>32.0</v>
      </c>
      <c r="N88" s="189">
        <f t="shared" ref="N88:N89" si="12">K88-M88-L88</f>
        <v>0</v>
      </c>
      <c r="O88" s="186" t="s">
        <v>663</v>
      </c>
      <c r="P88" s="201" t="s">
        <v>70</v>
      </c>
    </row>
    <row r="89">
      <c r="A89" s="294">
        <v>5.0</v>
      </c>
      <c r="B89" s="187" t="s">
        <v>15</v>
      </c>
      <c r="C89" s="186" t="s">
        <v>664</v>
      </c>
      <c r="D89" s="186" t="s">
        <v>662</v>
      </c>
      <c r="E89" s="186" t="s">
        <v>34</v>
      </c>
      <c r="F89" s="296" t="s">
        <v>23</v>
      </c>
      <c r="G89" s="186">
        <v>30.0</v>
      </c>
      <c r="H89" s="296" t="s">
        <v>76</v>
      </c>
      <c r="I89" s="298">
        <v>45825.0</v>
      </c>
      <c r="J89" s="298">
        <v>45874.0</v>
      </c>
      <c r="K89" s="186">
        <v>65.0</v>
      </c>
      <c r="L89" s="186">
        <v>9.0</v>
      </c>
      <c r="M89" s="186">
        <v>56.0</v>
      </c>
      <c r="N89" s="189">
        <f t="shared" si="12"/>
        <v>0</v>
      </c>
      <c r="O89" s="186" t="s">
        <v>663</v>
      </c>
      <c r="P89" s="201" t="s">
        <v>70</v>
      </c>
    </row>
    <row r="90" ht="27.0" customHeight="1">
      <c r="A90" s="322"/>
      <c r="B90" s="304" t="s">
        <v>16</v>
      </c>
      <c r="C90" s="304" t="s">
        <v>650</v>
      </c>
      <c r="D90" s="304" t="s">
        <v>665</v>
      </c>
      <c r="E90" s="304" t="s">
        <v>35</v>
      </c>
      <c r="F90" s="304" t="s">
        <v>19</v>
      </c>
      <c r="G90" s="304">
        <v>8.0</v>
      </c>
      <c r="H90" s="306" t="s">
        <v>92</v>
      </c>
      <c r="I90" s="307"/>
      <c r="J90" s="307"/>
      <c r="K90" s="304">
        <v>8.0</v>
      </c>
      <c r="L90" s="296">
        <v>4.0</v>
      </c>
      <c r="M90" s="297">
        <v>4.0</v>
      </c>
      <c r="N90" s="296">
        <v>0.0</v>
      </c>
      <c r="O90" s="168" t="s">
        <v>666</v>
      </c>
      <c r="P90" s="304" t="s">
        <v>70</v>
      </c>
    </row>
    <row r="91">
      <c r="A91" s="294"/>
      <c r="B91" s="187" t="s">
        <v>16</v>
      </c>
      <c r="C91" s="186" t="s">
        <v>667</v>
      </c>
      <c r="D91" s="186" t="s">
        <v>668</v>
      </c>
      <c r="E91" s="186" t="s">
        <v>34</v>
      </c>
      <c r="F91" s="296" t="s">
        <v>23</v>
      </c>
      <c r="G91" s="186">
        <v>30.0</v>
      </c>
      <c r="H91" s="297" t="s">
        <v>92</v>
      </c>
      <c r="I91" s="298">
        <v>45815.0</v>
      </c>
      <c r="J91" s="298">
        <v>45864.0</v>
      </c>
      <c r="K91" s="186">
        <v>65.0</v>
      </c>
      <c r="L91" s="186">
        <v>20.0</v>
      </c>
      <c r="M91" s="186">
        <v>45.0</v>
      </c>
      <c r="N91" s="189">
        <f>K91-M91-L91</f>
        <v>0</v>
      </c>
      <c r="O91" s="186" t="s">
        <v>669</v>
      </c>
      <c r="P91" s="201" t="s">
        <v>70</v>
      </c>
    </row>
    <row r="92" ht="30.75" customHeight="1">
      <c r="A92" s="322"/>
      <c r="B92" s="304" t="s">
        <v>16</v>
      </c>
      <c r="C92" s="304" t="s">
        <v>670</v>
      </c>
      <c r="D92" s="277" t="s">
        <v>611</v>
      </c>
      <c r="E92" s="206" t="s">
        <v>35</v>
      </c>
      <c r="F92" s="304" t="s">
        <v>21</v>
      </c>
      <c r="G92" s="304">
        <v>15.0</v>
      </c>
      <c r="H92" s="304" t="s">
        <v>92</v>
      </c>
      <c r="I92" s="307"/>
      <c r="J92" s="307"/>
      <c r="K92" s="304">
        <v>25.0</v>
      </c>
      <c r="L92" s="186"/>
      <c r="M92" s="186">
        <v>25.0</v>
      </c>
      <c r="N92" s="201">
        <f>K92-L92-M92</f>
        <v>0</v>
      </c>
      <c r="O92" s="186" t="s">
        <v>541</v>
      </c>
      <c r="P92" s="205" t="s">
        <v>70</v>
      </c>
    </row>
    <row r="93">
      <c r="A93" s="294"/>
      <c r="B93" s="187" t="s">
        <v>15</v>
      </c>
      <c r="C93" s="186" t="s">
        <v>628</v>
      </c>
      <c r="D93" s="186" t="s">
        <v>671</v>
      </c>
      <c r="E93" s="186" t="s">
        <v>35</v>
      </c>
      <c r="F93" s="296" t="s">
        <v>20</v>
      </c>
      <c r="G93" s="186">
        <v>11.0</v>
      </c>
      <c r="H93" s="297" t="s">
        <v>92</v>
      </c>
      <c r="I93" s="298"/>
      <c r="J93" s="298"/>
      <c r="K93" s="186">
        <v>13.0</v>
      </c>
      <c r="L93" s="186"/>
      <c r="M93" s="186">
        <v>13.0</v>
      </c>
      <c r="N93" s="189">
        <f>K93-M93</f>
        <v>0</v>
      </c>
      <c r="O93" s="186" t="s">
        <v>635</v>
      </c>
      <c r="P93" s="201" t="s">
        <v>70</v>
      </c>
    </row>
    <row r="94">
      <c r="A94" s="294"/>
      <c r="B94" s="187" t="s">
        <v>15</v>
      </c>
      <c r="C94" s="186" t="s">
        <v>664</v>
      </c>
      <c r="D94" s="186" t="s">
        <v>672</v>
      </c>
      <c r="E94" s="186" t="s">
        <v>35</v>
      </c>
      <c r="F94" s="296" t="s">
        <v>20</v>
      </c>
      <c r="G94" s="186">
        <v>8.0</v>
      </c>
      <c r="H94" s="297" t="s">
        <v>92</v>
      </c>
      <c r="I94" s="298"/>
      <c r="J94" s="298"/>
      <c r="K94" s="186">
        <v>8.0</v>
      </c>
      <c r="L94" s="186"/>
      <c r="M94" s="186">
        <v>8.0</v>
      </c>
      <c r="N94" s="189">
        <f>M94-K94</f>
        <v>0</v>
      </c>
      <c r="O94" s="186" t="s">
        <v>673</v>
      </c>
      <c r="P94" s="201" t="s">
        <v>70</v>
      </c>
    </row>
    <row r="95">
      <c r="A95" s="294"/>
      <c r="B95" s="187" t="s">
        <v>15</v>
      </c>
      <c r="C95" s="186" t="s">
        <v>674</v>
      </c>
      <c r="D95" s="186" t="s">
        <v>675</v>
      </c>
      <c r="E95" s="186" t="s">
        <v>35</v>
      </c>
      <c r="F95" s="296" t="s">
        <v>21</v>
      </c>
      <c r="G95" s="186">
        <v>8.0</v>
      </c>
      <c r="H95" s="297" t="s">
        <v>92</v>
      </c>
      <c r="I95" s="298"/>
      <c r="J95" s="298"/>
      <c r="K95" s="186">
        <v>8.0</v>
      </c>
      <c r="L95" s="186"/>
      <c r="M95" s="186">
        <v>8.0</v>
      </c>
      <c r="N95" s="186">
        <v>0.0</v>
      </c>
      <c r="O95" s="186" t="s">
        <v>673</v>
      </c>
      <c r="P95" s="201" t="s">
        <v>70</v>
      </c>
    </row>
    <row r="96">
      <c r="A96" s="294"/>
      <c r="B96" s="187" t="s">
        <v>15</v>
      </c>
      <c r="C96" s="186" t="s">
        <v>674</v>
      </c>
      <c r="D96" s="186" t="s">
        <v>676</v>
      </c>
      <c r="E96" s="186" t="s">
        <v>35</v>
      </c>
      <c r="F96" s="296" t="s">
        <v>20</v>
      </c>
      <c r="G96" s="186">
        <v>8.0</v>
      </c>
      <c r="H96" s="297" t="s">
        <v>92</v>
      </c>
      <c r="I96" s="298"/>
      <c r="J96" s="298"/>
      <c r="K96" s="186">
        <v>8.0</v>
      </c>
      <c r="L96" s="186"/>
      <c r="M96" s="186">
        <v>8.0</v>
      </c>
      <c r="N96" s="189">
        <f>M96-K96</f>
        <v>0</v>
      </c>
      <c r="O96" s="186" t="s">
        <v>673</v>
      </c>
      <c r="P96" s="201" t="s">
        <v>70</v>
      </c>
    </row>
    <row r="97">
      <c r="A97" s="294"/>
      <c r="B97" s="187" t="s">
        <v>15</v>
      </c>
      <c r="C97" s="186" t="s">
        <v>677</v>
      </c>
      <c r="D97" s="186" t="s">
        <v>678</v>
      </c>
      <c r="E97" s="186" t="s">
        <v>35</v>
      </c>
      <c r="F97" s="296" t="s">
        <v>19</v>
      </c>
      <c r="G97" s="186">
        <v>10.0</v>
      </c>
      <c r="H97" s="297" t="s">
        <v>92</v>
      </c>
      <c r="I97" s="298"/>
      <c r="J97" s="298"/>
      <c r="K97" s="186">
        <v>10.0</v>
      </c>
      <c r="L97" s="186"/>
      <c r="M97" s="186">
        <v>10.0</v>
      </c>
      <c r="N97" s="189">
        <f>K97-M97</f>
        <v>0</v>
      </c>
      <c r="O97" s="186" t="s">
        <v>635</v>
      </c>
      <c r="P97" s="201" t="s">
        <v>70</v>
      </c>
    </row>
    <row r="98">
      <c r="A98" s="294"/>
      <c r="B98" s="187" t="s">
        <v>15</v>
      </c>
      <c r="C98" s="186" t="s">
        <v>679</v>
      </c>
      <c r="D98" s="186" t="s">
        <v>680</v>
      </c>
      <c r="E98" s="186" t="s">
        <v>35</v>
      </c>
      <c r="F98" s="296" t="s">
        <v>23</v>
      </c>
      <c r="G98" s="186">
        <v>9.0</v>
      </c>
      <c r="H98" s="297" t="s">
        <v>92</v>
      </c>
      <c r="I98" s="298"/>
      <c r="J98" s="298"/>
      <c r="K98" s="186">
        <v>9.0</v>
      </c>
      <c r="L98" s="186">
        <v>9.0</v>
      </c>
      <c r="M98" s="186"/>
      <c r="N98" s="189">
        <f>K98-L98</f>
        <v>0</v>
      </c>
      <c r="O98" s="186" t="s">
        <v>681</v>
      </c>
      <c r="P98" s="201" t="s">
        <v>70</v>
      </c>
    </row>
    <row r="99">
      <c r="A99" s="294"/>
      <c r="B99" s="187" t="s">
        <v>15</v>
      </c>
      <c r="C99" s="186" t="s">
        <v>679</v>
      </c>
      <c r="D99" s="186" t="s">
        <v>671</v>
      </c>
      <c r="E99" s="186" t="s">
        <v>35</v>
      </c>
      <c r="F99" s="296" t="s">
        <v>20</v>
      </c>
      <c r="G99" s="186">
        <v>11.0</v>
      </c>
      <c r="H99" s="297" t="s">
        <v>92</v>
      </c>
      <c r="I99" s="298"/>
      <c r="J99" s="298"/>
      <c r="K99" s="186">
        <v>13.0</v>
      </c>
      <c r="L99" s="186">
        <v>5.0</v>
      </c>
      <c r="M99" s="186">
        <v>8.0</v>
      </c>
      <c r="N99" s="189">
        <f>K99-M99-L99</f>
        <v>0</v>
      </c>
      <c r="O99" s="186" t="s">
        <v>635</v>
      </c>
      <c r="P99" s="201" t="s">
        <v>70</v>
      </c>
    </row>
    <row r="100" ht="27.0" customHeight="1">
      <c r="A100" s="322"/>
      <c r="B100" s="304" t="s">
        <v>16</v>
      </c>
      <c r="C100" s="304" t="s">
        <v>682</v>
      </c>
      <c r="D100" s="304" t="s">
        <v>683</v>
      </c>
      <c r="E100" s="304" t="s">
        <v>34</v>
      </c>
      <c r="F100" s="304" t="s">
        <v>19</v>
      </c>
      <c r="G100" s="304">
        <v>30.0</v>
      </c>
      <c r="H100" s="306" t="s">
        <v>76</v>
      </c>
      <c r="I100" s="307">
        <v>45959.0</v>
      </c>
      <c r="J100" s="307">
        <v>46008.0</v>
      </c>
      <c r="K100" s="304">
        <v>65.0</v>
      </c>
      <c r="L100" s="296"/>
      <c r="M100" s="297">
        <v>65.0</v>
      </c>
      <c r="N100" s="325">
        <f>K100-L100-M100</f>
        <v>0</v>
      </c>
      <c r="O100" s="168" t="s">
        <v>684</v>
      </c>
      <c r="P100" s="304" t="s">
        <v>70</v>
      </c>
    </row>
    <row r="101">
      <c r="A101" s="294"/>
      <c r="B101" s="187" t="s">
        <v>15</v>
      </c>
      <c r="C101" s="186" t="s">
        <v>685</v>
      </c>
      <c r="D101" s="186" t="s">
        <v>676</v>
      </c>
      <c r="E101" s="186" t="s">
        <v>35</v>
      </c>
      <c r="F101" s="296" t="s">
        <v>20</v>
      </c>
      <c r="G101" s="186">
        <v>8.0</v>
      </c>
      <c r="H101" s="297" t="s">
        <v>92</v>
      </c>
      <c r="I101" s="298"/>
      <c r="J101" s="298"/>
      <c r="K101" s="186">
        <v>8.0</v>
      </c>
      <c r="L101" s="186"/>
      <c r="M101" s="186">
        <v>8.0</v>
      </c>
      <c r="N101" s="189">
        <f t="shared" ref="N101:N103" si="13">K101-M101</f>
        <v>0</v>
      </c>
      <c r="O101" s="186" t="s">
        <v>673</v>
      </c>
      <c r="P101" s="201" t="s">
        <v>70</v>
      </c>
    </row>
    <row r="102">
      <c r="A102" s="294"/>
      <c r="B102" s="187" t="s">
        <v>15</v>
      </c>
      <c r="C102" s="186" t="s">
        <v>533</v>
      </c>
      <c r="D102" s="168" t="s">
        <v>686</v>
      </c>
      <c r="E102" s="186" t="s">
        <v>35</v>
      </c>
      <c r="F102" s="296" t="s">
        <v>22</v>
      </c>
      <c r="G102" s="186">
        <v>8.0</v>
      </c>
      <c r="H102" s="297" t="s">
        <v>92</v>
      </c>
      <c r="I102" s="298"/>
      <c r="J102" s="298"/>
      <c r="K102" s="186">
        <v>8.0</v>
      </c>
      <c r="L102" s="186"/>
      <c r="M102" s="186">
        <v>8.0</v>
      </c>
      <c r="N102" s="189">
        <f t="shared" si="13"/>
        <v>0</v>
      </c>
      <c r="O102" s="186" t="s">
        <v>687</v>
      </c>
      <c r="P102" s="201" t="s">
        <v>70</v>
      </c>
    </row>
    <row r="103">
      <c r="A103" s="294"/>
      <c r="B103" s="187" t="s">
        <v>16</v>
      </c>
      <c r="C103" s="186" t="s">
        <v>688</v>
      </c>
      <c r="D103" s="186" t="s">
        <v>689</v>
      </c>
      <c r="E103" s="186" t="s">
        <v>35</v>
      </c>
      <c r="F103" s="296" t="s">
        <v>19</v>
      </c>
      <c r="G103" s="186">
        <v>10.0</v>
      </c>
      <c r="H103" s="296" t="s">
        <v>92</v>
      </c>
      <c r="I103" s="298"/>
      <c r="J103" s="298"/>
      <c r="K103" s="186">
        <v>10.0</v>
      </c>
      <c r="L103" s="186"/>
      <c r="M103" s="186">
        <v>10.0</v>
      </c>
      <c r="N103" s="189">
        <f t="shared" si="13"/>
        <v>0</v>
      </c>
      <c r="O103" s="328" t="s">
        <v>673</v>
      </c>
      <c r="P103" s="201" t="s">
        <v>70</v>
      </c>
    </row>
    <row r="104">
      <c r="A104" s="294"/>
      <c r="B104" s="187" t="s">
        <v>17</v>
      </c>
      <c r="C104" s="186" t="s">
        <v>690</v>
      </c>
      <c r="D104" s="186" t="s">
        <v>691</v>
      </c>
      <c r="E104" s="186" t="s">
        <v>35</v>
      </c>
      <c r="F104" s="296" t="s">
        <v>23</v>
      </c>
      <c r="G104" s="186">
        <v>19.0</v>
      </c>
      <c r="H104" s="296" t="s">
        <v>92</v>
      </c>
      <c r="I104" s="298"/>
      <c r="J104" s="298"/>
      <c r="K104" s="186">
        <v>39.0</v>
      </c>
      <c r="L104" s="186">
        <v>39.0</v>
      </c>
      <c r="M104" s="186">
        <v>0.0</v>
      </c>
      <c r="N104" s="186">
        <v>0.0</v>
      </c>
      <c r="O104" s="328" t="s">
        <v>673</v>
      </c>
      <c r="P104" s="201" t="s">
        <v>70</v>
      </c>
    </row>
    <row r="105">
      <c r="A105" s="294"/>
      <c r="B105" s="187" t="s">
        <v>16</v>
      </c>
      <c r="C105" s="186" t="s">
        <v>645</v>
      </c>
      <c r="D105" s="186" t="s">
        <v>689</v>
      </c>
      <c r="E105" s="186" t="s">
        <v>35</v>
      </c>
      <c r="F105" s="296" t="s">
        <v>19</v>
      </c>
      <c r="G105" s="186">
        <v>10.0</v>
      </c>
      <c r="H105" s="296" t="s">
        <v>92</v>
      </c>
      <c r="I105" s="298"/>
      <c r="J105" s="298"/>
      <c r="K105" s="186">
        <v>10.0</v>
      </c>
      <c r="L105" s="186">
        <v>10.0</v>
      </c>
      <c r="M105" s="186"/>
      <c r="N105" s="189">
        <f>K105-L105</f>
        <v>0</v>
      </c>
      <c r="O105" s="328" t="s">
        <v>673</v>
      </c>
      <c r="P105" s="201" t="s">
        <v>70</v>
      </c>
    </row>
    <row r="106">
      <c r="A106" s="322"/>
      <c r="B106" s="304" t="s">
        <v>16</v>
      </c>
      <c r="C106" s="304" t="s">
        <v>636</v>
      </c>
      <c r="D106" s="304" t="s">
        <v>692</v>
      </c>
      <c r="E106" s="304" t="s">
        <v>35</v>
      </c>
      <c r="F106" s="304" t="s">
        <v>19</v>
      </c>
      <c r="G106" s="304">
        <v>19.0</v>
      </c>
      <c r="H106" s="306" t="s">
        <v>92</v>
      </c>
      <c r="I106" s="307"/>
      <c r="J106" s="307"/>
      <c r="K106" s="304">
        <v>39.0</v>
      </c>
      <c r="L106" s="296">
        <v>39.0</v>
      </c>
      <c r="M106" s="296"/>
      <c r="N106" s="325">
        <f>K106-L106-M106</f>
        <v>0</v>
      </c>
      <c r="O106" s="277" t="s">
        <v>635</v>
      </c>
      <c r="P106" s="304" t="s">
        <v>70</v>
      </c>
    </row>
    <row r="107">
      <c r="A107" s="294"/>
      <c r="B107" s="187" t="s">
        <v>16</v>
      </c>
      <c r="C107" s="186" t="s">
        <v>693</v>
      </c>
      <c r="D107" s="186" t="s">
        <v>694</v>
      </c>
      <c r="E107" s="186" t="s">
        <v>34</v>
      </c>
      <c r="F107" s="296" t="s">
        <v>23</v>
      </c>
      <c r="G107" s="186">
        <v>30.0</v>
      </c>
      <c r="H107" s="297" t="s">
        <v>92</v>
      </c>
      <c r="I107" s="298">
        <v>45813.0</v>
      </c>
      <c r="J107" s="298">
        <v>45862.0</v>
      </c>
      <c r="K107" s="186">
        <v>65.0</v>
      </c>
      <c r="L107" s="186">
        <v>16.0</v>
      </c>
      <c r="M107" s="186">
        <v>49.0</v>
      </c>
      <c r="N107" s="189">
        <f>K107-M107-L107</f>
        <v>0</v>
      </c>
      <c r="O107" s="186" t="s">
        <v>695</v>
      </c>
      <c r="P107" s="201" t="s">
        <v>70</v>
      </c>
    </row>
    <row r="108">
      <c r="A108" s="294"/>
      <c r="B108" s="187" t="s">
        <v>16</v>
      </c>
      <c r="C108" s="186" t="s">
        <v>696</v>
      </c>
      <c r="D108" s="168" t="s">
        <v>697</v>
      </c>
      <c r="E108" s="186" t="s">
        <v>35</v>
      </c>
      <c r="F108" s="296" t="s">
        <v>19</v>
      </c>
      <c r="G108" s="186">
        <v>10.0</v>
      </c>
      <c r="H108" s="297" t="s">
        <v>92</v>
      </c>
      <c r="I108" s="298"/>
      <c r="J108" s="298"/>
      <c r="K108" s="186">
        <v>10.0</v>
      </c>
      <c r="L108" s="186"/>
      <c r="M108" s="186">
        <v>10.0</v>
      </c>
      <c r="N108" s="189">
        <f t="shared" ref="N108:N109" si="14">K108-M108</f>
        <v>0</v>
      </c>
      <c r="O108" s="186" t="s">
        <v>673</v>
      </c>
      <c r="P108" s="201" t="s">
        <v>70</v>
      </c>
    </row>
    <row r="109">
      <c r="A109" s="294"/>
      <c r="B109" s="187" t="s">
        <v>16</v>
      </c>
      <c r="C109" s="186" t="s">
        <v>667</v>
      </c>
      <c r="D109" s="186" t="s">
        <v>689</v>
      </c>
      <c r="E109" s="186" t="s">
        <v>35</v>
      </c>
      <c r="F109" s="296" t="s">
        <v>19</v>
      </c>
      <c r="G109" s="186">
        <v>10.0</v>
      </c>
      <c r="H109" s="296" t="s">
        <v>92</v>
      </c>
      <c r="I109" s="298"/>
      <c r="J109" s="298"/>
      <c r="K109" s="186">
        <v>10.0</v>
      </c>
      <c r="L109" s="186"/>
      <c r="M109" s="186">
        <v>10.0</v>
      </c>
      <c r="N109" s="189">
        <f t="shared" si="14"/>
        <v>0</v>
      </c>
      <c r="O109" s="328" t="s">
        <v>673</v>
      </c>
      <c r="P109" s="201" t="s">
        <v>70</v>
      </c>
    </row>
    <row r="110">
      <c r="A110" s="322"/>
      <c r="B110" s="304" t="s">
        <v>17</v>
      </c>
      <c r="C110" s="304" t="s">
        <v>698</v>
      </c>
      <c r="D110" s="304" t="s">
        <v>699</v>
      </c>
      <c r="E110" s="206" t="s">
        <v>34</v>
      </c>
      <c r="F110" s="304" t="s">
        <v>21</v>
      </c>
      <c r="G110" s="304">
        <v>20.0</v>
      </c>
      <c r="H110" s="306" t="s">
        <v>76</v>
      </c>
      <c r="I110" s="307">
        <v>45875.0</v>
      </c>
      <c r="J110" s="307">
        <v>45889.0</v>
      </c>
      <c r="K110" s="304">
        <v>40.0</v>
      </c>
      <c r="L110" s="186"/>
      <c r="M110" s="186">
        <v>40.0</v>
      </c>
      <c r="N110" s="189">
        <f>K110-L110-M110</f>
        <v>0</v>
      </c>
      <c r="O110" s="186" t="s">
        <v>700</v>
      </c>
      <c r="P110" s="206" t="s">
        <v>70</v>
      </c>
    </row>
    <row r="111">
      <c r="A111" s="322"/>
      <c r="B111" s="324" t="s">
        <v>17</v>
      </c>
      <c r="C111" s="296" t="s">
        <v>698</v>
      </c>
      <c r="D111" s="296" t="s">
        <v>701</v>
      </c>
      <c r="E111" s="296" t="s">
        <v>35</v>
      </c>
      <c r="F111" s="296" t="s">
        <v>23</v>
      </c>
      <c r="G111" s="296">
        <v>8.0</v>
      </c>
      <c r="H111" s="296" t="s">
        <v>92</v>
      </c>
      <c r="I111" s="298"/>
      <c r="J111" s="298"/>
      <c r="K111" s="296">
        <v>10.0</v>
      </c>
      <c r="L111" s="296"/>
      <c r="M111" s="296">
        <v>10.0</v>
      </c>
      <c r="N111" s="325">
        <f>K111-M111</f>
        <v>0</v>
      </c>
      <c r="O111" s="277" t="s">
        <v>635</v>
      </c>
      <c r="P111" s="297" t="s">
        <v>70</v>
      </c>
    </row>
    <row r="112">
      <c r="A112" s="322"/>
      <c r="B112" s="304" t="s">
        <v>17</v>
      </c>
      <c r="C112" s="304" t="s">
        <v>293</v>
      </c>
      <c r="D112" s="304" t="s">
        <v>702</v>
      </c>
      <c r="E112" s="206" t="s">
        <v>35</v>
      </c>
      <c r="F112" s="304" t="s">
        <v>23</v>
      </c>
      <c r="G112" s="304">
        <v>10.0</v>
      </c>
      <c r="H112" s="306" t="s">
        <v>92</v>
      </c>
      <c r="I112" s="323"/>
      <c r="J112" s="323"/>
      <c r="K112" s="304">
        <v>10.0</v>
      </c>
      <c r="L112" s="186">
        <v>0.0</v>
      </c>
      <c r="M112" s="186">
        <v>10.0</v>
      </c>
      <c r="N112" s="189">
        <f t="shared" ref="N112:N114" si="15">K112-M112-L112</f>
        <v>0</v>
      </c>
      <c r="O112" s="186" t="s">
        <v>358</v>
      </c>
      <c r="P112" s="206" t="s">
        <v>70</v>
      </c>
    </row>
    <row r="113">
      <c r="A113" s="322"/>
      <c r="B113" s="304" t="s">
        <v>17</v>
      </c>
      <c r="C113" s="304" t="s">
        <v>703</v>
      </c>
      <c r="D113" s="304" t="s">
        <v>704</v>
      </c>
      <c r="E113" s="206" t="s">
        <v>35</v>
      </c>
      <c r="F113" s="304" t="s">
        <v>20</v>
      </c>
      <c r="G113" s="304">
        <v>8.0</v>
      </c>
      <c r="H113" s="306" t="s">
        <v>92</v>
      </c>
      <c r="I113" s="323"/>
      <c r="J113" s="323"/>
      <c r="K113" s="304">
        <v>8.0</v>
      </c>
      <c r="L113" s="186">
        <v>0.0</v>
      </c>
      <c r="M113" s="186">
        <v>8.0</v>
      </c>
      <c r="N113" s="189">
        <f t="shared" si="15"/>
        <v>0</v>
      </c>
      <c r="O113" s="186" t="s">
        <v>358</v>
      </c>
      <c r="P113" s="206" t="s">
        <v>70</v>
      </c>
    </row>
    <row r="114">
      <c r="A114" s="322"/>
      <c r="B114" s="304" t="s">
        <v>17</v>
      </c>
      <c r="C114" s="304" t="s">
        <v>705</v>
      </c>
      <c r="D114" s="304" t="s">
        <v>704</v>
      </c>
      <c r="E114" s="206" t="s">
        <v>35</v>
      </c>
      <c r="F114" s="304" t="s">
        <v>20</v>
      </c>
      <c r="G114" s="304">
        <v>8.0</v>
      </c>
      <c r="H114" s="306" t="s">
        <v>92</v>
      </c>
      <c r="I114" s="323"/>
      <c r="J114" s="323"/>
      <c r="K114" s="304">
        <v>8.0</v>
      </c>
      <c r="L114" s="186">
        <v>0.0</v>
      </c>
      <c r="M114" s="186">
        <v>8.0</v>
      </c>
      <c r="N114" s="189">
        <f t="shared" si="15"/>
        <v>0</v>
      </c>
      <c r="O114" s="186" t="s">
        <v>358</v>
      </c>
      <c r="P114" s="206" t="s">
        <v>70</v>
      </c>
    </row>
    <row r="115">
      <c r="A115" s="322"/>
      <c r="B115" s="304" t="s">
        <v>17</v>
      </c>
      <c r="C115" s="304" t="s">
        <v>690</v>
      </c>
      <c r="D115" s="304" t="s">
        <v>706</v>
      </c>
      <c r="E115" s="206" t="s">
        <v>35</v>
      </c>
      <c r="F115" s="304" t="s">
        <v>23</v>
      </c>
      <c r="G115" s="304">
        <v>19.0</v>
      </c>
      <c r="H115" s="306" t="s">
        <v>92</v>
      </c>
      <c r="I115" s="307"/>
      <c r="J115" s="307"/>
      <c r="K115" s="304">
        <v>39.0</v>
      </c>
      <c r="L115" s="186">
        <v>0.0</v>
      </c>
      <c r="M115" s="201">
        <v>39.0</v>
      </c>
      <c r="N115" s="189">
        <f t="shared" ref="N115:N116" si="16">K115-L115-M115</f>
        <v>0</v>
      </c>
      <c r="O115" s="186" t="s">
        <v>535</v>
      </c>
      <c r="P115" s="205" t="s">
        <v>70</v>
      </c>
    </row>
    <row r="116">
      <c r="A116" s="322"/>
      <c r="B116" s="304" t="s">
        <v>17</v>
      </c>
      <c r="C116" s="304" t="s">
        <v>707</v>
      </c>
      <c r="D116" s="304" t="s">
        <v>708</v>
      </c>
      <c r="E116" s="206" t="s">
        <v>35</v>
      </c>
      <c r="F116" s="304" t="s">
        <v>21</v>
      </c>
      <c r="G116" s="304">
        <v>19.0</v>
      </c>
      <c r="H116" s="306" t="s">
        <v>92</v>
      </c>
      <c r="I116" s="307"/>
      <c r="J116" s="307"/>
      <c r="K116" s="304">
        <v>39.0</v>
      </c>
      <c r="L116" s="186"/>
      <c r="M116" s="201">
        <v>39.0</v>
      </c>
      <c r="N116" s="189">
        <f t="shared" si="16"/>
        <v>0</v>
      </c>
      <c r="O116" s="186" t="s">
        <v>687</v>
      </c>
      <c r="P116" s="206" t="s">
        <v>70</v>
      </c>
    </row>
    <row r="117">
      <c r="A117" s="302"/>
      <c r="B117" s="317" t="s">
        <v>17</v>
      </c>
      <c r="C117" s="299" t="s">
        <v>607</v>
      </c>
      <c r="D117" s="299" t="s">
        <v>709</v>
      </c>
      <c r="E117" s="141" t="s">
        <v>35</v>
      </c>
      <c r="F117" s="317" t="s">
        <v>20</v>
      </c>
      <c r="G117" s="317">
        <v>8.0</v>
      </c>
      <c r="H117" s="173" t="s">
        <v>92</v>
      </c>
      <c r="I117" s="301"/>
      <c r="J117" s="301"/>
      <c r="K117" s="317">
        <v>8.0</v>
      </c>
      <c r="L117" s="207">
        <v>0.0</v>
      </c>
      <c r="M117" s="206">
        <v>8.0</v>
      </c>
      <c r="N117" s="212">
        <f>K117-M117-L117</f>
        <v>0</v>
      </c>
      <c r="O117" s="207" t="s">
        <v>358</v>
      </c>
      <c r="P117" s="181" t="s">
        <v>70</v>
      </c>
    </row>
    <row r="118">
      <c r="A118" s="294"/>
      <c r="B118" s="206" t="s">
        <v>16</v>
      </c>
      <c r="C118" s="206" t="s">
        <v>650</v>
      </c>
      <c r="D118" s="206" t="s">
        <v>710</v>
      </c>
      <c r="E118" s="206" t="s">
        <v>35</v>
      </c>
      <c r="F118" s="304" t="s">
        <v>23</v>
      </c>
      <c r="G118" s="206">
        <v>19.0</v>
      </c>
      <c r="H118" s="304" t="s">
        <v>92</v>
      </c>
      <c r="I118" s="307"/>
      <c r="J118" s="307"/>
      <c r="K118" s="206">
        <v>39.0</v>
      </c>
      <c r="L118" s="186">
        <v>10.0</v>
      </c>
      <c r="M118" s="186">
        <v>29.0</v>
      </c>
      <c r="N118" s="189">
        <f>K118-L118-M118</f>
        <v>0</v>
      </c>
      <c r="O118" s="328" t="s">
        <v>673</v>
      </c>
      <c r="P118" s="205" t="s">
        <v>70</v>
      </c>
    </row>
    <row r="119">
      <c r="A119" s="322"/>
      <c r="B119" s="304" t="s">
        <v>16</v>
      </c>
      <c r="C119" s="304" t="s">
        <v>711</v>
      </c>
      <c r="D119" s="304" t="s">
        <v>634</v>
      </c>
      <c r="E119" s="304" t="s">
        <v>35</v>
      </c>
      <c r="F119" s="304" t="s">
        <v>21</v>
      </c>
      <c r="G119" s="304">
        <v>8.0</v>
      </c>
      <c r="H119" s="306" t="s">
        <v>92</v>
      </c>
      <c r="I119" s="307"/>
      <c r="J119" s="307"/>
      <c r="K119" s="304">
        <v>8.0</v>
      </c>
      <c r="L119" s="296"/>
      <c r="M119" s="296">
        <v>8.0</v>
      </c>
      <c r="N119" s="325">
        <f>K119-M119</f>
        <v>0</v>
      </c>
      <c r="O119" s="277" t="s">
        <v>635</v>
      </c>
      <c r="P119" s="304" t="s">
        <v>70</v>
      </c>
    </row>
    <row r="120">
      <c r="A120" s="294"/>
      <c r="B120" s="206" t="s">
        <v>16</v>
      </c>
      <c r="C120" s="206" t="s">
        <v>630</v>
      </c>
      <c r="D120" s="206" t="s">
        <v>689</v>
      </c>
      <c r="E120" s="206" t="s">
        <v>35</v>
      </c>
      <c r="F120" s="304" t="s">
        <v>19</v>
      </c>
      <c r="G120" s="206">
        <v>19.0</v>
      </c>
      <c r="H120" s="304" t="s">
        <v>92</v>
      </c>
      <c r="I120" s="307"/>
      <c r="J120" s="307"/>
      <c r="K120" s="206">
        <v>39.0</v>
      </c>
      <c r="L120" s="186">
        <v>16.0</v>
      </c>
      <c r="M120" s="186">
        <v>23.0</v>
      </c>
      <c r="N120" s="189">
        <f t="shared" ref="N120:N121" si="17">K120-L120-M120</f>
        <v>0</v>
      </c>
      <c r="O120" s="328" t="s">
        <v>673</v>
      </c>
      <c r="P120" s="205" t="s">
        <v>70</v>
      </c>
    </row>
    <row r="121">
      <c r="A121" s="322"/>
      <c r="B121" s="304" t="s">
        <v>16</v>
      </c>
      <c r="C121" s="304" t="s">
        <v>712</v>
      </c>
      <c r="D121" s="304" t="s">
        <v>713</v>
      </c>
      <c r="E121" s="304" t="s">
        <v>34</v>
      </c>
      <c r="F121" s="304" t="s">
        <v>23</v>
      </c>
      <c r="G121" s="304">
        <v>20.0</v>
      </c>
      <c r="H121" s="306" t="s">
        <v>76</v>
      </c>
      <c r="I121" s="307">
        <v>45918.0</v>
      </c>
      <c r="J121" s="307">
        <v>45932.0</v>
      </c>
      <c r="K121" s="304">
        <v>40.0</v>
      </c>
      <c r="L121" s="296">
        <v>16.0</v>
      </c>
      <c r="M121" s="296">
        <v>24.0</v>
      </c>
      <c r="N121" s="325">
        <f t="shared" si="17"/>
        <v>0</v>
      </c>
      <c r="O121" s="277" t="s">
        <v>714</v>
      </c>
      <c r="P121" s="304" t="s">
        <v>70</v>
      </c>
    </row>
    <row r="122">
      <c r="A122" s="294"/>
      <c r="B122" s="206" t="s">
        <v>16</v>
      </c>
      <c r="C122" s="206" t="s">
        <v>670</v>
      </c>
      <c r="D122" s="206" t="s">
        <v>715</v>
      </c>
      <c r="E122" s="206" t="s">
        <v>35</v>
      </c>
      <c r="F122" s="304" t="s">
        <v>19</v>
      </c>
      <c r="G122" s="206">
        <v>19.0</v>
      </c>
      <c r="H122" s="304" t="s">
        <v>92</v>
      </c>
      <c r="I122" s="307"/>
      <c r="J122" s="307"/>
      <c r="K122" s="206">
        <v>39.0</v>
      </c>
      <c r="L122" s="186">
        <v>19.0</v>
      </c>
      <c r="M122" s="186">
        <v>20.0</v>
      </c>
      <c r="N122" s="189">
        <f>K122-M122-L122</f>
        <v>0</v>
      </c>
      <c r="O122" s="328" t="s">
        <v>673</v>
      </c>
      <c r="P122" s="205" t="s">
        <v>70</v>
      </c>
    </row>
    <row r="123">
      <c r="A123" s="294"/>
      <c r="B123" s="187" t="s">
        <v>16</v>
      </c>
      <c r="C123" s="186" t="s">
        <v>626</v>
      </c>
      <c r="D123" s="168" t="s">
        <v>716</v>
      </c>
      <c r="E123" s="186" t="s">
        <v>35</v>
      </c>
      <c r="F123" s="296" t="s">
        <v>23</v>
      </c>
      <c r="G123" s="186">
        <v>11.0</v>
      </c>
      <c r="H123" s="297" t="s">
        <v>92</v>
      </c>
      <c r="I123" s="298"/>
      <c r="J123" s="298"/>
      <c r="K123" s="186">
        <v>13.0</v>
      </c>
      <c r="L123" s="186"/>
      <c r="M123" s="186">
        <v>13.0</v>
      </c>
      <c r="N123" s="189">
        <f>K123-M123</f>
        <v>0</v>
      </c>
      <c r="O123" s="186" t="s">
        <v>673</v>
      </c>
      <c r="P123" s="201" t="s">
        <v>70</v>
      </c>
    </row>
    <row r="124">
      <c r="A124" s="322"/>
      <c r="B124" s="304" t="s">
        <v>16</v>
      </c>
      <c r="C124" s="304" t="s">
        <v>717</v>
      </c>
      <c r="D124" s="304" t="s">
        <v>718</v>
      </c>
      <c r="E124" s="304" t="s">
        <v>35</v>
      </c>
      <c r="F124" s="304" t="s">
        <v>22</v>
      </c>
      <c r="G124" s="304">
        <v>8.0</v>
      </c>
      <c r="H124" s="306" t="s">
        <v>92</v>
      </c>
      <c r="I124" s="307"/>
      <c r="J124" s="307"/>
      <c r="K124" s="304">
        <v>8.0</v>
      </c>
      <c r="L124" s="296">
        <v>8.0</v>
      </c>
      <c r="M124" s="296"/>
      <c r="N124" s="325">
        <f>K124-L124-M124</f>
        <v>0</v>
      </c>
      <c r="O124" s="277" t="s">
        <v>638</v>
      </c>
      <c r="P124" s="304" t="s">
        <v>70</v>
      </c>
    </row>
    <row r="125">
      <c r="A125" s="322"/>
      <c r="B125" s="304" t="s">
        <v>16</v>
      </c>
      <c r="C125" s="304" t="s">
        <v>717</v>
      </c>
      <c r="D125" s="304" t="s">
        <v>692</v>
      </c>
      <c r="E125" s="304" t="s">
        <v>35</v>
      </c>
      <c r="F125" s="304" t="s">
        <v>19</v>
      </c>
      <c r="G125" s="304">
        <v>19.0</v>
      </c>
      <c r="H125" s="306" t="s">
        <v>92</v>
      </c>
      <c r="I125" s="307"/>
      <c r="J125" s="307"/>
      <c r="K125" s="304">
        <v>39.0</v>
      </c>
      <c r="L125" s="296"/>
      <c r="M125" s="296">
        <v>39.0</v>
      </c>
      <c r="N125" s="325">
        <f>K125-M125</f>
        <v>0</v>
      </c>
      <c r="O125" s="277" t="s">
        <v>635</v>
      </c>
      <c r="P125" s="304" t="s">
        <v>70</v>
      </c>
    </row>
    <row r="126">
      <c r="A126" s="322"/>
      <c r="B126" s="304" t="s">
        <v>16</v>
      </c>
      <c r="C126" s="304" t="s">
        <v>630</v>
      </c>
      <c r="D126" s="304" t="s">
        <v>719</v>
      </c>
      <c r="E126" s="304" t="s">
        <v>34</v>
      </c>
      <c r="F126" s="304" t="s">
        <v>23</v>
      </c>
      <c r="G126" s="304">
        <v>30.0</v>
      </c>
      <c r="H126" s="306" t="s">
        <v>76</v>
      </c>
      <c r="I126" s="307">
        <v>45877.0</v>
      </c>
      <c r="J126" s="307">
        <v>45926.0</v>
      </c>
      <c r="K126" s="304">
        <v>65.0</v>
      </c>
      <c r="L126" s="296">
        <v>30.0</v>
      </c>
      <c r="M126" s="296">
        <v>35.0</v>
      </c>
      <c r="N126" s="325">
        <f>K126-L126-M126</f>
        <v>0</v>
      </c>
      <c r="O126" s="296" t="s">
        <v>720</v>
      </c>
      <c r="P126" s="304" t="s">
        <v>70</v>
      </c>
    </row>
    <row r="127">
      <c r="A127" s="322"/>
      <c r="B127" s="304" t="s">
        <v>17</v>
      </c>
      <c r="C127" s="304" t="s">
        <v>721</v>
      </c>
      <c r="D127" s="304" t="s">
        <v>722</v>
      </c>
      <c r="E127" s="206" t="s">
        <v>35</v>
      </c>
      <c r="F127" s="304" t="s">
        <v>19</v>
      </c>
      <c r="G127" s="304">
        <v>10.0</v>
      </c>
      <c r="H127" s="306" t="s">
        <v>92</v>
      </c>
      <c r="I127" s="323"/>
      <c r="J127" s="323"/>
      <c r="K127" s="304">
        <v>10.0</v>
      </c>
      <c r="L127" s="186">
        <v>0.0</v>
      </c>
      <c r="M127" s="186">
        <v>10.0</v>
      </c>
      <c r="N127" s="189">
        <f t="shared" ref="N127:N128" si="18">K127-M127-L127</f>
        <v>0</v>
      </c>
      <c r="O127" s="186" t="s">
        <v>358</v>
      </c>
      <c r="P127" s="206" t="s">
        <v>70</v>
      </c>
    </row>
    <row r="128">
      <c r="A128" s="322"/>
      <c r="B128" s="324" t="s">
        <v>17</v>
      </c>
      <c r="C128" s="296" t="s">
        <v>723</v>
      </c>
      <c r="D128" s="296" t="s">
        <v>724</v>
      </c>
      <c r="E128" s="296" t="s">
        <v>34</v>
      </c>
      <c r="F128" s="296" t="s">
        <v>23</v>
      </c>
      <c r="G128" s="296">
        <v>35.0</v>
      </c>
      <c r="H128" s="296" t="s">
        <v>76</v>
      </c>
      <c r="I128" s="298">
        <v>45916.0</v>
      </c>
      <c r="J128" s="298">
        <v>45990.0</v>
      </c>
      <c r="K128" s="296">
        <v>85.0</v>
      </c>
      <c r="L128" s="296">
        <v>12.0</v>
      </c>
      <c r="M128" s="297">
        <v>73.0</v>
      </c>
      <c r="N128" s="325">
        <f t="shared" si="18"/>
        <v>0</v>
      </c>
      <c r="O128" s="328" t="s">
        <v>725</v>
      </c>
      <c r="P128" s="297" t="s">
        <v>70</v>
      </c>
    </row>
    <row r="129">
      <c r="A129" s="322"/>
      <c r="B129" s="324" t="s">
        <v>17</v>
      </c>
      <c r="C129" s="296" t="s">
        <v>726</v>
      </c>
      <c r="D129" s="296" t="s">
        <v>727</v>
      </c>
      <c r="E129" s="296" t="s">
        <v>35</v>
      </c>
      <c r="F129" s="296" t="s">
        <v>19</v>
      </c>
      <c r="G129" s="296">
        <v>8.0</v>
      </c>
      <c r="H129" s="296" t="s">
        <v>92</v>
      </c>
      <c r="I129" s="298"/>
      <c r="J129" s="298"/>
      <c r="K129" s="296">
        <v>8.0</v>
      </c>
      <c r="L129" s="296"/>
      <c r="M129" s="296">
        <v>8.0</v>
      </c>
      <c r="N129" s="325">
        <f t="shared" ref="N129:N130" si="19">K129-M129</f>
        <v>0</v>
      </c>
      <c r="O129" s="186" t="s">
        <v>638</v>
      </c>
      <c r="P129" s="297" t="s">
        <v>70</v>
      </c>
    </row>
    <row r="130">
      <c r="A130" s="322"/>
      <c r="B130" s="324" t="s">
        <v>17</v>
      </c>
      <c r="C130" s="296" t="s">
        <v>726</v>
      </c>
      <c r="D130" s="296" t="s">
        <v>728</v>
      </c>
      <c r="E130" s="296" t="s">
        <v>35</v>
      </c>
      <c r="F130" s="296" t="s">
        <v>23</v>
      </c>
      <c r="G130" s="296">
        <v>10.0</v>
      </c>
      <c r="H130" s="296" t="s">
        <v>92</v>
      </c>
      <c r="I130" s="298"/>
      <c r="J130" s="298"/>
      <c r="K130" s="296">
        <v>10.0</v>
      </c>
      <c r="L130" s="296"/>
      <c r="M130" s="296">
        <v>10.0</v>
      </c>
      <c r="N130" s="325">
        <f t="shared" si="19"/>
        <v>0</v>
      </c>
      <c r="O130" s="277" t="s">
        <v>635</v>
      </c>
      <c r="P130" s="297" t="s">
        <v>70</v>
      </c>
    </row>
    <row r="131">
      <c r="A131" s="322"/>
      <c r="B131" s="304" t="s">
        <v>16</v>
      </c>
      <c r="C131" s="304" t="s">
        <v>729</v>
      </c>
      <c r="D131" s="304" t="s">
        <v>730</v>
      </c>
      <c r="E131" s="304" t="s">
        <v>34</v>
      </c>
      <c r="F131" s="304" t="s">
        <v>19</v>
      </c>
      <c r="G131" s="304">
        <v>20.0</v>
      </c>
      <c r="H131" s="306" t="s">
        <v>76</v>
      </c>
      <c r="I131" s="307">
        <v>45875.0</v>
      </c>
      <c r="J131" s="307">
        <v>45889.0</v>
      </c>
      <c r="K131" s="304">
        <v>40.0</v>
      </c>
      <c r="L131" s="296">
        <v>20.0</v>
      </c>
      <c r="M131" s="296">
        <v>20.0</v>
      </c>
      <c r="N131" s="325">
        <f>K131-M131-L131</f>
        <v>0</v>
      </c>
      <c r="O131" s="296" t="s">
        <v>700</v>
      </c>
      <c r="P131" s="304" t="s">
        <v>70</v>
      </c>
    </row>
    <row r="132">
      <c r="A132" s="294"/>
      <c r="B132" s="187" t="s">
        <v>16</v>
      </c>
      <c r="C132" s="186" t="s">
        <v>636</v>
      </c>
      <c r="D132" s="186" t="s">
        <v>731</v>
      </c>
      <c r="E132" s="186" t="s">
        <v>35</v>
      </c>
      <c r="F132" s="296" t="s">
        <v>23</v>
      </c>
      <c r="G132" s="186">
        <v>13.0</v>
      </c>
      <c r="H132" s="296" t="s">
        <v>92</v>
      </c>
      <c r="I132" s="298"/>
      <c r="J132" s="298"/>
      <c r="K132" s="186">
        <v>13.0</v>
      </c>
      <c r="L132" s="186">
        <v>13.0</v>
      </c>
      <c r="M132" s="186"/>
      <c r="N132" s="189">
        <f t="shared" ref="N132:N133" si="20">K132-L132-M132</f>
        <v>0</v>
      </c>
      <c r="O132" s="186" t="s">
        <v>561</v>
      </c>
      <c r="P132" s="201" t="s">
        <v>70</v>
      </c>
    </row>
    <row r="133">
      <c r="A133" s="294"/>
      <c r="B133" s="206" t="s">
        <v>16</v>
      </c>
      <c r="C133" s="206" t="s">
        <v>645</v>
      </c>
      <c r="D133" s="206" t="s">
        <v>732</v>
      </c>
      <c r="E133" s="206" t="s">
        <v>35</v>
      </c>
      <c r="F133" s="304" t="s">
        <v>21</v>
      </c>
      <c r="G133" s="206">
        <v>8.0</v>
      </c>
      <c r="H133" s="304" t="s">
        <v>92</v>
      </c>
      <c r="I133" s="307"/>
      <c r="J133" s="307"/>
      <c r="K133" s="206">
        <v>8.0</v>
      </c>
      <c r="L133" s="186"/>
      <c r="M133" s="186">
        <v>8.0</v>
      </c>
      <c r="N133" s="189">
        <f t="shared" si="20"/>
        <v>0</v>
      </c>
      <c r="O133" s="186" t="s">
        <v>552</v>
      </c>
      <c r="P133" s="205" t="s">
        <v>70</v>
      </c>
    </row>
    <row r="134">
      <c r="A134" s="331"/>
      <c r="B134" s="324" t="s">
        <v>17</v>
      </c>
      <c r="C134" s="296" t="s">
        <v>733</v>
      </c>
      <c r="D134" s="296" t="s">
        <v>701</v>
      </c>
      <c r="E134" s="296" t="s">
        <v>35</v>
      </c>
      <c r="F134" s="296" t="s">
        <v>23</v>
      </c>
      <c r="G134" s="296">
        <v>8.0</v>
      </c>
      <c r="H134" s="296" t="s">
        <v>92</v>
      </c>
      <c r="I134" s="298"/>
      <c r="J134" s="298"/>
      <c r="K134" s="296">
        <v>8.0</v>
      </c>
      <c r="L134" s="296"/>
      <c r="M134" s="296">
        <v>8.0</v>
      </c>
      <c r="N134" s="325">
        <f>K134-M134-L134</f>
        <v>0</v>
      </c>
      <c r="O134" s="277" t="s">
        <v>635</v>
      </c>
      <c r="P134" s="297" t="s">
        <v>70</v>
      </c>
    </row>
    <row r="135">
      <c r="A135" s="331"/>
      <c r="B135" s="324" t="s">
        <v>17</v>
      </c>
      <c r="C135" s="296" t="s">
        <v>726</v>
      </c>
      <c r="D135" s="296" t="s">
        <v>734</v>
      </c>
      <c r="E135" s="296" t="s">
        <v>35</v>
      </c>
      <c r="F135" s="296" t="s">
        <v>19</v>
      </c>
      <c r="G135" s="296">
        <v>19.0</v>
      </c>
      <c r="H135" s="296" t="s">
        <v>92</v>
      </c>
      <c r="I135" s="298"/>
      <c r="J135" s="298"/>
      <c r="K135" s="296">
        <v>39.0</v>
      </c>
      <c r="L135" s="296"/>
      <c r="M135" s="297">
        <v>37.0</v>
      </c>
      <c r="N135" s="325">
        <f>K135-L135-M135</f>
        <v>2</v>
      </c>
      <c r="O135" s="277" t="s">
        <v>635</v>
      </c>
      <c r="P135" s="297" t="s">
        <v>70</v>
      </c>
    </row>
    <row r="136">
      <c r="A136" s="331"/>
      <c r="B136" s="304" t="s">
        <v>17</v>
      </c>
      <c r="C136" s="304" t="s">
        <v>735</v>
      </c>
      <c r="D136" s="304" t="s">
        <v>702</v>
      </c>
      <c r="E136" s="206" t="s">
        <v>35</v>
      </c>
      <c r="F136" s="304" t="s">
        <v>23</v>
      </c>
      <c r="G136" s="304">
        <v>10.0</v>
      </c>
      <c r="H136" s="306" t="s">
        <v>92</v>
      </c>
      <c r="I136" s="323"/>
      <c r="J136" s="323"/>
      <c r="K136" s="304">
        <v>10.0</v>
      </c>
      <c r="L136" s="186">
        <v>0.0</v>
      </c>
      <c r="M136" s="201">
        <v>10.0</v>
      </c>
      <c r="N136" s="189">
        <f>K136-M136-L136</f>
        <v>0</v>
      </c>
      <c r="O136" s="186" t="s">
        <v>358</v>
      </c>
      <c r="P136" s="206" t="s">
        <v>70</v>
      </c>
    </row>
    <row r="137">
      <c r="A137" s="294"/>
      <c r="B137" s="187" t="s">
        <v>15</v>
      </c>
      <c r="C137" s="186" t="s">
        <v>659</v>
      </c>
      <c r="D137" s="168" t="s">
        <v>736</v>
      </c>
      <c r="E137" s="186" t="s">
        <v>35</v>
      </c>
      <c r="F137" s="296" t="s">
        <v>23</v>
      </c>
      <c r="G137" s="186">
        <v>10.0</v>
      </c>
      <c r="H137" s="297" t="s">
        <v>92</v>
      </c>
      <c r="I137" s="298"/>
      <c r="J137" s="298"/>
      <c r="K137" s="186">
        <v>10.0</v>
      </c>
      <c r="L137" s="186"/>
      <c r="M137" s="201">
        <v>10.0</v>
      </c>
      <c r="N137" s="189">
        <f t="shared" ref="N137:N140" si="21">K137-L137-M137</f>
        <v>0</v>
      </c>
      <c r="O137" s="186" t="s">
        <v>687</v>
      </c>
      <c r="P137" s="201" t="s">
        <v>70</v>
      </c>
    </row>
    <row r="138">
      <c r="A138" s="294"/>
      <c r="B138" s="187" t="s">
        <v>15</v>
      </c>
      <c r="C138" s="186" t="s">
        <v>659</v>
      </c>
      <c r="D138" s="168" t="s">
        <v>737</v>
      </c>
      <c r="E138" s="186" t="s">
        <v>35</v>
      </c>
      <c r="F138" s="296" t="s">
        <v>23</v>
      </c>
      <c r="G138" s="186">
        <v>13.0</v>
      </c>
      <c r="H138" s="297" t="s">
        <v>92</v>
      </c>
      <c r="I138" s="298"/>
      <c r="J138" s="298"/>
      <c r="K138" s="186">
        <v>13.0</v>
      </c>
      <c r="L138" s="186"/>
      <c r="M138" s="201">
        <v>13.0</v>
      </c>
      <c r="N138" s="189">
        <f t="shared" si="21"/>
        <v>0</v>
      </c>
      <c r="O138" s="186" t="s">
        <v>687</v>
      </c>
      <c r="P138" s="201" t="s">
        <v>70</v>
      </c>
    </row>
    <row r="139">
      <c r="A139" s="322"/>
      <c r="B139" s="304" t="s">
        <v>17</v>
      </c>
      <c r="C139" s="304" t="s">
        <v>601</v>
      </c>
      <c r="D139" s="304" t="s">
        <v>738</v>
      </c>
      <c r="E139" s="206" t="s">
        <v>34</v>
      </c>
      <c r="F139" s="304" t="s">
        <v>21</v>
      </c>
      <c r="G139" s="304">
        <v>20.0</v>
      </c>
      <c r="H139" s="306" t="s">
        <v>92</v>
      </c>
      <c r="I139" s="307">
        <v>45979.0</v>
      </c>
      <c r="J139" s="307">
        <v>45979.0</v>
      </c>
      <c r="K139" s="304">
        <v>40.0</v>
      </c>
      <c r="L139" s="186"/>
      <c r="M139" s="201">
        <v>40.0</v>
      </c>
      <c r="N139" s="189">
        <f t="shared" si="21"/>
        <v>0</v>
      </c>
      <c r="O139" s="186" t="s">
        <v>597</v>
      </c>
      <c r="P139" s="205" t="s">
        <v>70</v>
      </c>
    </row>
    <row r="140">
      <c r="A140" s="302"/>
      <c r="B140" s="299" t="s">
        <v>17</v>
      </c>
      <c r="C140" s="299" t="s">
        <v>739</v>
      </c>
      <c r="D140" s="299" t="s">
        <v>740</v>
      </c>
      <c r="E140" s="181" t="s">
        <v>34</v>
      </c>
      <c r="F140" s="299" t="s">
        <v>19</v>
      </c>
      <c r="G140" s="299">
        <v>30.0</v>
      </c>
      <c r="H140" s="326" t="s">
        <v>76</v>
      </c>
      <c r="I140" s="332">
        <v>45916.0</v>
      </c>
      <c r="J140" s="332">
        <v>45965.0</v>
      </c>
      <c r="K140" s="299">
        <v>65.0</v>
      </c>
      <c r="L140" s="207"/>
      <c r="M140" s="205">
        <v>65.0</v>
      </c>
      <c r="N140" s="212">
        <f t="shared" si="21"/>
        <v>0</v>
      </c>
      <c r="O140" s="229" t="s">
        <v>597</v>
      </c>
      <c r="P140" s="139" t="s">
        <v>70</v>
      </c>
    </row>
    <row r="141">
      <c r="A141" s="302"/>
      <c r="B141" s="317" t="s">
        <v>17</v>
      </c>
      <c r="C141" s="299" t="s">
        <v>653</v>
      </c>
      <c r="D141" s="299" t="s">
        <v>741</v>
      </c>
      <c r="E141" s="141" t="s">
        <v>35</v>
      </c>
      <c r="F141" s="317" t="s">
        <v>20</v>
      </c>
      <c r="G141" s="299">
        <v>19.0</v>
      </c>
      <c r="H141" s="173" t="s">
        <v>92</v>
      </c>
      <c r="I141" s="301"/>
      <c r="J141" s="301"/>
      <c r="K141" s="299">
        <v>39.0</v>
      </c>
      <c r="L141" s="207">
        <v>0.0</v>
      </c>
      <c r="M141" s="205">
        <v>39.0</v>
      </c>
      <c r="N141" s="212">
        <f>K141-M141-L141</f>
        <v>0</v>
      </c>
      <c r="O141" s="207" t="s">
        <v>358</v>
      </c>
      <c r="P141" s="139" t="s">
        <v>70</v>
      </c>
    </row>
    <row r="142">
      <c r="A142" s="322"/>
      <c r="B142" s="324" t="s">
        <v>16</v>
      </c>
      <c r="C142" s="296" t="s">
        <v>648</v>
      </c>
      <c r="D142" s="168" t="s">
        <v>742</v>
      </c>
      <c r="E142" s="296" t="s">
        <v>34</v>
      </c>
      <c r="F142" s="296" t="s">
        <v>23</v>
      </c>
      <c r="G142" s="296">
        <v>19.0</v>
      </c>
      <c r="H142" s="297" t="s">
        <v>92</v>
      </c>
      <c r="I142" s="298"/>
      <c r="J142" s="298"/>
      <c r="K142" s="296">
        <v>39.0</v>
      </c>
      <c r="L142" s="296"/>
      <c r="M142" s="297">
        <v>39.0</v>
      </c>
      <c r="N142" s="325">
        <f>K142-L142-M142</f>
        <v>0</v>
      </c>
      <c r="O142" s="328" t="s">
        <v>561</v>
      </c>
      <c r="P142" s="297" t="s">
        <v>70</v>
      </c>
    </row>
    <row r="143">
      <c r="A143" s="294"/>
      <c r="B143" s="187" t="s">
        <v>16</v>
      </c>
      <c r="C143" s="186" t="s">
        <v>648</v>
      </c>
      <c r="D143" s="168" t="s">
        <v>697</v>
      </c>
      <c r="E143" s="186" t="s">
        <v>35</v>
      </c>
      <c r="F143" s="296" t="s">
        <v>19</v>
      </c>
      <c r="G143" s="186">
        <v>10.0</v>
      </c>
      <c r="H143" s="297" t="s">
        <v>92</v>
      </c>
      <c r="I143" s="298"/>
      <c r="J143" s="298"/>
      <c r="K143" s="186">
        <v>10.0</v>
      </c>
      <c r="L143" s="186"/>
      <c r="M143" s="201">
        <v>10.0</v>
      </c>
      <c r="N143" s="201">
        <v>0.0</v>
      </c>
      <c r="O143" s="328" t="s">
        <v>673</v>
      </c>
      <c r="P143" s="201" t="s">
        <v>70</v>
      </c>
    </row>
    <row r="144">
      <c r="A144" s="322"/>
      <c r="B144" s="304" t="s">
        <v>16</v>
      </c>
      <c r="C144" s="304" t="s">
        <v>648</v>
      </c>
      <c r="D144" s="304" t="s">
        <v>692</v>
      </c>
      <c r="E144" s="304" t="s">
        <v>35</v>
      </c>
      <c r="F144" s="304" t="s">
        <v>19</v>
      </c>
      <c r="G144" s="304">
        <v>19.0</v>
      </c>
      <c r="H144" s="306" t="s">
        <v>92</v>
      </c>
      <c r="I144" s="307"/>
      <c r="J144" s="307"/>
      <c r="K144" s="304">
        <v>39.0</v>
      </c>
      <c r="L144" s="296"/>
      <c r="M144" s="297">
        <v>39.0</v>
      </c>
      <c r="N144" s="325">
        <f>0</f>
        <v>0</v>
      </c>
      <c r="O144" s="277" t="s">
        <v>635</v>
      </c>
      <c r="P144" s="304" t="s">
        <v>70</v>
      </c>
    </row>
    <row r="145">
      <c r="A145" s="294"/>
      <c r="B145" s="187" t="s">
        <v>15</v>
      </c>
      <c r="C145" s="186" t="s">
        <v>743</v>
      </c>
      <c r="D145" s="168" t="s">
        <v>744</v>
      </c>
      <c r="E145" s="186" t="s">
        <v>35</v>
      </c>
      <c r="F145" s="296" t="s">
        <v>20</v>
      </c>
      <c r="G145" s="186">
        <v>8.0</v>
      </c>
      <c r="H145" s="297" t="s">
        <v>92</v>
      </c>
      <c r="I145" s="298"/>
      <c r="J145" s="298"/>
      <c r="K145" s="186">
        <v>8.0</v>
      </c>
      <c r="L145" s="186"/>
      <c r="M145" s="201">
        <v>8.0</v>
      </c>
      <c r="N145" s="189">
        <f>K145-M145</f>
        <v>0</v>
      </c>
      <c r="O145" s="186" t="s">
        <v>579</v>
      </c>
      <c r="P145" s="201" t="s">
        <v>70</v>
      </c>
    </row>
    <row r="146">
      <c r="A146" s="294"/>
      <c r="B146" s="187" t="s">
        <v>15</v>
      </c>
      <c r="C146" s="186" t="s">
        <v>685</v>
      </c>
      <c r="D146" s="168" t="s">
        <v>745</v>
      </c>
      <c r="E146" s="186" t="s">
        <v>35</v>
      </c>
      <c r="F146" s="296" t="s">
        <v>21</v>
      </c>
      <c r="G146" s="186">
        <v>19.0</v>
      </c>
      <c r="H146" s="297" t="s">
        <v>92</v>
      </c>
      <c r="I146" s="298"/>
      <c r="J146" s="298"/>
      <c r="K146" s="186">
        <v>39.0</v>
      </c>
      <c r="L146" s="186"/>
      <c r="M146" s="201">
        <v>39.0</v>
      </c>
      <c r="N146" s="189">
        <f>K146-L146-M146</f>
        <v>0</v>
      </c>
      <c r="O146" s="186" t="s">
        <v>561</v>
      </c>
      <c r="P146" s="201" t="s">
        <v>70</v>
      </c>
    </row>
    <row r="147">
      <c r="A147" s="228"/>
      <c r="B147" s="322"/>
      <c r="C147" s="186"/>
      <c r="D147" s="186"/>
      <c r="E147" s="186"/>
      <c r="F147" s="333"/>
      <c r="G147" s="186"/>
      <c r="H147" s="334"/>
      <c r="I147" s="188"/>
      <c r="J147" s="188"/>
      <c r="K147" s="186"/>
      <c r="L147" s="190"/>
      <c r="M147" s="186"/>
      <c r="N147" s="189"/>
      <c r="O147" s="186"/>
      <c r="P147" s="186"/>
    </row>
    <row r="148">
      <c r="A148" s="294"/>
      <c r="B148" s="187" t="s">
        <v>15</v>
      </c>
      <c r="C148" s="186" t="s">
        <v>674</v>
      </c>
      <c r="D148" s="168" t="s">
        <v>546</v>
      </c>
      <c r="E148" s="186" t="s">
        <v>35</v>
      </c>
      <c r="F148" s="296" t="s">
        <v>19</v>
      </c>
      <c r="G148" s="186">
        <v>10.0</v>
      </c>
      <c r="H148" s="297" t="s">
        <v>92</v>
      </c>
      <c r="I148" s="298"/>
      <c r="J148" s="298"/>
      <c r="K148" s="186">
        <v>10.0</v>
      </c>
      <c r="L148" s="186"/>
      <c r="M148" s="201">
        <v>10.0</v>
      </c>
      <c r="N148" s="189">
        <f t="shared" ref="N148:N149" si="22">K148-M148</f>
        <v>0</v>
      </c>
      <c r="O148" s="186" t="s">
        <v>547</v>
      </c>
      <c r="P148" s="201" t="s">
        <v>70</v>
      </c>
    </row>
    <row r="149">
      <c r="A149" s="294"/>
      <c r="B149" s="187" t="s">
        <v>15</v>
      </c>
      <c r="C149" s="186" t="s">
        <v>628</v>
      </c>
      <c r="D149" s="168" t="s">
        <v>534</v>
      </c>
      <c r="E149" s="186" t="s">
        <v>35</v>
      </c>
      <c r="F149" s="296" t="s">
        <v>23</v>
      </c>
      <c r="G149" s="186">
        <v>10.0</v>
      </c>
      <c r="H149" s="297" t="s">
        <v>92</v>
      </c>
      <c r="I149" s="298"/>
      <c r="J149" s="298"/>
      <c r="K149" s="186">
        <v>10.0</v>
      </c>
      <c r="L149" s="186"/>
      <c r="M149" s="201">
        <v>10.0</v>
      </c>
      <c r="N149" s="189">
        <f t="shared" si="22"/>
        <v>0</v>
      </c>
      <c r="O149" s="186" t="s">
        <v>746</v>
      </c>
      <c r="P149" s="201" t="s">
        <v>70</v>
      </c>
    </row>
    <row r="150">
      <c r="A150" s="322"/>
      <c r="B150" s="304" t="s">
        <v>17</v>
      </c>
      <c r="C150" s="304" t="s">
        <v>653</v>
      </c>
      <c r="D150" s="304" t="s">
        <v>747</v>
      </c>
      <c r="E150" s="206" t="s">
        <v>35</v>
      </c>
      <c r="F150" s="304" t="s">
        <v>20</v>
      </c>
      <c r="G150" s="304">
        <v>10.0</v>
      </c>
      <c r="H150" s="306" t="s">
        <v>92</v>
      </c>
      <c r="I150" s="307"/>
      <c r="J150" s="307"/>
      <c r="K150" s="304">
        <v>10.0</v>
      </c>
      <c r="L150" s="186"/>
      <c r="M150" s="201">
        <v>10.0</v>
      </c>
      <c r="N150" s="189">
        <f>K150-L150-M150</f>
        <v>0</v>
      </c>
      <c r="O150" s="186" t="s">
        <v>535</v>
      </c>
      <c r="P150" s="205" t="s">
        <v>70</v>
      </c>
    </row>
    <row r="151">
      <c r="A151" s="228"/>
      <c r="B151" s="322"/>
      <c r="C151" s="186"/>
      <c r="D151" s="186"/>
      <c r="E151" s="186"/>
      <c r="F151" s="189"/>
      <c r="G151" s="186"/>
      <c r="H151" s="186"/>
      <c r="I151" s="188"/>
      <c r="J151" s="188"/>
      <c r="K151" s="186"/>
      <c r="L151" s="190"/>
      <c r="M151" s="186"/>
      <c r="N151" s="189"/>
      <c r="O151" s="186"/>
      <c r="P151" s="186"/>
    </row>
    <row r="152">
      <c r="A152" s="294"/>
      <c r="B152" s="187" t="s">
        <v>15</v>
      </c>
      <c r="C152" s="186" t="s">
        <v>748</v>
      </c>
      <c r="D152" s="168" t="s">
        <v>749</v>
      </c>
      <c r="E152" s="186" t="s">
        <v>34</v>
      </c>
      <c r="F152" s="296" t="s">
        <v>21</v>
      </c>
      <c r="G152" s="186">
        <v>20.0</v>
      </c>
      <c r="H152" s="297" t="s">
        <v>92</v>
      </c>
      <c r="I152" s="298">
        <v>45987.0</v>
      </c>
      <c r="J152" s="298">
        <v>46001.0</v>
      </c>
      <c r="K152" s="186">
        <v>40.0</v>
      </c>
      <c r="L152" s="186"/>
      <c r="M152" s="201">
        <v>40.0</v>
      </c>
      <c r="N152" s="189">
        <f t="shared" ref="N152:N154" si="23">K152-L152-M152</f>
        <v>0</v>
      </c>
      <c r="O152" s="186" t="s">
        <v>750</v>
      </c>
      <c r="P152" s="201" t="s">
        <v>70</v>
      </c>
    </row>
    <row r="153">
      <c r="A153" s="302"/>
      <c r="B153" s="299" t="s">
        <v>18</v>
      </c>
      <c r="C153" s="299" t="s">
        <v>751</v>
      </c>
      <c r="D153" s="300" t="s">
        <v>537</v>
      </c>
      <c r="E153" s="299" t="s">
        <v>35</v>
      </c>
      <c r="F153" s="299" t="s">
        <v>19</v>
      </c>
      <c r="G153" s="299">
        <v>12.0</v>
      </c>
      <c r="H153" s="173" t="s">
        <v>92</v>
      </c>
      <c r="I153" s="301"/>
      <c r="J153" s="301"/>
      <c r="K153" s="299">
        <v>16.0</v>
      </c>
      <c r="L153" s="302"/>
      <c r="M153" s="303">
        <v>16.0</v>
      </c>
      <c r="N153" s="201">
        <f t="shared" si="23"/>
        <v>0</v>
      </c>
      <c r="O153" s="206" t="s">
        <v>538</v>
      </c>
      <c r="P153" s="299" t="s">
        <v>70</v>
      </c>
    </row>
    <row r="154">
      <c r="A154" s="302"/>
      <c r="B154" s="299" t="s">
        <v>18</v>
      </c>
      <c r="C154" s="299" t="s">
        <v>572</v>
      </c>
      <c r="D154" s="300" t="s">
        <v>537</v>
      </c>
      <c r="E154" s="299" t="s">
        <v>35</v>
      </c>
      <c r="F154" s="299" t="s">
        <v>19</v>
      </c>
      <c r="G154" s="299">
        <v>12.0</v>
      </c>
      <c r="H154" s="173" t="s">
        <v>92</v>
      </c>
      <c r="I154" s="301"/>
      <c r="J154" s="301"/>
      <c r="K154" s="299">
        <v>16.0</v>
      </c>
      <c r="L154" s="302"/>
      <c r="M154" s="303">
        <v>16.0</v>
      </c>
      <c r="N154" s="201">
        <f t="shared" si="23"/>
        <v>0</v>
      </c>
      <c r="O154" s="206" t="s">
        <v>538</v>
      </c>
      <c r="P154" s="299" t="s">
        <v>70</v>
      </c>
    </row>
    <row r="155">
      <c r="A155" s="228"/>
      <c r="B155" s="322"/>
      <c r="C155" s="186"/>
      <c r="D155" s="186"/>
      <c r="E155" s="186"/>
      <c r="F155" s="296"/>
      <c r="G155" s="186"/>
      <c r="H155" s="186"/>
      <c r="I155" s="188"/>
      <c r="J155" s="188"/>
      <c r="K155" s="186"/>
      <c r="L155" s="186"/>
      <c r="M155" s="186"/>
      <c r="N155" s="189"/>
      <c r="O155" s="186"/>
      <c r="P155" s="296"/>
    </row>
    <row r="156" ht="36.75" customHeight="1">
      <c r="A156" s="186"/>
      <c r="B156" s="187"/>
      <c r="C156" s="186"/>
      <c r="D156" s="186"/>
      <c r="E156" s="186"/>
      <c r="F156" s="186"/>
      <c r="G156" s="186"/>
      <c r="H156" s="186"/>
      <c r="I156" s="188"/>
      <c r="J156" s="188"/>
      <c r="K156" s="186"/>
      <c r="L156" s="190"/>
      <c r="M156" s="186"/>
      <c r="N156" s="189"/>
      <c r="O156" s="186"/>
      <c r="P156" s="201"/>
    </row>
    <row r="157" ht="36.75" customHeight="1">
      <c r="A157" s="186"/>
      <c r="B157" s="187"/>
      <c r="C157" s="186"/>
      <c r="D157" s="186"/>
      <c r="E157" s="186"/>
      <c r="F157" s="186"/>
      <c r="G157" s="186"/>
      <c r="H157" s="186"/>
      <c r="I157" s="188"/>
      <c r="J157" s="188"/>
      <c r="K157" s="186"/>
      <c r="L157" s="190"/>
      <c r="M157" s="186"/>
      <c r="N157" s="189"/>
      <c r="O157" s="186"/>
      <c r="P157" s="201"/>
    </row>
    <row r="158">
      <c r="A158" s="322"/>
      <c r="B158" s="304" t="s">
        <v>17</v>
      </c>
      <c r="C158" s="304" t="s">
        <v>752</v>
      </c>
      <c r="D158" s="304" t="s">
        <v>753</v>
      </c>
      <c r="E158" s="206" t="s">
        <v>35</v>
      </c>
      <c r="F158" s="304" t="s">
        <v>20</v>
      </c>
      <c r="G158" s="304">
        <v>10.0</v>
      </c>
      <c r="H158" s="306" t="s">
        <v>92</v>
      </c>
      <c r="I158" s="323"/>
      <c r="J158" s="323"/>
      <c r="K158" s="304">
        <v>10.0</v>
      </c>
      <c r="L158" s="186">
        <v>0.0</v>
      </c>
      <c r="M158" s="186">
        <v>0.0</v>
      </c>
      <c r="N158" s="189">
        <f t="shared" ref="N158:N160" si="24">K158-M158-L158</f>
        <v>10</v>
      </c>
      <c r="O158" s="186" t="s">
        <v>754</v>
      </c>
      <c r="P158" s="206" t="s">
        <v>100</v>
      </c>
    </row>
    <row r="159">
      <c r="A159" s="322"/>
      <c r="B159" s="304" t="s">
        <v>17</v>
      </c>
      <c r="C159" s="304" t="s">
        <v>752</v>
      </c>
      <c r="D159" s="304" t="s">
        <v>755</v>
      </c>
      <c r="E159" s="206" t="s">
        <v>35</v>
      </c>
      <c r="F159" s="304" t="s">
        <v>20</v>
      </c>
      <c r="G159" s="304">
        <v>8.0</v>
      </c>
      <c r="H159" s="306" t="s">
        <v>92</v>
      </c>
      <c r="I159" s="323"/>
      <c r="J159" s="323"/>
      <c r="K159" s="304">
        <v>8.0</v>
      </c>
      <c r="L159" s="186">
        <v>0.0</v>
      </c>
      <c r="M159" s="186">
        <v>0.0</v>
      </c>
      <c r="N159" s="189">
        <f t="shared" si="24"/>
        <v>8</v>
      </c>
      <c r="O159" s="186" t="s">
        <v>756</v>
      </c>
      <c r="P159" s="206" t="s">
        <v>100</v>
      </c>
    </row>
    <row r="160">
      <c r="A160" s="335"/>
      <c r="B160" s="317" t="s">
        <v>17</v>
      </c>
      <c r="C160" s="317" t="s">
        <v>752</v>
      </c>
      <c r="D160" s="299" t="s">
        <v>757</v>
      </c>
      <c r="E160" s="141" t="s">
        <v>35</v>
      </c>
      <c r="F160" s="317" t="s">
        <v>20</v>
      </c>
      <c r="G160" s="317">
        <v>8.0</v>
      </c>
      <c r="H160" s="173" t="s">
        <v>92</v>
      </c>
      <c r="I160" s="336"/>
      <c r="J160" s="336"/>
      <c r="K160" s="317">
        <v>8.0</v>
      </c>
      <c r="L160" s="207">
        <v>0.0</v>
      </c>
      <c r="M160" s="206">
        <v>0.0</v>
      </c>
      <c r="N160" s="212">
        <f t="shared" si="24"/>
        <v>8</v>
      </c>
      <c r="O160" s="186" t="s">
        <v>758</v>
      </c>
      <c r="P160" s="141" t="s">
        <v>100</v>
      </c>
    </row>
    <row r="161">
      <c r="A161" s="322"/>
      <c r="B161" s="324" t="s">
        <v>17</v>
      </c>
      <c r="C161" s="296" t="s">
        <v>365</v>
      </c>
      <c r="D161" s="296" t="s">
        <v>759</v>
      </c>
      <c r="E161" s="296" t="s">
        <v>35</v>
      </c>
      <c r="F161" s="296" t="s">
        <v>23</v>
      </c>
      <c r="G161" s="296">
        <v>10.0</v>
      </c>
      <c r="H161" s="296" t="s">
        <v>92</v>
      </c>
      <c r="I161" s="298"/>
      <c r="J161" s="298"/>
      <c r="K161" s="296">
        <v>10.0</v>
      </c>
      <c r="L161" s="296"/>
      <c r="M161" s="296"/>
      <c r="N161" s="325"/>
      <c r="O161" s="337" t="s">
        <v>635</v>
      </c>
      <c r="P161" s="297" t="s">
        <v>100</v>
      </c>
    </row>
    <row r="162">
      <c r="A162" s="322"/>
      <c r="B162" s="324" t="s">
        <v>17</v>
      </c>
      <c r="C162" s="296" t="s">
        <v>365</v>
      </c>
      <c r="D162" s="296" t="s">
        <v>760</v>
      </c>
      <c r="E162" s="296" t="s">
        <v>35</v>
      </c>
      <c r="F162" s="296" t="s">
        <v>21</v>
      </c>
      <c r="G162" s="296">
        <v>8.0</v>
      </c>
      <c r="H162" s="296" t="s">
        <v>92</v>
      </c>
      <c r="I162" s="298"/>
      <c r="J162" s="298"/>
      <c r="K162" s="296">
        <v>8.0</v>
      </c>
      <c r="L162" s="296"/>
      <c r="M162" s="296"/>
      <c r="N162" s="325"/>
      <c r="O162" s="276" t="s">
        <v>635</v>
      </c>
      <c r="P162" s="297" t="s">
        <v>100</v>
      </c>
    </row>
    <row r="163">
      <c r="A163" s="322"/>
      <c r="B163" s="304" t="s">
        <v>17</v>
      </c>
      <c r="C163" s="304" t="s">
        <v>761</v>
      </c>
      <c r="D163" s="304" t="s">
        <v>762</v>
      </c>
      <c r="E163" s="206" t="s">
        <v>35</v>
      </c>
      <c r="F163" s="304" t="s">
        <v>20</v>
      </c>
      <c r="G163" s="304">
        <v>11.0</v>
      </c>
      <c r="H163" s="306" t="s">
        <v>92</v>
      </c>
      <c r="I163" s="323"/>
      <c r="J163" s="323"/>
      <c r="K163" s="304">
        <v>13.0</v>
      </c>
      <c r="L163" s="186">
        <v>0.0</v>
      </c>
      <c r="M163" s="186">
        <v>2.0</v>
      </c>
      <c r="N163" s="189">
        <f>K163-M163-L163</f>
        <v>11</v>
      </c>
      <c r="O163" s="186" t="s">
        <v>763</v>
      </c>
      <c r="P163" s="206" t="s">
        <v>100</v>
      </c>
    </row>
    <row r="164">
      <c r="A164" s="322"/>
      <c r="B164" s="324" t="s">
        <v>17</v>
      </c>
      <c r="C164" s="296" t="s">
        <v>764</v>
      </c>
      <c r="D164" s="296" t="s">
        <v>728</v>
      </c>
      <c r="E164" s="296" t="s">
        <v>35</v>
      </c>
      <c r="F164" s="296" t="s">
        <v>23</v>
      </c>
      <c r="G164" s="296">
        <v>10.0</v>
      </c>
      <c r="H164" s="296" t="s">
        <v>92</v>
      </c>
      <c r="I164" s="298"/>
      <c r="J164" s="298"/>
      <c r="K164" s="296">
        <v>10.0</v>
      </c>
      <c r="L164" s="296"/>
      <c r="M164" s="296"/>
      <c r="N164" s="325"/>
      <c r="O164" s="276" t="s">
        <v>635</v>
      </c>
      <c r="P164" s="297" t="s">
        <v>100</v>
      </c>
    </row>
    <row r="165">
      <c r="A165" s="294"/>
      <c r="B165" s="187" t="s">
        <v>17</v>
      </c>
      <c r="C165" s="186" t="s">
        <v>764</v>
      </c>
      <c r="D165" s="186" t="s">
        <v>765</v>
      </c>
      <c r="E165" s="186" t="s">
        <v>35</v>
      </c>
      <c r="F165" s="296" t="s">
        <v>23</v>
      </c>
      <c r="G165" s="186">
        <v>10.0</v>
      </c>
      <c r="H165" s="296" t="s">
        <v>92</v>
      </c>
      <c r="I165" s="298"/>
      <c r="J165" s="298"/>
      <c r="K165" s="186">
        <v>10.0</v>
      </c>
      <c r="L165" s="186"/>
      <c r="M165" s="186"/>
      <c r="N165" s="189"/>
      <c r="O165" s="337" t="s">
        <v>673</v>
      </c>
      <c r="P165" s="201" t="s">
        <v>100</v>
      </c>
    </row>
    <row r="166">
      <c r="A166" s="322"/>
      <c r="B166" s="324" t="s">
        <v>17</v>
      </c>
      <c r="C166" s="296" t="s">
        <v>764</v>
      </c>
      <c r="D166" s="296" t="s">
        <v>766</v>
      </c>
      <c r="E166" s="296" t="s">
        <v>35</v>
      </c>
      <c r="F166" s="296" t="s">
        <v>23</v>
      </c>
      <c r="G166" s="296">
        <v>10.0</v>
      </c>
      <c r="H166" s="296" t="s">
        <v>92</v>
      </c>
      <c r="I166" s="298"/>
      <c r="J166" s="298"/>
      <c r="K166" s="296">
        <v>10.0</v>
      </c>
      <c r="L166" s="296"/>
      <c r="M166" s="296"/>
      <c r="N166" s="325"/>
      <c r="O166" s="276" t="s">
        <v>635</v>
      </c>
      <c r="P166" s="297" t="s">
        <v>100</v>
      </c>
    </row>
    <row r="167">
      <c r="A167" s="294"/>
      <c r="B167" s="206" t="s">
        <v>17</v>
      </c>
      <c r="C167" s="206" t="s">
        <v>411</v>
      </c>
      <c r="D167" s="206" t="s">
        <v>767</v>
      </c>
      <c r="E167" s="206" t="s">
        <v>35</v>
      </c>
      <c r="F167" s="304" t="s">
        <v>21</v>
      </c>
      <c r="G167" s="206">
        <v>8.0</v>
      </c>
      <c r="H167" s="304" t="s">
        <v>92</v>
      </c>
      <c r="I167" s="323"/>
      <c r="J167" s="323"/>
      <c r="K167" s="206">
        <v>8.0</v>
      </c>
      <c r="L167" s="186">
        <v>0.0</v>
      </c>
      <c r="M167" s="186">
        <v>0.0</v>
      </c>
      <c r="N167" s="189">
        <f t="shared" ref="N167:N168" si="25">K167-M167-L167</f>
        <v>8</v>
      </c>
      <c r="O167" s="186" t="s">
        <v>554</v>
      </c>
      <c r="P167" s="206" t="s">
        <v>100</v>
      </c>
    </row>
    <row r="168">
      <c r="A168" s="294"/>
      <c r="B168" s="206" t="s">
        <v>17</v>
      </c>
      <c r="C168" s="206" t="s">
        <v>411</v>
      </c>
      <c r="D168" s="206" t="s">
        <v>768</v>
      </c>
      <c r="E168" s="206" t="s">
        <v>35</v>
      </c>
      <c r="F168" s="304" t="s">
        <v>21</v>
      </c>
      <c r="G168" s="206">
        <v>8.0</v>
      </c>
      <c r="H168" s="304" t="s">
        <v>92</v>
      </c>
      <c r="I168" s="323"/>
      <c r="J168" s="323"/>
      <c r="K168" s="206">
        <v>8.0</v>
      </c>
      <c r="L168" s="186">
        <v>0.0</v>
      </c>
      <c r="M168" s="186">
        <v>0.0</v>
      </c>
      <c r="N168" s="189">
        <f t="shared" si="25"/>
        <v>8</v>
      </c>
      <c r="O168" s="186" t="s">
        <v>554</v>
      </c>
      <c r="P168" s="206" t="s">
        <v>100</v>
      </c>
    </row>
    <row r="169">
      <c r="A169" s="322"/>
      <c r="B169" s="304" t="s">
        <v>17</v>
      </c>
      <c r="C169" s="304" t="s">
        <v>603</v>
      </c>
      <c r="D169" s="304" t="s">
        <v>769</v>
      </c>
      <c r="E169" s="206" t="s">
        <v>35</v>
      </c>
      <c r="F169" s="304" t="s">
        <v>21</v>
      </c>
      <c r="G169" s="304">
        <v>19.0</v>
      </c>
      <c r="H169" s="306" t="s">
        <v>92</v>
      </c>
      <c r="I169" s="307"/>
      <c r="J169" s="307"/>
      <c r="K169" s="304">
        <v>39.0</v>
      </c>
      <c r="L169" s="186"/>
      <c r="M169" s="201">
        <v>39.0</v>
      </c>
      <c r="N169" s="189">
        <f>K169-L169-M169</f>
        <v>0</v>
      </c>
      <c r="O169" s="186" t="s">
        <v>687</v>
      </c>
      <c r="P169" s="206" t="s">
        <v>70</v>
      </c>
    </row>
    <row r="170">
      <c r="A170" s="294"/>
      <c r="B170" s="187" t="s">
        <v>16</v>
      </c>
      <c r="C170" s="186" t="s">
        <v>770</v>
      </c>
      <c r="D170" s="186" t="s">
        <v>771</v>
      </c>
      <c r="E170" s="186" t="s">
        <v>35</v>
      </c>
      <c r="F170" s="296" t="s">
        <v>23</v>
      </c>
      <c r="G170" s="186">
        <v>8.0</v>
      </c>
      <c r="H170" s="296" t="s">
        <v>92</v>
      </c>
      <c r="I170" s="298"/>
      <c r="J170" s="298"/>
      <c r="K170" s="186">
        <v>8.0</v>
      </c>
      <c r="L170" s="186"/>
      <c r="M170" s="186"/>
      <c r="N170" s="189"/>
      <c r="O170" s="186" t="s">
        <v>638</v>
      </c>
      <c r="P170" s="201" t="s">
        <v>100</v>
      </c>
    </row>
    <row r="171">
      <c r="A171" s="294"/>
      <c r="B171" s="187" t="s">
        <v>16</v>
      </c>
      <c r="C171" s="186" t="s">
        <v>770</v>
      </c>
      <c r="D171" s="186" t="s">
        <v>772</v>
      </c>
      <c r="E171" s="186" t="s">
        <v>34</v>
      </c>
      <c r="F171" s="296" t="s">
        <v>25</v>
      </c>
      <c r="G171" s="186">
        <v>40.0</v>
      </c>
      <c r="H171" s="296" t="s">
        <v>76</v>
      </c>
      <c r="I171" s="298">
        <v>45819.0</v>
      </c>
      <c r="J171" s="298">
        <v>45924.0</v>
      </c>
      <c r="K171" s="186">
        <v>110.0</v>
      </c>
      <c r="L171" s="186">
        <v>0.0</v>
      </c>
      <c r="M171" s="186">
        <v>37.0</v>
      </c>
      <c r="N171" s="189">
        <f t="shared" ref="N171:N172" si="26">K171-M171-L171</f>
        <v>73</v>
      </c>
      <c r="O171" s="186" t="s">
        <v>629</v>
      </c>
      <c r="P171" s="201" t="s">
        <v>78</v>
      </c>
    </row>
    <row r="172">
      <c r="A172" s="294"/>
      <c r="B172" s="187" t="s">
        <v>16</v>
      </c>
      <c r="C172" s="186" t="s">
        <v>770</v>
      </c>
      <c r="D172" s="186" t="s">
        <v>773</v>
      </c>
      <c r="E172" s="186" t="s">
        <v>34</v>
      </c>
      <c r="F172" s="296" t="s">
        <v>23</v>
      </c>
      <c r="G172" s="186">
        <v>50.0</v>
      </c>
      <c r="H172" s="296" t="s">
        <v>76</v>
      </c>
      <c r="I172" s="298">
        <v>45924.0</v>
      </c>
      <c r="J172" s="298">
        <v>46104.0</v>
      </c>
      <c r="K172" s="186">
        <v>180.0</v>
      </c>
      <c r="L172" s="186">
        <v>0.0</v>
      </c>
      <c r="M172" s="186">
        <v>0.0</v>
      </c>
      <c r="N172" s="189">
        <f t="shared" si="26"/>
        <v>180</v>
      </c>
      <c r="O172" s="186" t="s">
        <v>629</v>
      </c>
      <c r="P172" s="201" t="s">
        <v>78</v>
      </c>
    </row>
    <row r="173">
      <c r="A173" s="322"/>
      <c r="B173" s="304" t="s">
        <v>16</v>
      </c>
      <c r="C173" s="304" t="s">
        <v>770</v>
      </c>
      <c r="D173" s="304" t="s">
        <v>774</v>
      </c>
      <c r="E173" s="304" t="s">
        <v>35</v>
      </c>
      <c r="F173" s="304" t="s">
        <v>21</v>
      </c>
      <c r="G173" s="304">
        <v>10.0</v>
      </c>
      <c r="H173" s="306" t="s">
        <v>92</v>
      </c>
      <c r="I173" s="307"/>
      <c r="J173" s="307"/>
      <c r="K173" s="304">
        <v>10.0</v>
      </c>
      <c r="L173" s="296"/>
      <c r="M173" s="296"/>
      <c r="N173" s="325"/>
      <c r="O173" s="276" t="s">
        <v>635</v>
      </c>
      <c r="P173" s="304" t="s">
        <v>100</v>
      </c>
    </row>
    <row r="174">
      <c r="A174" s="322"/>
      <c r="B174" s="304" t="s">
        <v>16</v>
      </c>
      <c r="C174" s="304" t="s">
        <v>775</v>
      </c>
      <c r="D174" s="304" t="s">
        <v>776</v>
      </c>
      <c r="E174" s="304" t="s">
        <v>34</v>
      </c>
      <c r="F174" s="304" t="s">
        <v>19</v>
      </c>
      <c r="G174" s="304">
        <v>20.0</v>
      </c>
      <c r="H174" s="306" t="s">
        <v>76</v>
      </c>
      <c r="I174" s="307">
        <v>45953.0</v>
      </c>
      <c r="J174" s="307">
        <v>45967.0</v>
      </c>
      <c r="K174" s="304">
        <v>40.0</v>
      </c>
      <c r="L174" s="296"/>
      <c r="M174" s="296">
        <v>40.0</v>
      </c>
      <c r="N174" s="325">
        <f>K174-L174-M174</f>
        <v>0</v>
      </c>
      <c r="O174" s="168" t="s">
        <v>382</v>
      </c>
      <c r="P174" s="304" t="s">
        <v>70</v>
      </c>
    </row>
    <row r="175">
      <c r="A175" s="294"/>
      <c r="B175" s="187" t="s">
        <v>16</v>
      </c>
      <c r="C175" s="186" t="s">
        <v>777</v>
      </c>
      <c r="D175" s="186" t="s">
        <v>778</v>
      </c>
      <c r="E175" s="186" t="s">
        <v>35</v>
      </c>
      <c r="F175" s="296" t="s">
        <v>23</v>
      </c>
      <c r="G175" s="186">
        <v>19.0</v>
      </c>
      <c r="H175" s="296" t="s">
        <v>92</v>
      </c>
      <c r="I175" s="298"/>
      <c r="J175" s="298"/>
      <c r="K175" s="186">
        <v>39.0</v>
      </c>
      <c r="L175" s="186">
        <v>0.0</v>
      </c>
      <c r="M175" s="201">
        <v>39.0</v>
      </c>
      <c r="N175" s="201">
        <v>0.0</v>
      </c>
      <c r="O175" s="337" t="s">
        <v>673</v>
      </c>
      <c r="P175" s="201" t="s">
        <v>70</v>
      </c>
    </row>
    <row r="176">
      <c r="A176" s="294"/>
      <c r="B176" s="206" t="s">
        <v>16</v>
      </c>
      <c r="C176" s="206" t="s">
        <v>777</v>
      </c>
      <c r="D176" s="206" t="s">
        <v>779</v>
      </c>
      <c r="E176" s="206" t="s">
        <v>34</v>
      </c>
      <c r="F176" s="304" t="s">
        <v>23</v>
      </c>
      <c r="G176" s="206">
        <v>30.0</v>
      </c>
      <c r="H176" s="304" t="s">
        <v>76</v>
      </c>
      <c r="I176" s="307">
        <v>45875.0</v>
      </c>
      <c r="J176" s="307">
        <v>45924.0</v>
      </c>
      <c r="K176" s="206">
        <v>65.0</v>
      </c>
      <c r="L176" s="186"/>
      <c r="M176" s="201">
        <v>10.0</v>
      </c>
      <c r="N176" s="189">
        <f>K176-L176-M176</f>
        <v>55</v>
      </c>
      <c r="O176" s="186" t="s">
        <v>700</v>
      </c>
      <c r="P176" s="205" t="s">
        <v>100</v>
      </c>
    </row>
    <row r="177">
      <c r="A177" s="294"/>
      <c r="B177" s="206" t="s">
        <v>16</v>
      </c>
      <c r="C177" s="206" t="s">
        <v>777</v>
      </c>
      <c r="D177" s="206" t="s">
        <v>553</v>
      </c>
      <c r="E177" s="206" t="s">
        <v>34</v>
      </c>
      <c r="F177" s="304" t="s">
        <v>22</v>
      </c>
      <c r="G177" s="206">
        <v>30.0</v>
      </c>
      <c r="H177" s="304" t="s">
        <v>76</v>
      </c>
      <c r="I177" s="307">
        <v>45831.0</v>
      </c>
      <c r="J177" s="307">
        <v>45880.0</v>
      </c>
      <c r="K177" s="206">
        <v>65.0</v>
      </c>
      <c r="L177" s="186">
        <v>0.0</v>
      </c>
      <c r="M177" s="186">
        <v>38.0</v>
      </c>
      <c r="N177" s="189">
        <f>K177-M177-L177</f>
        <v>27</v>
      </c>
      <c r="O177" s="186" t="s">
        <v>554</v>
      </c>
      <c r="P177" s="205" t="s">
        <v>100</v>
      </c>
    </row>
    <row r="178">
      <c r="A178" s="322"/>
      <c r="B178" s="324" t="s">
        <v>17</v>
      </c>
      <c r="C178" s="296" t="s">
        <v>780</v>
      </c>
      <c r="D178" s="338" t="s">
        <v>781</v>
      </c>
      <c r="E178" s="296" t="s">
        <v>34</v>
      </c>
      <c r="F178" s="296" t="s">
        <v>23</v>
      </c>
      <c r="G178" s="296">
        <v>20.0</v>
      </c>
      <c r="H178" s="296" t="s">
        <v>76</v>
      </c>
      <c r="I178" s="298">
        <v>45877.0</v>
      </c>
      <c r="J178" s="298">
        <v>45891.0</v>
      </c>
      <c r="K178" s="296">
        <v>40.0</v>
      </c>
      <c r="L178" s="296"/>
      <c r="M178" s="297">
        <v>40.0</v>
      </c>
      <c r="N178" s="325">
        <f>K178-L178-M178</f>
        <v>0</v>
      </c>
      <c r="O178" s="276" t="s">
        <v>700</v>
      </c>
      <c r="P178" s="297" t="s">
        <v>70</v>
      </c>
    </row>
    <row r="179" ht="36.75" customHeight="1">
      <c r="A179" s="186"/>
      <c r="B179" s="187"/>
      <c r="C179" s="186"/>
      <c r="D179" s="186"/>
      <c r="E179" s="186"/>
      <c r="F179" s="186"/>
      <c r="G179" s="186"/>
      <c r="H179" s="186"/>
      <c r="I179" s="188"/>
      <c r="J179" s="188"/>
      <c r="K179" s="186"/>
      <c r="L179" s="190"/>
      <c r="M179" s="186"/>
      <c r="N179" s="189"/>
      <c r="O179" s="186"/>
      <c r="P179" s="186"/>
    </row>
    <row r="180">
      <c r="A180" s="322"/>
      <c r="B180" s="304" t="s">
        <v>18</v>
      </c>
      <c r="C180" s="304" t="s">
        <v>565</v>
      </c>
      <c r="D180" s="304" t="s">
        <v>782</v>
      </c>
      <c r="E180" s="206" t="s">
        <v>35</v>
      </c>
      <c r="F180" s="304" t="s">
        <v>20</v>
      </c>
      <c r="G180" s="304">
        <v>10.0</v>
      </c>
      <c r="H180" s="306" t="s">
        <v>92</v>
      </c>
      <c r="I180" s="307"/>
      <c r="J180" s="307"/>
      <c r="K180" s="304">
        <v>10.0</v>
      </c>
      <c r="L180" s="186"/>
      <c r="M180" s="201">
        <v>10.0</v>
      </c>
      <c r="N180" s="201">
        <v>0.0</v>
      </c>
      <c r="O180" s="186" t="s">
        <v>684</v>
      </c>
      <c r="P180" s="205" t="s">
        <v>70</v>
      </c>
    </row>
    <row r="181">
      <c r="A181" s="322"/>
      <c r="B181" s="304" t="s">
        <v>18</v>
      </c>
      <c r="C181" s="304" t="s">
        <v>555</v>
      </c>
      <c r="D181" s="304" t="s">
        <v>783</v>
      </c>
      <c r="E181" s="206" t="s">
        <v>35</v>
      </c>
      <c r="F181" s="304" t="s">
        <v>20</v>
      </c>
      <c r="G181" s="304">
        <v>8.0</v>
      </c>
      <c r="H181" s="306" t="s">
        <v>92</v>
      </c>
      <c r="I181" s="307"/>
      <c r="J181" s="307"/>
      <c r="K181" s="304">
        <v>8.0</v>
      </c>
      <c r="L181" s="186"/>
      <c r="M181" s="201">
        <v>8.0</v>
      </c>
      <c r="N181" s="189">
        <f>K181-L181-M181</f>
        <v>0</v>
      </c>
      <c r="O181" s="186" t="s">
        <v>561</v>
      </c>
      <c r="P181" s="205" t="s">
        <v>70</v>
      </c>
    </row>
    <row r="182">
      <c r="A182" s="322"/>
      <c r="B182" s="304" t="s">
        <v>18</v>
      </c>
      <c r="C182" s="304" t="s">
        <v>539</v>
      </c>
      <c r="D182" s="304" t="s">
        <v>584</v>
      </c>
      <c r="E182" s="206" t="s">
        <v>35</v>
      </c>
      <c r="F182" s="304" t="s">
        <v>20</v>
      </c>
      <c r="G182" s="304">
        <v>8.0</v>
      </c>
      <c r="H182" s="306" t="s">
        <v>92</v>
      </c>
      <c r="I182" s="307"/>
      <c r="J182" s="307"/>
      <c r="K182" s="304"/>
      <c r="L182" s="186"/>
      <c r="M182" s="201">
        <v>8.0</v>
      </c>
      <c r="N182" s="201">
        <v>0.0</v>
      </c>
      <c r="O182" s="186" t="s">
        <v>684</v>
      </c>
      <c r="P182" s="205" t="s">
        <v>70</v>
      </c>
    </row>
    <row r="183">
      <c r="A183" s="322"/>
      <c r="B183" s="304" t="s">
        <v>18</v>
      </c>
      <c r="C183" s="304" t="s">
        <v>577</v>
      </c>
      <c r="D183" s="304" t="s">
        <v>584</v>
      </c>
      <c r="E183" s="206" t="s">
        <v>35</v>
      </c>
      <c r="F183" s="304" t="s">
        <v>20</v>
      </c>
      <c r="G183" s="304">
        <v>8.0</v>
      </c>
      <c r="H183" s="306" t="s">
        <v>92</v>
      </c>
      <c r="I183" s="307"/>
      <c r="J183" s="307"/>
      <c r="K183" s="304"/>
      <c r="L183" s="186"/>
      <c r="M183" s="201">
        <v>8.0</v>
      </c>
      <c r="N183" s="201">
        <v>0.0</v>
      </c>
      <c r="O183" s="186" t="s">
        <v>684</v>
      </c>
      <c r="P183" s="205" t="s">
        <v>70</v>
      </c>
    </row>
    <row r="184">
      <c r="A184" s="322"/>
      <c r="B184" s="304" t="s">
        <v>18</v>
      </c>
      <c r="C184" s="304" t="s">
        <v>784</v>
      </c>
      <c r="D184" s="304" t="s">
        <v>785</v>
      </c>
      <c r="E184" s="206" t="s">
        <v>35</v>
      </c>
      <c r="F184" s="304" t="s">
        <v>19</v>
      </c>
      <c r="G184" s="304">
        <v>8.0</v>
      </c>
      <c r="H184" s="306" t="s">
        <v>92</v>
      </c>
      <c r="I184" s="307"/>
      <c r="J184" s="307"/>
      <c r="K184" s="304">
        <v>8.0</v>
      </c>
      <c r="L184" s="186"/>
      <c r="M184" s="201">
        <v>8.0</v>
      </c>
      <c r="N184" s="189">
        <f t="shared" ref="N184:N185" si="27">K184-L184-M184</f>
        <v>0</v>
      </c>
      <c r="O184" s="186" t="s">
        <v>561</v>
      </c>
      <c r="P184" s="205" t="s">
        <v>70</v>
      </c>
    </row>
    <row r="185">
      <c r="A185" s="322"/>
      <c r="B185" s="304" t="s">
        <v>18</v>
      </c>
      <c r="C185" s="304" t="s">
        <v>786</v>
      </c>
      <c r="D185" s="304" t="s">
        <v>783</v>
      </c>
      <c r="E185" s="206" t="s">
        <v>35</v>
      </c>
      <c r="F185" s="304" t="s">
        <v>19</v>
      </c>
      <c r="G185" s="304">
        <v>8.0</v>
      </c>
      <c r="H185" s="306" t="s">
        <v>92</v>
      </c>
      <c r="I185" s="307"/>
      <c r="J185" s="307"/>
      <c r="K185" s="304">
        <v>8.0</v>
      </c>
      <c r="L185" s="186"/>
      <c r="M185" s="201">
        <v>8.0</v>
      </c>
      <c r="N185" s="189">
        <f t="shared" si="27"/>
        <v>0</v>
      </c>
      <c r="O185" s="186" t="s">
        <v>561</v>
      </c>
      <c r="P185" s="205" t="s">
        <v>70</v>
      </c>
    </row>
    <row r="186">
      <c r="A186" s="322"/>
      <c r="B186" s="304" t="s">
        <v>18</v>
      </c>
      <c r="C186" s="304" t="s">
        <v>536</v>
      </c>
      <c r="D186" s="304" t="s">
        <v>578</v>
      </c>
      <c r="E186" s="206" t="s">
        <v>35</v>
      </c>
      <c r="F186" s="304" t="s">
        <v>20</v>
      </c>
      <c r="G186" s="304">
        <v>8.0</v>
      </c>
      <c r="H186" s="306" t="s">
        <v>92</v>
      </c>
      <c r="I186" s="307"/>
      <c r="J186" s="307"/>
      <c r="K186" s="304">
        <v>8.0</v>
      </c>
      <c r="L186" s="186"/>
      <c r="M186" s="201">
        <v>8.0</v>
      </c>
      <c r="N186" s="201">
        <v>0.0</v>
      </c>
      <c r="O186" s="186" t="s">
        <v>684</v>
      </c>
      <c r="P186" s="205" t="s">
        <v>70</v>
      </c>
    </row>
    <row r="187">
      <c r="A187" s="322"/>
      <c r="B187" s="304" t="s">
        <v>18</v>
      </c>
      <c r="C187" s="304" t="s">
        <v>536</v>
      </c>
      <c r="D187" s="304" t="s">
        <v>787</v>
      </c>
      <c r="E187" s="206" t="s">
        <v>35</v>
      </c>
      <c r="F187" s="304" t="s">
        <v>20</v>
      </c>
      <c r="G187" s="304">
        <v>8.0</v>
      </c>
      <c r="H187" s="306" t="s">
        <v>92</v>
      </c>
      <c r="I187" s="307"/>
      <c r="J187" s="307"/>
      <c r="K187" s="304">
        <v>8.0</v>
      </c>
      <c r="L187" s="186"/>
      <c r="M187" s="201">
        <v>8.0</v>
      </c>
      <c r="N187" s="189">
        <f>K187-L187-M187</f>
        <v>0</v>
      </c>
      <c r="O187" s="186" t="s">
        <v>561</v>
      </c>
      <c r="P187" s="205" t="s">
        <v>70</v>
      </c>
    </row>
    <row r="188">
      <c r="A188" s="322"/>
      <c r="B188" s="304" t="s">
        <v>18</v>
      </c>
      <c r="C188" s="304" t="s">
        <v>585</v>
      </c>
      <c r="D188" s="304" t="s">
        <v>788</v>
      </c>
      <c r="E188" s="206" t="s">
        <v>35</v>
      </c>
      <c r="F188" s="304" t="s">
        <v>23</v>
      </c>
      <c r="G188" s="304">
        <v>8.0</v>
      </c>
      <c r="H188" s="306" t="s">
        <v>92</v>
      </c>
      <c r="I188" s="307"/>
      <c r="J188" s="307"/>
      <c r="K188" s="304">
        <v>8.0</v>
      </c>
      <c r="L188" s="186"/>
      <c r="M188" s="201">
        <v>8.0</v>
      </c>
      <c r="N188" s="201">
        <v>0.0</v>
      </c>
      <c r="O188" s="186" t="s">
        <v>684</v>
      </c>
      <c r="P188" s="205" t="s">
        <v>70</v>
      </c>
    </row>
    <row r="189">
      <c r="A189" s="322"/>
      <c r="B189" s="304" t="s">
        <v>18</v>
      </c>
      <c r="C189" s="304" t="s">
        <v>536</v>
      </c>
      <c r="D189" s="304" t="s">
        <v>789</v>
      </c>
      <c r="E189" s="206" t="s">
        <v>35</v>
      </c>
      <c r="F189" s="304" t="s">
        <v>20</v>
      </c>
      <c r="G189" s="304">
        <v>8.0</v>
      </c>
      <c r="H189" s="306" t="s">
        <v>92</v>
      </c>
      <c r="I189" s="307"/>
      <c r="J189" s="307"/>
      <c r="K189" s="304">
        <v>8.0</v>
      </c>
      <c r="L189" s="186"/>
      <c r="M189" s="201">
        <v>8.0</v>
      </c>
      <c r="N189" s="201">
        <f t="shared" ref="N189:N190" si="28">K189-L189-M189</f>
        <v>0</v>
      </c>
      <c r="O189" s="186" t="s">
        <v>790</v>
      </c>
      <c r="P189" s="205" t="s">
        <v>70</v>
      </c>
    </row>
    <row r="190">
      <c r="A190" s="322"/>
      <c r="B190" s="304" t="s">
        <v>17</v>
      </c>
      <c r="C190" s="304" t="s">
        <v>791</v>
      </c>
      <c r="D190" s="304" t="s">
        <v>792</v>
      </c>
      <c r="E190" s="206" t="s">
        <v>34</v>
      </c>
      <c r="F190" s="304" t="s">
        <v>19</v>
      </c>
      <c r="G190" s="304">
        <v>30.0</v>
      </c>
      <c r="H190" s="306" t="s">
        <v>76</v>
      </c>
      <c r="I190" s="307">
        <v>45918.0</v>
      </c>
      <c r="J190" s="307">
        <v>45967.0</v>
      </c>
      <c r="K190" s="304">
        <v>65.0</v>
      </c>
      <c r="L190" s="186"/>
      <c r="M190" s="201">
        <v>65.0</v>
      </c>
      <c r="N190" s="189">
        <f t="shared" si="28"/>
        <v>0</v>
      </c>
      <c r="O190" s="186" t="s">
        <v>597</v>
      </c>
      <c r="P190" s="205" t="s">
        <v>70</v>
      </c>
    </row>
    <row r="191">
      <c r="A191" s="294"/>
      <c r="B191" s="187" t="s">
        <v>15</v>
      </c>
      <c r="C191" s="186" t="s">
        <v>793</v>
      </c>
      <c r="D191" s="168" t="s">
        <v>794</v>
      </c>
      <c r="E191" s="186" t="s">
        <v>35</v>
      </c>
      <c r="F191" s="296" t="s">
        <v>19</v>
      </c>
      <c r="G191" s="186">
        <v>8.0</v>
      </c>
      <c r="H191" s="297" t="s">
        <v>92</v>
      </c>
      <c r="I191" s="298"/>
      <c r="J191" s="298"/>
      <c r="K191" s="186">
        <v>8.0</v>
      </c>
      <c r="L191" s="186"/>
      <c r="M191" s="201">
        <v>8.0</v>
      </c>
      <c r="N191" s="189">
        <f t="shared" ref="N191:N194" si="29">K191-M191</f>
        <v>0</v>
      </c>
      <c r="O191" s="186" t="s">
        <v>547</v>
      </c>
      <c r="P191" s="201" t="s">
        <v>70</v>
      </c>
    </row>
    <row r="192">
      <c r="A192" s="294"/>
      <c r="B192" s="187" t="s">
        <v>15</v>
      </c>
      <c r="C192" s="186" t="s">
        <v>795</v>
      </c>
      <c r="D192" s="168" t="s">
        <v>796</v>
      </c>
      <c r="E192" s="186" t="s">
        <v>35</v>
      </c>
      <c r="F192" s="296" t="s">
        <v>20</v>
      </c>
      <c r="G192" s="186">
        <v>8.0</v>
      </c>
      <c r="H192" s="297" t="s">
        <v>92</v>
      </c>
      <c r="I192" s="298"/>
      <c r="J192" s="298"/>
      <c r="K192" s="186">
        <v>8.0</v>
      </c>
      <c r="L192" s="186"/>
      <c r="M192" s="201">
        <v>8.0</v>
      </c>
      <c r="N192" s="189">
        <f t="shared" si="29"/>
        <v>0</v>
      </c>
      <c r="O192" s="186" t="s">
        <v>547</v>
      </c>
      <c r="P192" s="201" t="s">
        <v>70</v>
      </c>
    </row>
    <row r="193">
      <c r="A193" s="294"/>
      <c r="B193" s="187" t="s">
        <v>17</v>
      </c>
      <c r="C193" s="186" t="s">
        <v>780</v>
      </c>
      <c r="D193" s="186" t="s">
        <v>797</v>
      </c>
      <c r="E193" s="186" t="s">
        <v>35</v>
      </c>
      <c r="F193" s="296" t="s">
        <v>23</v>
      </c>
      <c r="G193" s="186">
        <v>15.0</v>
      </c>
      <c r="H193" s="296" t="s">
        <v>92</v>
      </c>
      <c r="I193" s="298"/>
      <c r="J193" s="298"/>
      <c r="K193" s="186">
        <v>25.0</v>
      </c>
      <c r="L193" s="186"/>
      <c r="M193" s="186">
        <v>25.0</v>
      </c>
      <c r="N193" s="201">
        <f t="shared" si="29"/>
        <v>0</v>
      </c>
      <c r="O193" s="337" t="s">
        <v>673</v>
      </c>
      <c r="P193" s="201" t="s">
        <v>70</v>
      </c>
    </row>
    <row r="194">
      <c r="A194" s="294"/>
      <c r="B194" s="187" t="s">
        <v>17</v>
      </c>
      <c r="C194" s="186" t="s">
        <v>780</v>
      </c>
      <c r="D194" s="186" t="s">
        <v>798</v>
      </c>
      <c r="E194" s="186" t="s">
        <v>34</v>
      </c>
      <c r="F194" s="296" t="s">
        <v>19</v>
      </c>
      <c r="G194" s="186">
        <v>30.0</v>
      </c>
      <c r="H194" s="296" t="s">
        <v>76</v>
      </c>
      <c r="I194" s="298">
        <v>45918.0</v>
      </c>
      <c r="J194" s="298">
        <v>45967.0</v>
      </c>
      <c r="K194" s="186">
        <v>65.0</v>
      </c>
      <c r="L194" s="186"/>
      <c r="M194" s="186">
        <v>65.0</v>
      </c>
      <c r="N194" s="201">
        <f t="shared" si="29"/>
        <v>0</v>
      </c>
      <c r="O194" s="337" t="s">
        <v>725</v>
      </c>
      <c r="P194" s="201" t="s">
        <v>70</v>
      </c>
    </row>
    <row r="195" ht="36.75" customHeight="1">
      <c r="A195" s="186"/>
      <c r="B195" s="187"/>
      <c r="C195" s="186"/>
      <c r="D195" s="186"/>
      <c r="E195" s="186"/>
      <c r="F195" s="186"/>
      <c r="G195" s="186"/>
      <c r="H195" s="186"/>
      <c r="I195" s="188"/>
      <c r="J195" s="188"/>
      <c r="K195" s="186"/>
      <c r="L195" s="190"/>
      <c r="M195" s="186"/>
      <c r="N195" s="189"/>
      <c r="O195" s="186"/>
      <c r="P195" s="186"/>
    </row>
    <row r="196">
      <c r="A196" s="331"/>
      <c r="B196" s="187" t="s">
        <v>15</v>
      </c>
      <c r="C196" s="186" t="s">
        <v>793</v>
      </c>
      <c r="D196" s="339" t="s">
        <v>799</v>
      </c>
      <c r="E196" s="186" t="s">
        <v>35</v>
      </c>
      <c r="F196" s="296" t="s">
        <v>19</v>
      </c>
      <c r="G196" s="186">
        <v>8.0</v>
      </c>
      <c r="H196" s="297" t="s">
        <v>92</v>
      </c>
      <c r="I196" s="298"/>
      <c r="J196" s="298"/>
      <c r="K196" s="186">
        <v>8.0</v>
      </c>
      <c r="L196" s="186"/>
      <c r="M196" s="201">
        <v>8.0</v>
      </c>
      <c r="N196" s="201">
        <f t="shared" ref="N196:N197" si="30">K196-L196-M196</f>
        <v>0</v>
      </c>
      <c r="O196" s="186" t="s">
        <v>541</v>
      </c>
      <c r="P196" s="201" t="s">
        <v>70</v>
      </c>
    </row>
    <row r="197">
      <c r="A197" s="322"/>
      <c r="B197" s="304" t="s">
        <v>17</v>
      </c>
      <c r="C197" s="304" t="s">
        <v>601</v>
      </c>
      <c r="D197" s="304" t="s">
        <v>800</v>
      </c>
      <c r="E197" s="206" t="s">
        <v>34</v>
      </c>
      <c r="F197" s="304" t="s">
        <v>23</v>
      </c>
      <c r="G197" s="304">
        <v>20.0</v>
      </c>
      <c r="H197" s="306" t="s">
        <v>76</v>
      </c>
      <c r="I197" s="307">
        <v>45973.0</v>
      </c>
      <c r="J197" s="307">
        <v>45987.0</v>
      </c>
      <c r="K197" s="304">
        <v>40.0</v>
      </c>
      <c r="L197" s="186"/>
      <c r="M197" s="201">
        <v>40.0</v>
      </c>
      <c r="N197" s="189">
        <f t="shared" si="30"/>
        <v>0</v>
      </c>
      <c r="O197" s="186" t="s">
        <v>579</v>
      </c>
      <c r="P197" s="205" t="s">
        <v>70</v>
      </c>
    </row>
    <row r="198">
      <c r="A198" s="294"/>
      <c r="B198" s="187" t="s">
        <v>15</v>
      </c>
      <c r="C198" s="186" t="s">
        <v>533</v>
      </c>
      <c r="D198" s="168" t="s">
        <v>546</v>
      </c>
      <c r="E198" s="186" t="s">
        <v>35</v>
      </c>
      <c r="F198" s="296" t="s">
        <v>19</v>
      </c>
      <c r="G198" s="186">
        <v>10.0</v>
      </c>
      <c r="H198" s="297" t="s">
        <v>92</v>
      </c>
      <c r="I198" s="298"/>
      <c r="J198" s="298"/>
      <c r="K198" s="186">
        <v>10.0</v>
      </c>
      <c r="L198" s="186"/>
      <c r="M198" s="201">
        <v>10.0</v>
      </c>
      <c r="N198" s="189"/>
      <c r="O198" s="186" t="s">
        <v>547</v>
      </c>
      <c r="P198" s="201" t="s">
        <v>70</v>
      </c>
    </row>
    <row r="199">
      <c r="A199" s="322"/>
      <c r="B199" s="304" t="s">
        <v>17</v>
      </c>
      <c r="C199" s="304" t="s">
        <v>721</v>
      </c>
      <c r="D199" s="304" t="s">
        <v>801</v>
      </c>
      <c r="E199" s="206" t="s">
        <v>34</v>
      </c>
      <c r="F199" s="304" t="s">
        <v>23</v>
      </c>
      <c r="G199" s="304">
        <v>30.0</v>
      </c>
      <c r="H199" s="306" t="s">
        <v>76</v>
      </c>
      <c r="I199" s="307">
        <v>45916.0</v>
      </c>
      <c r="J199" s="307">
        <v>45965.0</v>
      </c>
      <c r="K199" s="304">
        <v>65.0</v>
      </c>
      <c r="L199" s="186"/>
      <c r="M199" s="201">
        <v>65.0</v>
      </c>
      <c r="N199" s="201">
        <f t="shared" ref="N199:N200" si="31">K199-M199</f>
        <v>0</v>
      </c>
      <c r="O199" s="186" t="s">
        <v>597</v>
      </c>
      <c r="P199" s="206" t="s">
        <v>70</v>
      </c>
    </row>
    <row r="200">
      <c r="A200" s="322"/>
      <c r="B200" s="304" t="s">
        <v>17</v>
      </c>
      <c r="C200" s="304" t="s">
        <v>605</v>
      </c>
      <c r="D200" s="304" t="s">
        <v>706</v>
      </c>
      <c r="E200" s="206" t="s">
        <v>35</v>
      </c>
      <c r="F200" s="304" t="s">
        <v>23</v>
      </c>
      <c r="G200" s="304">
        <v>19.0</v>
      </c>
      <c r="H200" s="306" t="s">
        <v>92</v>
      </c>
      <c r="I200" s="307"/>
      <c r="J200" s="307"/>
      <c r="K200" s="304">
        <v>39.0</v>
      </c>
      <c r="L200" s="186"/>
      <c r="M200" s="201">
        <v>39.0</v>
      </c>
      <c r="N200" s="189">
        <f t="shared" si="31"/>
        <v>0</v>
      </c>
      <c r="O200" s="186" t="s">
        <v>535</v>
      </c>
      <c r="P200" s="205" t="s">
        <v>70</v>
      </c>
    </row>
    <row r="201">
      <c r="A201" s="294"/>
      <c r="B201" s="206" t="s">
        <v>16</v>
      </c>
      <c r="C201" s="206" t="s">
        <v>802</v>
      </c>
      <c r="D201" s="206" t="s">
        <v>803</v>
      </c>
      <c r="E201" s="206" t="s">
        <v>34</v>
      </c>
      <c r="F201" s="304" t="s">
        <v>23</v>
      </c>
      <c r="G201" s="206">
        <v>50.0</v>
      </c>
      <c r="H201" s="304" t="s">
        <v>76</v>
      </c>
      <c r="I201" s="307">
        <v>45831.0</v>
      </c>
      <c r="J201" s="307">
        <v>46010.0</v>
      </c>
      <c r="K201" s="206">
        <v>180.0</v>
      </c>
      <c r="L201" s="186">
        <v>4.0</v>
      </c>
      <c r="M201" s="201">
        <v>176.0</v>
      </c>
      <c r="N201" s="189">
        <f>K201-M201-L201</f>
        <v>0</v>
      </c>
      <c r="O201" s="186" t="s">
        <v>554</v>
      </c>
      <c r="P201" s="205" t="s">
        <v>70</v>
      </c>
    </row>
    <row r="202">
      <c r="A202" s="322"/>
      <c r="B202" s="304" t="s">
        <v>16</v>
      </c>
      <c r="C202" s="304" t="s">
        <v>639</v>
      </c>
      <c r="D202" s="304" t="s">
        <v>804</v>
      </c>
      <c r="E202" s="304" t="s">
        <v>34</v>
      </c>
      <c r="F202" s="304" t="s">
        <v>23</v>
      </c>
      <c r="G202" s="304">
        <v>20.0</v>
      </c>
      <c r="H202" s="306" t="s">
        <v>76</v>
      </c>
      <c r="I202" s="307">
        <v>45965.0</v>
      </c>
      <c r="J202" s="307">
        <v>45979.0</v>
      </c>
      <c r="K202" s="304">
        <v>40.0</v>
      </c>
      <c r="L202" s="296"/>
      <c r="M202" s="297">
        <v>40.0</v>
      </c>
      <c r="N202" s="325">
        <f>K202-M202</f>
        <v>0</v>
      </c>
      <c r="O202" s="186" t="s">
        <v>805</v>
      </c>
      <c r="P202" s="304" t="s">
        <v>70</v>
      </c>
    </row>
    <row r="203">
      <c r="A203" s="322"/>
      <c r="B203" s="304" t="s">
        <v>17</v>
      </c>
      <c r="C203" s="304" t="s">
        <v>723</v>
      </c>
      <c r="D203" s="300" t="s">
        <v>611</v>
      </c>
      <c r="E203" s="206" t="s">
        <v>35</v>
      </c>
      <c r="F203" s="304" t="s">
        <v>21</v>
      </c>
      <c r="G203" s="304">
        <v>10.0</v>
      </c>
      <c r="H203" s="304" t="s">
        <v>92</v>
      </c>
      <c r="I203" s="307"/>
      <c r="J203" s="307"/>
      <c r="K203" s="304">
        <v>10.0</v>
      </c>
      <c r="L203" s="186"/>
      <c r="M203" s="201">
        <v>10.0</v>
      </c>
      <c r="N203" s="201">
        <f t="shared" ref="N203:N204" si="32">K203-L203-M203</f>
        <v>0</v>
      </c>
      <c r="O203" s="186" t="s">
        <v>541</v>
      </c>
      <c r="P203" s="206" t="s">
        <v>70</v>
      </c>
    </row>
    <row r="204">
      <c r="A204" s="331"/>
      <c r="B204" s="187" t="s">
        <v>15</v>
      </c>
      <c r="C204" s="186" t="s">
        <v>628</v>
      </c>
      <c r="D204" s="295" t="s">
        <v>799</v>
      </c>
      <c r="E204" s="186" t="s">
        <v>35</v>
      </c>
      <c r="F204" s="296" t="s">
        <v>19</v>
      </c>
      <c r="G204" s="186">
        <v>8.0</v>
      </c>
      <c r="H204" s="297" t="s">
        <v>92</v>
      </c>
      <c r="I204" s="298"/>
      <c r="J204" s="298"/>
      <c r="K204" s="186">
        <v>8.0</v>
      </c>
      <c r="L204" s="186"/>
      <c r="M204" s="201">
        <v>8.0</v>
      </c>
      <c r="N204" s="201">
        <f t="shared" si="32"/>
        <v>0</v>
      </c>
      <c r="O204" s="186" t="s">
        <v>541</v>
      </c>
      <c r="P204" s="201" t="s">
        <v>70</v>
      </c>
    </row>
    <row r="205">
      <c r="A205" s="228"/>
      <c r="B205" s="187"/>
      <c r="C205" s="186"/>
      <c r="D205" s="186"/>
      <c r="E205" s="186"/>
      <c r="F205" s="186"/>
      <c r="G205" s="186"/>
      <c r="H205" s="186"/>
      <c r="I205" s="188"/>
      <c r="J205" s="188"/>
      <c r="K205" s="186"/>
      <c r="L205" s="186"/>
      <c r="M205" s="186"/>
      <c r="N205" s="189"/>
      <c r="O205" s="186"/>
      <c r="P205" s="186"/>
    </row>
    <row r="206">
      <c r="A206" s="228"/>
      <c r="B206" s="190"/>
      <c r="C206" s="186"/>
      <c r="D206" s="186"/>
      <c r="E206" s="189"/>
      <c r="F206" s="186"/>
      <c r="G206" s="186"/>
      <c r="H206" s="189"/>
      <c r="I206" s="189"/>
      <c r="J206" s="189"/>
      <c r="K206" s="186"/>
      <c r="L206" s="190"/>
      <c r="M206" s="186"/>
      <c r="N206" s="189"/>
      <c r="O206" s="186"/>
      <c r="P206" s="186"/>
    </row>
    <row r="207">
      <c r="A207" s="228"/>
      <c r="B207" s="190"/>
      <c r="C207" s="186"/>
      <c r="D207" s="186"/>
      <c r="E207" s="189"/>
      <c r="F207" s="296"/>
      <c r="G207" s="186"/>
      <c r="H207" s="189"/>
      <c r="I207" s="189"/>
      <c r="J207" s="189"/>
      <c r="K207" s="186"/>
      <c r="L207" s="190"/>
      <c r="M207" s="186"/>
      <c r="N207" s="189"/>
      <c r="O207" s="186"/>
      <c r="P207" s="296"/>
    </row>
    <row r="208">
      <c r="A208" s="228"/>
      <c r="B208" s="187"/>
      <c r="C208" s="186"/>
      <c r="D208" s="186"/>
      <c r="E208" s="186"/>
      <c r="F208" s="296"/>
      <c r="G208" s="186"/>
      <c r="H208" s="186"/>
      <c r="I208" s="188"/>
      <c r="J208" s="188"/>
      <c r="K208" s="186"/>
      <c r="L208" s="186"/>
      <c r="M208" s="186"/>
      <c r="N208" s="189"/>
      <c r="O208" s="186"/>
      <c r="P208" s="296"/>
    </row>
    <row r="209">
      <c r="A209" s="228"/>
      <c r="B209" s="187"/>
      <c r="C209" s="186"/>
      <c r="D209" s="186"/>
      <c r="E209" s="186"/>
      <c r="F209" s="296"/>
      <c r="G209" s="186"/>
      <c r="H209" s="296"/>
      <c r="I209" s="298"/>
      <c r="J209" s="298"/>
      <c r="K209" s="186"/>
      <c r="L209" s="186"/>
      <c r="M209" s="186"/>
      <c r="N209" s="189"/>
      <c r="O209" s="186"/>
      <c r="P209" s="201"/>
    </row>
    <row r="210">
      <c r="A210" s="228"/>
      <c r="B210" s="187"/>
      <c r="C210" s="186"/>
      <c r="D210" s="186"/>
      <c r="E210" s="186"/>
      <c r="F210" s="296"/>
      <c r="G210" s="186"/>
      <c r="H210" s="296"/>
      <c r="I210" s="298"/>
      <c r="J210" s="298"/>
      <c r="K210" s="186"/>
      <c r="L210" s="186"/>
      <c r="M210" s="186"/>
      <c r="N210" s="189"/>
      <c r="O210" s="186"/>
      <c r="P210" s="201"/>
    </row>
    <row r="211">
      <c r="A211" s="228"/>
      <c r="B211" s="190"/>
      <c r="C211" s="186"/>
      <c r="D211" s="186"/>
      <c r="E211" s="189"/>
      <c r="F211" s="189"/>
      <c r="G211" s="186"/>
      <c r="H211" s="189"/>
      <c r="I211" s="189"/>
      <c r="J211" s="189"/>
      <c r="K211" s="186"/>
      <c r="L211" s="190"/>
      <c r="M211" s="186"/>
      <c r="N211" s="189"/>
      <c r="O211" s="186"/>
      <c r="P211" s="186"/>
    </row>
    <row r="212">
      <c r="A212" s="228"/>
      <c r="B212" s="190"/>
      <c r="C212" s="186"/>
      <c r="D212" s="186"/>
      <c r="E212" s="189"/>
      <c r="F212" s="334"/>
      <c r="G212" s="186"/>
      <c r="H212" s="333"/>
      <c r="I212" s="189"/>
      <c r="J212" s="189"/>
      <c r="K212" s="186"/>
      <c r="L212" s="190"/>
      <c r="M212" s="186"/>
      <c r="N212" s="189"/>
      <c r="O212" s="186"/>
      <c r="P212" s="296"/>
    </row>
    <row r="213">
      <c r="A213" s="228"/>
      <c r="B213" s="186"/>
      <c r="C213" s="186"/>
      <c r="D213" s="186"/>
      <c r="E213" s="186"/>
      <c r="F213" s="186"/>
      <c r="G213" s="186"/>
      <c r="H213" s="186"/>
      <c r="I213" s="230"/>
      <c r="J213" s="188"/>
      <c r="K213" s="186"/>
      <c r="L213" s="190"/>
      <c r="M213" s="186"/>
      <c r="N213" s="190"/>
      <c r="O213" s="186"/>
      <c r="P213" s="186"/>
    </row>
    <row r="214">
      <c r="A214" s="228"/>
      <c r="B214" s="190"/>
      <c r="C214" s="186"/>
      <c r="D214" s="186"/>
      <c r="E214" s="189"/>
      <c r="F214" s="325"/>
      <c r="G214" s="186"/>
      <c r="H214" s="189"/>
      <c r="I214" s="189"/>
      <c r="J214" s="189"/>
      <c r="K214" s="186"/>
      <c r="L214" s="190"/>
      <c r="M214" s="186"/>
      <c r="N214" s="189"/>
      <c r="O214" s="186"/>
      <c r="P214" s="296"/>
    </row>
    <row r="215">
      <c r="A215" s="228"/>
      <c r="B215" s="340"/>
      <c r="C215" s="186"/>
      <c r="D215" s="186"/>
      <c r="E215" s="186"/>
      <c r="F215" s="334"/>
      <c r="G215" s="186"/>
      <c r="H215" s="334"/>
      <c r="I215" s="188"/>
      <c r="J215" s="188"/>
      <c r="K215" s="186"/>
      <c r="L215" s="186"/>
      <c r="M215" s="186"/>
      <c r="N215" s="189"/>
      <c r="O215" s="186"/>
      <c r="P215" s="186"/>
    </row>
    <row r="216">
      <c r="A216" s="228"/>
      <c r="B216" s="187"/>
      <c r="C216" s="186"/>
      <c r="D216" s="186"/>
      <c r="E216" s="186"/>
      <c r="F216" s="296"/>
      <c r="G216" s="186"/>
      <c r="H216" s="186"/>
      <c r="I216" s="188"/>
      <c r="J216" s="188"/>
      <c r="K216" s="186"/>
      <c r="L216" s="186"/>
      <c r="M216" s="186"/>
      <c r="N216" s="189"/>
      <c r="O216" s="186"/>
      <c r="P216" s="297"/>
    </row>
    <row r="217">
      <c r="A217" s="228"/>
      <c r="B217" s="189"/>
      <c r="C217" s="186"/>
      <c r="D217" s="186"/>
      <c r="E217" s="189"/>
      <c r="F217" s="296"/>
      <c r="G217" s="186"/>
      <c r="H217" s="325"/>
      <c r="I217" s="341"/>
      <c r="J217" s="342"/>
      <c r="K217" s="186"/>
      <c r="L217" s="189"/>
      <c r="M217" s="186"/>
      <c r="N217" s="189"/>
      <c r="O217" s="189"/>
      <c r="P217" s="186"/>
    </row>
    <row r="218">
      <c r="A218" s="228"/>
      <c r="B218" s="340"/>
      <c r="C218" s="186"/>
      <c r="D218" s="186"/>
      <c r="E218" s="186"/>
      <c r="F218" s="296"/>
      <c r="G218" s="186"/>
      <c r="H218" s="296"/>
      <c r="I218" s="343"/>
      <c r="J218" s="343"/>
      <c r="K218" s="186"/>
      <c r="L218" s="186"/>
      <c r="M218" s="186"/>
      <c r="N218" s="189"/>
      <c r="O218" s="186"/>
      <c r="P218" s="186"/>
    </row>
    <row r="219">
      <c r="A219" s="186"/>
      <c r="B219" s="186"/>
      <c r="C219" s="296"/>
      <c r="D219" s="186"/>
      <c r="E219" s="186"/>
      <c r="F219" s="296"/>
      <c r="G219" s="186"/>
      <c r="H219" s="334"/>
      <c r="I219" s="188"/>
      <c r="J219" s="188"/>
      <c r="K219" s="186"/>
      <c r="L219" s="189"/>
      <c r="M219" s="186"/>
      <c r="N219" s="189"/>
      <c r="O219" s="186"/>
      <c r="P219" s="201"/>
    </row>
    <row r="220">
      <c r="A220" s="228"/>
      <c r="B220" s="187"/>
      <c r="C220" s="186"/>
      <c r="D220" s="186"/>
      <c r="E220" s="186"/>
      <c r="F220" s="186"/>
      <c r="G220" s="186"/>
      <c r="H220" s="186"/>
      <c r="I220" s="298"/>
      <c r="J220" s="298"/>
      <c r="K220" s="186"/>
      <c r="L220" s="186"/>
      <c r="M220" s="186"/>
      <c r="N220" s="189"/>
      <c r="O220" s="186"/>
      <c r="P220" s="201"/>
    </row>
    <row r="221">
      <c r="A221" s="228"/>
      <c r="B221" s="324"/>
      <c r="C221" s="296"/>
      <c r="D221" s="296"/>
      <c r="E221" s="296"/>
      <c r="F221" s="344"/>
      <c r="G221" s="296"/>
      <c r="H221" s="296"/>
      <c r="I221" s="298"/>
      <c r="J221" s="298"/>
      <c r="K221" s="296"/>
      <c r="L221" s="296"/>
      <c r="M221" s="296"/>
      <c r="N221" s="189"/>
      <c r="O221" s="186"/>
      <c r="P221" s="296"/>
    </row>
    <row r="222">
      <c r="A222" s="322"/>
      <c r="B222" s="304" t="s">
        <v>17</v>
      </c>
      <c r="C222" s="304" t="s">
        <v>599</v>
      </c>
      <c r="D222" s="300" t="s">
        <v>806</v>
      </c>
      <c r="E222" s="206" t="s">
        <v>35</v>
      </c>
      <c r="F222" s="304" t="s">
        <v>21</v>
      </c>
      <c r="G222" s="304">
        <v>15.0</v>
      </c>
      <c r="H222" s="304" t="s">
        <v>92</v>
      </c>
      <c r="I222" s="307"/>
      <c r="J222" s="307"/>
      <c r="K222" s="304">
        <v>25.0</v>
      </c>
      <c r="L222" s="186"/>
      <c r="M222" s="201">
        <v>25.0</v>
      </c>
      <c r="N222" s="201">
        <f t="shared" ref="N222:N223" si="33">K222-L222-M222</f>
        <v>0</v>
      </c>
      <c r="O222" s="186" t="s">
        <v>541</v>
      </c>
      <c r="P222" s="206" t="s">
        <v>70</v>
      </c>
    </row>
    <row r="223">
      <c r="A223" s="322"/>
      <c r="B223" s="304" t="s">
        <v>17</v>
      </c>
      <c r="C223" s="304" t="s">
        <v>705</v>
      </c>
      <c r="D223" s="300" t="s">
        <v>806</v>
      </c>
      <c r="E223" s="206" t="s">
        <v>35</v>
      </c>
      <c r="F223" s="304" t="s">
        <v>21</v>
      </c>
      <c r="G223" s="304">
        <v>15.0</v>
      </c>
      <c r="H223" s="304" t="s">
        <v>92</v>
      </c>
      <c r="I223" s="307"/>
      <c r="J223" s="307"/>
      <c r="K223" s="304">
        <v>25.0</v>
      </c>
      <c r="L223" s="186"/>
      <c r="M223" s="201">
        <v>25.0</v>
      </c>
      <c r="N223" s="201">
        <f t="shared" si="33"/>
        <v>0</v>
      </c>
      <c r="O223" s="186" t="s">
        <v>541</v>
      </c>
      <c r="P223" s="206" t="s">
        <v>70</v>
      </c>
    </row>
    <row r="224">
      <c r="A224" s="228"/>
      <c r="B224" s="187"/>
      <c r="C224" s="186"/>
      <c r="D224" s="186"/>
      <c r="E224" s="186"/>
      <c r="F224" s="190"/>
      <c r="G224" s="186"/>
      <c r="H224" s="186"/>
      <c r="I224" s="188"/>
      <c r="J224" s="188"/>
      <c r="K224" s="186"/>
      <c r="L224" s="186"/>
      <c r="M224" s="186"/>
      <c r="N224" s="189"/>
      <c r="O224" s="186"/>
      <c r="P224" s="186"/>
    </row>
    <row r="225">
      <c r="A225" s="228"/>
      <c r="B225" s="186"/>
      <c r="C225" s="186"/>
      <c r="D225" s="186"/>
      <c r="E225" s="189"/>
      <c r="F225" s="296"/>
      <c r="G225" s="186"/>
      <c r="H225" s="189"/>
      <c r="I225" s="341"/>
      <c r="J225" s="342"/>
      <c r="K225" s="186"/>
      <c r="L225" s="189"/>
      <c r="M225" s="186"/>
      <c r="N225" s="189"/>
      <c r="O225" s="189"/>
      <c r="P225" s="186"/>
    </row>
    <row r="226">
      <c r="A226" s="228"/>
      <c r="B226" s="345"/>
      <c r="C226" s="168"/>
      <c r="D226" s="168"/>
      <c r="E226" s="168"/>
      <c r="F226" s="168"/>
      <c r="G226" s="168"/>
      <c r="H226" s="168"/>
      <c r="I226" s="346"/>
      <c r="J226" s="346"/>
      <c r="K226" s="168"/>
      <c r="L226" s="168"/>
      <c r="M226" s="168"/>
      <c r="N226" s="347"/>
      <c r="O226" s="168"/>
      <c r="P226" s="148"/>
    </row>
    <row r="227">
      <c r="A227" s="228"/>
      <c r="B227" s="340"/>
      <c r="C227" s="186"/>
      <c r="D227" s="186"/>
      <c r="E227" s="186"/>
      <c r="F227" s="186"/>
      <c r="G227" s="186"/>
      <c r="H227" s="186"/>
      <c r="I227" s="188"/>
      <c r="J227" s="188"/>
      <c r="K227" s="186"/>
      <c r="L227" s="186"/>
      <c r="M227" s="186"/>
      <c r="N227" s="189"/>
      <c r="O227" s="186"/>
      <c r="P227" s="186"/>
    </row>
    <row r="228">
      <c r="A228" s="322"/>
      <c r="B228" s="304" t="s">
        <v>17</v>
      </c>
      <c r="C228" s="304" t="s">
        <v>603</v>
      </c>
      <c r="D228" s="304" t="s">
        <v>807</v>
      </c>
      <c r="E228" s="206" t="s">
        <v>34</v>
      </c>
      <c r="F228" s="304" t="s">
        <v>23</v>
      </c>
      <c r="G228" s="304">
        <v>20.0</v>
      </c>
      <c r="H228" s="306" t="s">
        <v>76</v>
      </c>
      <c r="I228" s="307">
        <v>45996.0</v>
      </c>
      <c r="J228" s="307">
        <v>46010.0</v>
      </c>
      <c r="K228" s="304">
        <v>40.0</v>
      </c>
      <c r="L228" s="186"/>
      <c r="M228" s="201">
        <v>40.0</v>
      </c>
      <c r="N228" s="189">
        <f>K228-L228-M228</f>
        <v>0</v>
      </c>
      <c r="O228" s="186" t="s">
        <v>808</v>
      </c>
      <c r="P228" s="205" t="s">
        <v>70</v>
      </c>
    </row>
    <row r="229">
      <c r="A229" s="228"/>
      <c r="B229" s="187"/>
      <c r="C229" s="186"/>
      <c r="D229" s="186"/>
      <c r="E229" s="186"/>
      <c r="F229" s="186"/>
      <c r="G229" s="186"/>
      <c r="H229" s="186"/>
      <c r="I229" s="188"/>
      <c r="J229" s="188"/>
      <c r="K229" s="186"/>
      <c r="L229" s="186"/>
      <c r="M229" s="186"/>
      <c r="N229" s="189"/>
      <c r="O229" s="186"/>
      <c r="P229" s="201"/>
    </row>
    <row r="230">
      <c r="A230" s="228"/>
      <c r="B230" s="186"/>
      <c r="C230" s="186"/>
      <c r="D230" s="186"/>
      <c r="E230" s="189"/>
      <c r="F230" s="186"/>
      <c r="G230" s="186"/>
      <c r="H230" s="189"/>
      <c r="I230" s="189"/>
      <c r="J230" s="189"/>
      <c r="K230" s="186"/>
      <c r="L230" s="190"/>
      <c r="M230" s="186"/>
      <c r="N230" s="189"/>
      <c r="O230" s="186"/>
      <c r="P230" s="186"/>
    </row>
    <row r="231">
      <c r="A231" s="228"/>
      <c r="B231" s="186"/>
      <c r="C231" s="186"/>
      <c r="D231" s="186"/>
      <c r="E231" s="186"/>
      <c r="F231" s="186"/>
      <c r="G231" s="186"/>
      <c r="H231" s="186"/>
      <c r="I231" s="188"/>
      <c r="J231" s="188"/>
      <c r="K231" s="186"/>
      <c r="L231" s="190"/>
      <c r="M231" s="186"/>
      <c r="N231" s="190"/>
      <c r="O231" s="186"/>
      <c r="P231" s="201"/>
    </row>
    <row r="232">
      <c r="A232" s="228"/>
      <c r="B232" s="187"/>
      <c r="C232" s="186"/>
      <c r="D232" s="186"/>
      <c r="E232" s="186"/>
      <c r="F232" s="186"/>
      <c r="G232" s="186"/>
      <c r="H232" s="186"/>
      <c r="I232" s="298"/>
      <c r="J232" s="298"/>
      <c r="K232" s="186"/>
      <c r="L232" s="186"/>
      <c r="M232" s="186"/>
      <c r="N232" s="189"/>
      <c r="O232" s="186"/>
      <c r="P232" s="186"/>
    </row>
    <row r="233">
      <c r="A233" s="228"/>
      <c r="B233" s="187"/>
      <c r="C233" s="296"/>
      <c r="D233" s="296"/>
      <c r="E233" s="296"/>
      <c r="F233" s="344"/>
      <c r="G233" s="186"/>
      <c r="H233" s="296"/>
      <c r="I233" s="298"/>
      <c r="J233" s="298"/>
      <c r="K233" s="186"/>
      <c r="L233" s="186"/>
      <c r="M233" s="186"/>
      <c r="N233" s="189"/>
      <c r="O233" s="186"/>
      <c r="P233" s="186"/>
    </row>
    <row r="234">
      <c r="A234" s="228"/>
      <c r="B234" s="186"/>
      <c r="C234" s="186"/>
      <c r="D234" s="186"/>
      <c r="E234" s="186"/>
      <c r="F234" s="334"/>
      <c r="G234" s="186"/>
      <c r="H234" s="334"/>
      <c r="I234" s="348"/>
      <c r="J234" s="348"/>
      <c r="K234" s="186"/>
      <c r="L234" s="186"/>
      <c r="M234" s="186"/>
      <c r="N234" s="189"/>
      <c r="O234" s="186"/>
      <c r="P234" s="186"/>
    </row>
    <row r="235">
      <c r="A235" s="228"/>
      <c r="B235" s="186"/>
      <c r="C235" s="186"/>
      <c r="D235" s="186"/>
      <c r="E235" s="190"/>
      <c r="F235" s="344"/>
      <c r="G235" s="186"/>
      <c r="H235" s="344"/>
      <c r="I235" s="191"/>
      <c r="J235" s="191"/>
      <c r="K235" s="186"/>
      <c r="L235" s="190"/>
      <c r="M235" s="186"/>
      <c r="N235" s="190"/>
      <c r="O235" s="186"/>
      <c r="P235" s="186"/>
    </row>
    <row r="236">
      <c r="A236" s="228"/>
      <c r="B236" s="190"/>
      <c r="C236" s="190"/>
      <c r="D236" s="190"/>
      <c r="E236" s="190"/>
      <c r="F236" s="344"/>
      <c r="G236" s="190"/>
      <c r="H236" s="186"/>
      <c r="I236" s="191"/>
      <c r="J236" s="191"/>
      <c r="K236" s="190"/>
      <c r="L236" s="190"/>
      <c r="M236" s="186"/>
      <c r="N236" s="189"/>
      <c r="O236" s="186"/>
      <c r="P236" s="297"/>
    </row>
    <row r="237">
      <c r="A237" s="228"/>
      <c r="B237" s="334"/>
      <c r="C237" s="334"/>
      <c r="D237" s="334"/>
      <c r="E237" s="334"/>
      <c r="F237" s="334"/>
      <c r="G237" s="334"/>
      <c r="H237" s="334"/>
      <c r="I237" s="343"/>
      <c r="J237" s="343"/>
      <c r="K237" s="334"/>
      <c r="L237" s="349"/>
      <c r="M237" s="334"/>
      <c r="N237" s="190"/>
      <c r="O237" s="186"/>
      <c r="P237" s="334"/>
    </row>
    <row r="238">
      <c r="A238" s="228"/>
      <c r="B238" s="186"/>
      <c r="C238" s="186"/>
      <c r="D238" s="186"/>
      <c r="E238" s="189"/>
      <c r="F238" s="334"/>
      <c r="G238" s="186"/>
      <c r="H238" s="333"/>
      <c r="I238" s="191"/>
      <c r="J238" s="191"/>
      <c r="K238" s="186"/>
      <c r="L238" s="189"/>
      <c r="M238" s="186"/>
      <c r="N238" s="189"/>
      <c r="O238" s="186"/>
      <c r="P238" s="186"/>
    </row>
    <row r="239">
      <c r="A239" s="186"/>
      <c r="B239" s="186"/>
      <c r="C239" s="186"/>
      <c r="D239" s="186"/>
      <c r="E239" s="186"/>
      <c r="F239" s="296"/>
      <c r="G239" s="186"/>
      <c r="H239" s="296"/>
      <c r="I239" s="298"/>
      <c r="J239" s="298"/>
      <c r="K239" s="186"/>
      <c r="L239" s="190"/>
      <c r="M239" s="186"/>
      <c r="N239" s="190"/>
      <c r="O239" s="186"/>
      <c r="P239" s="186"/>
    </row>
    <row r="240">
      <c r="A240" s="186"/>
      <c r="B240" s="186"/>
      <c r="C240" s="186"/>
      <c r="D240" s="186"/>
      <c r="E240" s="186"/>
      <c r="F240" s="186"/>
      <c r="G240" s="186"/>
      <c r="H240" s="186"/>
      <c r="I240" s="188"/>
      <c r="J240" s="188"/>
      <c r="K240" s="186"/>
      <c r="L240" s="190"/>
      <c r="M240" s="186"/>
      <c r="N240" s="190"/>
      <c r="O240" s="186"/>
      <c r="P240" s="186"/>
    </row>
    <row r="241">
      <c r="A241" s="186"/>
      <c r="B241" s="187"/>
      <c r="C241" s="186"/>
      <c r="D241" s="186"/>
      <c r="E241" s="186"/>
      <c r="F241" s="186"/>
      <c r="G241" s="186"/>
      <c r="H241" s="186"/>
      <c r="I241" s="188"/>
      <c r="J241" s="188"/>
      <c r="K241" s="186"/>
      <c r="L241" s="190"/>
      <c r="M241" s="186"/>
      <c r="N241" s="189"/>
      <c r="O241" s="186"/>
      <c r="P241" s="186"/>
    </row>
    <row r="242">
      <c r="A242" s="186"/>
      <c r="B242" s="187"/>
      <c r="C242" s="186"/>
      <c r="D242" s="186"/>
      <c r="E242" s="186"/>
      <c r="F242" s="334"/>
      <c r="G242" s="186"/>
      <c r="H242" s="334"/>
      <c r="I242" s="188"/>
      <c r="J242" s="188"/>
      <c r="K242" s="186"/>
      <c r="L242" s="190"/>
      <c r="M242" s="186"/>
      <c r="N242" s="189"/>
      <c r="O242" s="186"/>
      <c r="P242" s="186"/>
    </row>
    <row r="243">
      <c r="A243" s="228"/>
      <c r="B243" s="186"/>
      <c r="C243" s="186"/>
      <c r="D243" s="186"/>
      <c r="E243" s="186"/>
      <c r="F243" s="186"/>
      <c r="G243" s="186"/>
      <c r="H243" s="186"/>
      <c r="I243" s="188"/>
      <c r="J243" s="188"/>
      <c r="K243" s="186"/>
      <c r="L243" s="190"/>
      <c r="M243" s="190"/>
      <c r="N243" s="190"/>
      <c r="O243" s="186"/>
      <c r="P243" s="186"/>
    </row>
    <row r="244">
      <c r="A244" s="228"/>
      <c r="B244" s="187"/>
      <c r="C244" s="186"/>
      <c r="D244" s="186"/>
      <c r="E244" s="186"/>
      <c r="F244" s="296"/>
      <c r="G244" s="186"/>
      <c r="H244" s="186"/>
      <c r="I244" s="298"/>
      <c r="J244" s="298"/>
      <c r="K244" s="186"/>
      <c r="L244" s="186"/>
      <c r="M244" s="186"/>
      <c r="N244" s="189"/>
      <c r="O244" s="186"/>
      <c r="P244" s="186"/>
    </row>
    <row r="245">
      <c r="A245" s="228"/>
      <c r="B245" s="187"/>
      <c r="C245" s="186"/>
      <c r="D245" s="186"/>
      <c r="E245" s="186"/>
      <c r="F245" s="296"/>
      <c r="G245" s="186"/>
      <c r="H245" s="186"/>
      <c r="I245" s="298"/>
      <c r="J245" s="298"/>
      <c r="K245" s="186"/>
      <c r="L245" s="186"/>
      <c r="M245" s="186"/>
      <c r="N245" s="189"/>
      <c r="O245" s="186"/>
      <c r="P245" s="186"/>
    </row>
    <row r="246">
      <c r="A246" s="228"/>
      <c r="B246" s="187"/>
      <c r="C246" s="186"/>
      <c r="D246" s="186"/>
      <c r="E246" s="186"/>
      <c r="F246" s="186"/>
      <c r="G246" s="186"/>
      <c r="H246" s="186"/>
      <c r="I246" s="188"/>
      <c r="J246" s="188"/>
      <c r="K246" s="186"/>
      <c r="L246" s="186"/>
      <c r="M246" s="186"/>
      <c r="N246" s="189"/>
      <c r="O246" s="186"/>
      <c r="P246" s="186"/>
    </row>
    <row r="247">
      <c r="A247" s="228"/>
      <c r="B247" s="186"/>
      <c r="C247" s="186"/>
      <c r="D247" s="186"/>
      <c r="E247" s="186"/>
      <c r="F247" s="186"/>
      <c r="G247" s="186"/>
      <c r="H247" s="186"/>
      <c r="I247" s="188"/>
      <c r="J247" s="188"/>
      <c r="K247" s="186"/>
      <c r="L247" s="186"/>
      <c r="M247" s="186"/>
      <c r="N247" s="189"/>
      <c r="O247" s="186"/>
      <c r="P247" s="186"/>
    </row>
    <row r="248">
      <c r="A248" s="228"/>
      <c r="B248" s="186"/>
      <c r="C248" s="186"/>
      <c r="D248" s="186"/>
      <c r="E248" s="186"/>
      <c r="F248" s="186"/>
      <c r="G248" s="186"/>
      <c r="H248" s="186"/>
      <c r="I248" s="188"/>
      <c r="J248" s="188"/>
      <c r="K248" s="186"/>
      <c r="L248" s="190"/>
      <c r="M248" s="190"/>
      <c r="N248" s="190"/>
      <c r="O248" s="186"/>
      <c r="P248" s="186"/>
    </row>
    <row r="249">
      <c r="A249" s="186"/>
      <c r="B249" s="187"/>
      <c r="C249" s="186"/>
      <c r="D249" s="186"/>
      <c r="E249" s="186"/>
      <c r="F249" s="186"/>
      <c r="G249" s="186"/>
      <c r="H249" s="186"/>
      <c r="I249" s="188"/>
      <c r="J249" s="188"/>
      <c r="K249" s="186"/>
      <c r="L249" s="190"/>
      <c r="M249" s="186"/>
      <c r="N249" s="189"/>
      <c r="O249" s="186"/>
      <c r="P249" s="186"/>
    </row>
    <row r="250">
      <c r="A250" s="186"/>
      <c r="B250" s="187"/>
      <c r="C250" s="186"/>
      <c r="D250" s="186"/>
      <c r="E250" s="186"/>
      <c r="F250" s="186"/>
      <c r="G250" s="186"/>
      <c r="H250" s="186"/>
      <c r="I250" s="188"/>
      <c r="J250" s="188"/>
      <c r="K250" s="186"/>
      <c r="L250" s="190"/>
      <c r="M250" s="186"/>
      <c r="N250" s="189"/>
      <c r="O250" s="186"/>
      <c r="P250" s="186"/>
    </row>
    <row r="251">
      <c r="A251" s="228"/>
      <c r="B251" s="187"/>
      <c r="C251" s="186"/>
      <c r="D251" s="186"/>
      <c r="E251" s="186"/>
      <c r="F251" s="186"/>
      <c r="G251" s="186"/>
      <c r="H251" s="186"/>
      <c r="I251" s="188"/>
      <c r="J251" s="188"/>
      <c r="K251" s="186"/>
      <c r="L251" s="186"/>
      <c r="M251" s="186"/>
      <c r="N251" s="189"/>
      <c r="O251" s="186"/>
      <c r="P251" s="186"/>
    </row>
    <row r="252" ht="36.75" customHeight="1">
      <c r="A252" s="186"/>
      <c r="B252" s="186"/>
      <c r="C252" s="186"/>
      <c r="D252" s="186"/>
      <c r="E252" s="186"/>
      <c r="F252" s="186"/>
      <c r="G252" s="186"/>
      <c r="H252" s="186"/>
      <c r="I252" s="188"/>
      <c r="J252" s="188"/>
      <c r="K252" s="186"/>
      <c r="L252" s="186"/>
      <c r="M252" s="186"/>
      <c r="N252" s="189"/>
      <c r="O252" s="186"/>
      <c r="P252" s="186"/>
    </row>
    <row r="253">
      <c r="A253" s="228"/>
      <c r="B253" s="186"/>
      <c r="C253" s="186"/>
      <c r="D253" s="186"/>
      <c r="E253" s="190"/>
      <c r="F253" s="296"/>
      <c r="G253" s="186"/>
      <c r="H253" s="344"/>
      <c r="I253" s="191"/>
      <c r="J253" s="191"/>
      <c r="K253" s="186"/>
      <c r="L253" s="190"/>
      <c r="M253" s="186"/>
      <c r="N253" s="190"/>
      <c r="O253" s="186"/>
      <c r="P253" s="186"/>
    </row>
    <row r="254">
      <c r="A254" s="228"/>
      <c r="B254" s="186"/>
      <c r="C254" s="186"/>
      <c r="D254" s="186"/>
      <c r="E254" s="186"/>
      <c r="F254" s="296"/>
      <c r="G254" s="186"/>
      <c r="H254" s="296"/>
      <c r="I254" s="298"/>
      <c r="J254" s="298"/>
      <c r="K254" s="186"/>
      <c r="L254" s="186"/>
      <c r="M254" s="186"/>
      <c r="N254" s="189"/>
      <c r="O254" s="186"/>
      <c r="P254" s="186"/>
    </row>
    <row r="255" ht="36.75" customHeight="1">
      <c r="A255" s="186"/>
      <c r="B255" s="186"/>
      <c r="C255" s="186"/>
      <c r="D255" s="186"/>
      <c r="E255" s="186"/>
      <c r="F255" s="186"/>
      <c r="G255" s="186"/>
      <c r="H255" s="186"/>
      <c r="I255" s="188"/>
      <c r="J255" s="188"/>
      <c r="K255" s="186"/>
      <c r="L255" s="186"/>
      <c r="M255" s="186"/>
      <c r="N255" s="189"/>
      <c r="O255" s="186"/>
      <c r="P255" s="201"/>
    </row>
    <row r="256" ht="36.75" customHeight="1">
      <c r="A256" s="186"/>
      <c r="B256" s="186"/>
      <c r="C256" s="186"/>
      <c r="D256" s="186"/>
      <c r="E256" s="189"/>
      <c r="F256" s="186"/>
      <c r="G256" s="186"/>
      <c r="H256" s="189"/>
      <c r="I256" s="225"/>
      <c r="J256" s="191"/>
      <c r="K256" s="186"/>
      <c r="L256" s="189"/>
      <c r="M256" s="186"/>
      <c r="N256" s="189"/>
      <c r="O256" s="189"/>
      <c r="P256" s="201"/>
    </row>
    <row r="257" ht="36.75" customHeight="1">
      <c r="A257" s="186"/>
      <c r="B257" s="186"/>
      <c r="C257" s="186"/>
      <c r="D257" s="186"/>
      <c r="E257" s="189"/>
      <c r="F257" s="186"/>
      <c r="G257" s="186"/>
      <c r="H257" s="189"/>
      <c r="I257" s="225"/>
      <c r="J257" s="191"/>
      <c r="K257" s="186"/>
      <c r="L257" s="189"/>
      <c r="M257" s="186"/>
      <c r="N257" s="189"/>
      <c r="O257" s="189"/>
      <c r="P257" s="201"/>
    </row>
    <row r="258" ht="36.75" customHeight="1">
      <c r="A258" s="186"/>
      <c r="B258" s="186"/>
      <c r="C258" s="186"/>
      <c r="D258" s="186"/>
      <c r="E258" s="186"/>
      <c r="F258" s="186"/>
      <c r="G258" s="186"/>
      <c r="H258" s="186"/>
      <c r="I258" s="298"/>
      <c r="J258" s="298"/>
      <c r="K258" s="186"/>
      <c r="L258" s="190"/>
      <c r="M258" s="186"/>
      <c r="N258" s="189"/>
      <c r="O258" s="186"/>
      <c r="P258" s="201"/>
    </row>
    <row r="259" ht="36.75" customHeight="1">
      <c r="A259" s="186"/>
      <c r="B259" s="186"/>
      <c r="C259" s="186"/>
      <c r="D259" s="186"/>
      <c r="E259" s="190"/>
      <c r="F259" s="186"/>
      <c r="G259" s="186"/>
      <c r="H259" s="190"/>
      <c r="I259" s="342"/>
      <c r="J259" s="342"/>
      <c r="K259" s="186"/>
      <c r="L259" s="190"/>
      <c r="M259" s="186"/>
      <c r="N259" s="189"/>
      <c r="O259" s="186"/>
      <c r="P259" s="201"/>
    </row>
    <row r="260" ht="36.75" customHeight="1">
      <c r="A260" s="186"/>
      <c r="B260" s="186"/>
      <c r="C260" s="186"/>
      <c r="D260" s="186"/>
      <c r="E260" s="190"/>
      <c r="F260" s="186"/>
      <c r="G260" s="186"/>
      <c r="H260" s="190"/>
      <c r="I260" s="342"/>
      <c r="J260" s="342"/>
      <c r="K260" s="186"/>
      <c r="L260" s="190"/>
      <c r="M260" s="186"/>
      <c r="N260" s="189"/>
      <c r="O260" s="186"/>
      <c r="P260" s="201"/>
    </row>
    <row r="261">
      <c r="A261" s="228"/>
      <c r="B261" s="186"/>
      <c r="C261" s="186"/>
      <c r="D261" s="186"/>
      <c r="E261" s="189"/>
      <c r="F261" s="186"/>
      <c r="G261" s="186"/>
      <c r="H261" s="189"/>
      <c r="I261" s="189"/>
      <c r="J261" s="189"/>
      <c r="K261" s="186"/>
      <c r="L261" s="190"/>
      <c r="M261" s="186"/>
      <c r="N261" s="189"/>
      <c r="O261" s="186"/>
      <c r="P261" s="186"/>
    </row>
    <row r="262">
      <c r="A262" s="228"/>
      <c r="B262" s="187"/>
      <c r="C262" s="186"/>
      <c r="D262" s="186"/>
      <c r="E262" s="186"/>
      <c r="F262" s="296"/>
      <c r="G262" s="186"/>
      <c r="H262" s="296"/>
      <c r="I262" s="350"/>
      <c r="J262" s="350"/>
      <c r="K262" s="186"/>
      <c r="L262" s="186"/>
      <c r="M262" s="186"/>
      <c r="N262" s="189"/>
      <c r="O262" s="186"/>
      <c r="P262" s="186"/>
    </row>
    <row r="263">
      <c r="A263" s="294"/>
      <c r="B263" s="187"/>
      <c r="C263" s="186"/>
      <c r="D263" s="186"/>
      <c r="E263" s="186"/>
      <c r="F263" s="296"/>
      <c r="G263" s="186"/>
      <c r="H263" s="296"/>
      <c r="I263" s="298"/>
      <c r="J263" s="298"/>
      <c r="K263" s="186"/>
      <c r="L263" s="186"/>
      <c r="M263" s="186"/>
      <c r="N263" s="189"/>
      <c r="O263" s="186"/>
      <c r="P263" s="201"/>
    </row>
    <row r="264">
      <c r="A264" s="228"/>
      <c r="B264" s="187"/>
      <c r="C264" s="186"/>
      <c r="D264" s="186"/>
      <c r="E264" s="186"/>
      <c r="F264" s="334"/>
      <c r="G264" s="186"/>
      <c r="H264" s="334"/>
      <c r="I264" s="298"/>
      <c r="J264" s="298"/>
      <c r="K264" s="186"/>
      <c r="L264" s="186"/>
      <c r="M264" s="186"/>
      <c r="N264" s="189"/>
      <c r="O264" s="186"/>
      <c r="P264" s="201"/>
    </row>
    <row r="265" ht="36.75" customHeight="1">
      <c r="A265" s="186"/>
      <c r="B265" s="187"/>
      <c r="C265" s="186"/>
      <c r="D265" s="186"/>
      <c r="E265" s="186"/>
      <c r="F265" s="186"/>
      <c r="G265" s="186"/>
      <c r="H265" s="186"/>
      <c r="I265" s="188"/>
      <c r="J265" s="188"/>
      <c r="K265" s="186"/>
      <c r="L265" s="186"/>
      <c r="M265" s="186"/>
      <c r="N265" s="189"/>
      <c r="O265" s="186"/>
      <c r="P265" s="186"/>
    </row>
    <row r="266">
      <c r="A266" s="228"/>
      <c r="B266" s="190"/>
      <c r="C266" s="190"/>
      <c r="D266" s="190"/>
      <c r="E266" s="190"/>
      <c r="F266" s="344"/>
      <c r="G266" s="190"/>
      <c r="H266" s="296"/>
      <c r="I266" s="191"/>
      <c r="J266" s="191"/>
      <c r="K266" s="190"/>
      <c r="L266" s="186"/>
      <c r="M266" s="186"/>
      <c r="N266" s="189"/>
      <c r="O266" s="186"/>
      <c r="P266" s="201"/>
    </row>
    <row r="267">
      <c r="A267" s="228"/>
      <c r="B267" s="187"/>
      <c r="C267" s="186"/>
      <c r="D267" s="186"/>
      <c r="E267" s="186"/>
      <c r="F267" s="296"/>
      <c r="G267" s="186"/>
      <c r="H267" s="296"/>
      <c r="I267" s="350"/>
      <c r="J267" s="350"/>
      <c r="K267" s="186"/>
      <c r="L267" s="186"/>
      <c r="M267" s="186"/>
      <c r="N267" s="189"/>
      <c r="O267" s="186"/>
      <c r="P267" s="186"/>
    </row>
    <row r="268">
      <c r="A268" s="228"/>
      <c r="B268" s="187"/>
      <c r="C268" s="186"/>
      <c r="D268" s="186"/>
      <c r="E268" s="186"/>
      <c r="F268" s="186"/>
      <c r="G268" s="186"/>
      <c r="H268" s="186"/>
      <c r="I268" s="188"/>
      <c r="J268" s="188"/>
      <c r="K268" s="186"/>
      <c r="L268" s="186"/>
      <c r="M268" s="186"/>
      <c r="N268" s="189"/>
      <c r="O268" s="186"/>
      <c r="P268" s="186"/>
    </row>
    <row r="269">
      <c r="A269" s="186"/>
      <c r="B269" s="186"/>
      <c r="C269" s="186"/>
      <c r="D269" s="186"/>
      <c r="E269" s="186"/>
      <c r="F269" s="296"/>
      <c r="G269" s="186"/>
      <c r="H269" s="296"/>
      <c r="I269" s="343"/>
      <c r="J269" s="343"/>
      <c r="K269" s="186"/>
      <c r="L269" s="190"/>
      <c r="M269" s="186"/>
      <c r="N269" s="190"/>
      <c r="O269" s="186"/>
      <c r="P269" s="186"/>
    </row>
    <row r="270">
      <c r="A270" s="186"/>
      <c r="B270" s="187"/>
      <c r="C270" s="186"/>
      <c r="D270" s="186"/>
      <c r="E270" s="186"/>
      <c r="F270" s="186"/>
      <c r="G270" s="186"/>
      <c r="H270" s="186"/>
      <c r="I270" s="188"/>
      <c r="J270" s="188"/>
      <c r="K270" s="186"/>
      <c r="L270" s="190"/>
      <c r="M270" s="186"/>
      <c r="N270" s="189"/>
      <c r="O270" s="186"/>
      <c r="P270" s="186"/>
    </row>
    <row r="271">
      <c r="A271" s="228"/>
      <c r="B271" s="187"/>
      <c r="C271" s="186"/>
      <c r="D271" s="186"/>
      <c r="E271" s="186"/>
      <c r="F271" s="186"/>
      <c r="G271" s="186"/>
      <c r="H271" s="186"/>
      <c r="I271" s="188"/>
      <c r="J271" s="188"/>
      <c r="K271" s="186"/>
      <c r="L271" s="186"/>
      <c r="M271" s="186"/>
      <c r="N271" s="189"/>
      <c r="O271" s="186"/>
      <c r="P271" s="186"/>
    </row>
    <row r="272">
      <c r="A272" s="228"/>
      <c r="B272" s="187"/>
      <c r="C272" s="186"/>
      <c r="D272" s="186"/>
      <c r="E272" s="186"/>
      <c r="F272" s="186"/>
      <c r="G272" s="186"/>
      <c r="H272" s="186"/>
      <c r="I272" s="348"/>
      <c r="J272" s="348"/>
      <c r="K272" s="186"/>
      <c r="L272" s="186"/>
      <c r="M272" s="186"/>
      <c r="N272" s="189"/>
      <c r="O272" s="186"/>
      <c r="P272" s="186"/>
    </row>
    <row r="273">
      <c r="A273" s="228"/>
      <c r="B273" s="187"/>
      <c r="C273" s="186"/>
      <c r="D273" s="186"/>
      <c r="E273" s="186"/>
      <c r="F273" s="186"/>
      <c r="G273" s="186"/>
      <c r="H273" s="186"/>
      <c r="I273" s="188"/>
      <c r="J273" s="188"/>
      <c r="K273" s="186"/>
      <c r="L273" s="186"/>
      <c r="M273" s="186"/>
      <c r="N273" s="189"/>
      <c r="O273" s="186"/>
      <c r="P273" s="186"/>
    </row>
    <row r="274">
      <c r="A274" s="228"/>
      <c r="B274" s="186"/>
      <c r="C274" s="186"/>
      <c r="D274" s="186"/>
      <c r="E274" s="186"/>
      <c r="F274" s="186"/>
      <c r="G274" s="186"/>
      <c r="H274" s="186"/>
      <c r="I274" s="188"/>
      <c r="J274" s="188"/>
      <c r="K274" s="186"/>
      <c r="L274" s="190"/>
      <c r="M274" s="186"/>
      <c r="N274" s="190"/>
      <c r="O274" s="186"/>
      <c r="P274" s="186"/>
    </row>
    <row r="275">
      <c r="A275" s="228"/>
      <c r="B275" s="187"/>
      <c r="C275" s="186"/>
      <c r="D275" s="186"/>
      <c r="E275" s="186"/>
      <c r="F275" s="296"/>
      <c r="G275" s="186"/>
      <c r="H275" s="186"/>
      <c r="I275" s="298"/>
      <c r="J275" s="298"/>
      <c r="K275" s="186"/>
      <c r="L275" s="186"/>
      <c r="M275" s="186"/>
      <c r="N275" s="189"/>
      <c r="O275" s="186"/>
      <c r="P275" s="296"/>
    </row>
    <row r="276">
      <c r="A276" s="228"/>
      <c r="B276" s="186"/>
      <c r="C276" s="186"/>
      <c r="D276" s="186"/>
      <c r="E276" s="186"/>
      <c r="F276" s="325"/>
      <c r="G276" s="186"/>
      <c r="H276" s="296"/>
      <c r="I276" s="343"/>
      <c r="J276" s="343"/>
      <c r="K276" s="186"/>
      <c r="L276" s="190"/>
      <c r="M276" s="186"/>
      <c r="N276" s="189"/>
      <c r="O276" s="186"/>
      <c r="P276" s="186"/>
    </row>
    <row r="277">
      <c r="A277" s="228"/>
      <c r="B277" s="187"/>
      <c r="C277" s="186"/>
      <c r="D277" s="186"/>
      <c r="E277" s="186"/>
      <c r="F277" s="296"/>
      <c r="G277" s="186"/>
      <c r="H277" s="186"/>
      <c r="I277" s="348"/>
      <c r="J277" s="348"/>
      <c r="K277" s="186"/>
      <c r="L277" s="186"/>
      <c r="M277" s="186"/>
      <c r="N277" s="189"/>
      <c r="O277" s="186"/>
      <c r="P277" s="296"/>
    </row>
    <row r="278">
      <c r="A278" s="228"/>
      <c r="B278" s="187"/>
      <c r="C278" s="186"/>
      <c r="D278" s="186"/>
      <c r="E278" s="186"/>
      <c r="F278" s="296"/>
      <c r="G278" s="186"/>
      <c r="H278" s="296"/>
      <c r="I278" s="298"/>
      <c r="J278" s="298"/>
      <c r="K278" s="186"/>
      <c r="L278" s="186"/>
      <c r="M278" s="186"/>
      <c r="N278" s="189"/>
      <c r="O278" s="186"/>
      <c r="P278" s="186"/>
    </row>
    <row r="279">
      <c r="A279" s="228"/>
      <c r="B279" s="186"/>
      <c r="C279" s="186"/>
      <c r="D279" s="186"/>
      <c r="E279" s="189"/>
      <c r="F279" s="296"/>
      <c r="G279" s="186"/>
      <c r="H279" s="189"/>
      <c r="I279" s="225"/>
      <c r="J279" s="191"/>
      <c r="K279" s="186"/>
      <c r="L279" s="189"/>
      <c r="M279" s="186"/>
      <c r="N279" s="189"/>
      <c r="O279" s="189"/>
      <c r="P279" s="186"/>
    </row>
    <row r="280">
      <c r="A280" s="228"/>
      <c r="B280" s="187"/>
      <c r="C280" s="186"/>
      <c r="D280" s="186"/>
      <c r="E280" s="186"/>
      <c r="F280" s="186"/>
      <c r="G280" s="186"/>
      <c r="H280" s="186"/>
      <c r="I280" s="188"/>
      <c r="J280" s="188"/>
      <c r="K280" s="186"/>
      <c r="L280" s="186"/>
      <c r="M280" s="186"/>
      <c r="N280" s="189"/>
      <c r="O280" s="186"/>
      <c r="P280" s="186"/>
    </row>
    <row r="281">
      <c r="A281" s="186"/>
      <c r="B281" s="186"/>
      <c r="C281" s="186"/>
      <c r="D281" s="186"/>
      <c r="E281" s="186"/>
      <c r="F281" s="334"/>
      <c r="G281" s="186"/>
      <c r="H281" s="334"/>
      <c r="I281" s="188"/>
      <c r="J281" s="188"/>
      <c r="K281" s="186"/>
      <c r="L281" s="190"/>
      <c r="M281" s="186"/>
      <c r="N281" s="190"/>
      <c r="O281" s="186"/>
      <c r="P281" s="186"/>
    </row>
    <row r="282">
      <c r="A282" s="186"/>
      <c r="B282" s="187"/>
      <c r="C282" s="186"/>
      <c r="D282" s="186"/>
      <c r="E282" s="186"/>
      <c r="F282" s="296"/>
      <c r="G282" s="186"/>
      <c r="H282" s="186"/>
      <c r="I282" s="188"/>
      <c r="J282" s="188"/>
      <c r="K282" s="186"/>
      <c r="L282" s="190"/>
      <c r="M282" s="186"/>
      <c r="N282" s="189"/>
      <c r="O282" s="186"/>
      <c r="P282" s="296"/>
    </row>
    <row r="283">
      <c r="A283" s="186"/>
      <c r="B283" s="187"/>
      <c r="C283" s="186"/>
      <c r="D283" s="186"/>
      <c r="E283" s="186"/>
      <c r="F283" s="334"/>
      <c r="G283" s="186"/>
      <c r="H283" s="334"/>
      <c r="I283" s="188"/>
      <c r="J283" s="188"/>
      <c r="K283" s="186"/>
      <c r="L283" s="190"/>
      <c r="M283" s="186"/>
      <c r="N283" s="189"/>
      <c r="O283" s="186"/>
      <c r="P283" s="186"/>
    </row>
    <row r="284">
      <c r="A284" s="186"/>
      <c r="B284" s="187"/>
      <c r="C284" s="186"/>
      <c r="D284" s="186"/>
      <c r="E284" s="186"/>
      <c r="F284" s="296"/>
      <c r="G284" s="186"/>
      <c r="H284" s="296"/>
      <c r="I284" s="298"/>
      <c r="J284" s="298"/>
      <c r="K284" s="186"/>
      <c r="L284" s="190"/>
      <c r="M284" s="186"/>
      <c r="N284" s="189"/>
      <c r="O284" s="186"/>
      <c r="P284" s="186"/>
    </row>
    <row r="285">
      <c r="A285" s="186"/>
      <c r="B285" s="187"/>
      <c r="C285" s="186"/>
      <c r="D285" s="186"/>
      <c r="E285" s="186"/>
      <c r="F285" s="186"/>
      <c r="G285" s="186"/>
      <c r="H285" s="186"/>
      <c r="I285" s="188"/>
      <c r="J285" s="188"/>
      <c r="K285" s="186"/>
      <c r="L285" s="190"/>
      <c r="M285" s="186"/>
      <c r="N285" s="189"/>
      <c r="O285" s="186"/>
      <c r="P285" s="186"/>
    </row>
    <row r="286">
      <c r="A286" s="228"/>
      <c r="B286" s="187"/>
      <c r="C286" s="186"/>
      <c r="D286" s="186"/>
      <c r="E286" s="186"/>
      <c r="F286" s="186"/>
      <c r="G286" s="186"/>
      <c r="H286" s="186"/>
      <c r="I286" s="188"/>
      <c r="J286" s="188"/>
      <c r="K286" s="186"/>
      <c r="L286" s="186"/>
      <c r="M286" s="186"/>
      <c r="N286" s="189"/>
      <c r="O286" s="186"/>
      <c r="P286" s="201"/>
    </row>
    <row r="287">
      <c r="A287" s="228"/>
      <c r="B287" s="187"/>
      <c r="C287" s="186"/>
      <c r="D287" s="186"/>
      <c r="E287" s="186"/>
      <c r="F287" s="296"/>
      <c r="G287" s="186"/>
      <c r="H287" s="296"/>
      <c r="I287" s="298"/>
      <c r="J287" s="298"/>
      <c r="K287" s="186"/>
      <c r="L287" s="186"/>
      <c r="M287" s="186"/>
      <c r="N287" s="189"/>
      <c r="O287" s="186"/>
      <c r="P287" s="186"/>
    </row>
    <row r="288">
      <c r="A288" s="228"/>
      <c r="B288" s="186"/>
      <c r="C288" s="186"/>
      <c r="D288" s="186"/>
      <c r="E288" s="186"/>
      <c r="F288" s="296"/>
      <c r="G288" s="186"/>
      <c r="H288" s="334"/>
      <c r="I288" s="188"/>
      <c r="J288" s="188"/>
      <c r="K288" s="186"/>
      <c r="L288" s="190"/>
      <c r="M288" s="186"/>
      <c r="N288" s="189"/>
      <c r="O288" s="186"/>
      <c r="P288" s="201"/>
    </row>
    <row r="289">
      <c r="A289" s="228"/>
      <c r="B289" s="187"/>
      <c r="C289" s="186"/>
      <c r="D289" s="186"/>
      <c r="E289" s="186"/>
      <c r="F289" s="296"/>
      <c r="G289" s="186"/>
      <c r="H289" s="186"/>
      <c r="I289" s="188"/>
      <c r="J289" s="188"/>
      <c r="K289" s="186"/>
      <c r="L289" s="186"/>
      <c r="M289" s="186"/>
      <c r="N289" s="189"/>
      <c r="O289" s="186"/>
      <c r="P289" s="186"/>
    </row>
    <row r="290">
      <c r="A290" s="228"/>
      <c r="B290" s="186"/>
      <c r="C290" s="186"/>
      <c r="D290" s="186"/>
      <c r="E290" s="186"/>
      <c r="F290" s="296"/>
      <c r="G290" s="186"/>
      <c r="H290" s="296"/>
      <c r="I290" s="298"/>
      <c r="J290" s="298"/>
      <c r="K290" s="186"/>
      <c r="L290" s="189"/>
      <c r="M290" s="186"/>
      <c r="N290" s="189"/>
      <c r="O290" s="186"/>
      <c r="P290" s="186"/>
    </row>
    <row r="291">
      <c r="A291" s="228"/>
      <c r="B291" s="186"/>
      <c r="C291" s="186"/>
      <c r="D291" s="186"/>
      <c r="E291" s="189"/>
      <c r="F291" s="334"/>
      <c r="G291" s="186"/>
      <c r="H291" s="333"/>
      <c r="I291" s="225"/>
      <c r="J291" s="191"/>
      <c r="K291" s="186"/>
      <c r="L291" s="189"/>
      <c r="M291" s="186"/>
      <c r="N291" s="189"/>
      <c r="O291" s="189"/>
      <c r="P291" s="186"/>
    </row>
    <row r="292">
      <c r="A292" s="228"/>
      <c r="B292" s="187"/>
      <c r="C292" s="186"/>
      <c r="D292" s="186"/>
      <c r="E292" s="186"/>
      <c r="F292" s="334"/>
      <c r="G292" s="186"/>
      <c r="H292" s="334"/>
      <c r="I292" s="348"/>
      <c r="J292" s="348"/>
      <c r="K292" s="186"/>
      <c r="L292" s="186"/>
      <c r="M292" s="186"/>
      <c r="N292" s="189"/>
      <c r="O292" s="186"/>
      <c r="P292" s="186"/>
    </row>
    <row r="293">
      <c r="A293" s="189"/>
      <c r="B293" s="186"/>
      <c r="C293" s="186"/>
      <c r="D293" s="186"/>
      <c r="E293" s="189"/>
      <c r="F293" s="333"/>
      <c r="G293" s="186"/>
      <c r="H293" s="333"/>
      <c r="I293" s="191"/>
      <c r="J293" s="191"/>
      <c r="K293" s="189"/>
      <c r="L293" s="189"/>
      <c r="M293" s="186"/>
      <c r="N293" s="189"/>
      <c r="O293" s="186"/>
      <c r="P293" s="201"/>
    </row>
    <row r="294">
      <c r="A294" s="228"/>
      <c r="B294" s="187"/>
      <c r="C294" s="186"/>
      <c r="D294" s="186"/>
      <c r="E294" s="186"/>
      <c r="F294" s="296"/>
      <c r="G294" s="186"/>
      <c r="H294" s="296"/>
      <c r="I294" s="350"/>
      <c r="J294" s="350"/>
      <c r="K294" s="186"/>
      <c r="L294" s="186"/>
      <c r="M294" s="186"/>
      <c r="N294" s="189"/>
      <c r="O294" s="186"/>
      <c r="P294" s="186"/>
    </row>
    <row r="295">
      <c r="A295" s="228"/>
      <c r="B295" s="187"/>
      <c r="C295" s="186"/>
      <c r="D295" s="186"/>
      <c r="E295" s="186"/>
      <c r="F295" s="296"/>
      <c r="G295" s="186"/>
      <c r="H295" s="296"/>
      <c r="I295" s="298"/>
      <c r="J295" s="298"/>
      <c r="K295" s="186"/>
      <c r="L295" s="186"/>
      <c r="M295" s="186"/>
      <c r="N295" s="189"/>
      <c r="O295" s="186"/>
      <c r="P295" s="186"/>
    </row>
    <row r="296">
      <c r="A296" s="228"/>
      <c r="B296" s="187"/>
      <c r="C296" s="186"/>
      <c r="D296" s="186"/>
      <c r="E296" s="186"/>
      <c r="F296" s="296"/>
      <c r="G296" s="186"/>
      <c r="H296" s="186"/>
      <c r="I296" s="188"/>
      <c r="J296" s="188"/>
      <c r="K296" s="186"/>
      <c r="L296" s="186"/>
      <c r="M296" s="186"/>
      <c r="N296" s="189"/>
      <c r="O296" s="186"/>
      <c r="P296" s="186"/>
    </row>
    <row r="297">
      <c r="A297" s="228"/>
      <c r="B297" s="187"/>
      <c r="C297" s="186"/>
      <c r="D297" s="186"/>
      <c r="E297" s="186"/>
      <c r="F297" s="344"/>
      <c r="G297" s="186"/>
      <c r="H297" s="186"/>
      <c r="I297" s="348"/>
      <c r="J297" s="348"/>
      <c r="K297" s="186"/>
      <c r="L297" s="186"/>
      <c r="M297" s="186"/>
      <c r="N297" s="189"/>
      <c r="O297" s="186"/>
      <c r="P297" s="186"/>
    </row>
    <row r="298">
      <c r="A298" s="228"/>
      <c r="B298" s="186"/>
      <c r="C298" s="186"/>
      <c r="D298" s="186"/>
      <c r="E298" s="186"/>
      <c r="F298" s="296"/>
      <c r="G298" s="186"/>
      <c r="H298" s="186"/>
      <c r="I298" s="188"/>
      <c r="J298" s="188"/>
      <c r="K298" s="186"/>
      <c r="L298" s="189"/>
      <c r="M298" s="186"/>
      <c r="N298" s="189"/>
      <c r="O298" s="186"/>
      <c r="P298" s="186"/>
    </row>
    <row r="299">
      <c r="A299" s="228"/>
      <c r="B299" s="187"/>
      <c r="C299" s="186"/>
      <c r="D299" s="186"/>
      <c r="E299" s="186"/>
      <c r="F299" s="296"/>
      <c r="G299" s="186"/>
      <c r="H299" s="186"/>
      <c r="I299" s="188"/>
      <c r="J299" s="188"/>
      <c r="K299" s="186"/>
      <c r="L299" s="186"/>
      <c r="M299" s="186"/>
      <c r="N299" s="189"/>
      <c r="O299" s="186"/>
      <c r="P299" s="296"/>
    </row>
    <row r="300">
      <c r="A300" s="228"/>
      <c r="B300" s="186"/>
      <c r="C300" s="186"/>
      <c r="D300" s="186"/>
      <c r="E300" s="189"/>
      <c r="F300" s="296"/>
      <c r="G300" s="186"/>
      <c r="H300" s="325"/>
      <c r="I300" s="325"/>
      <c r="J300" s="325"/>
      <c r="K300" s="186"/>
      <c r="L300" s="190"/>
      <c r="M300" s="186"/>
      <c r="N300" s="189"/>
      <c r="O300" s="186"/>
      <c r="P300" s="186"/>
    </row>
    <row r="301">
      <c r="A301" s="228"/>
      <c r="B301" s="186"/>
      <c r="C301" s="186"/>
      <c r="D301" s="186"/>
      <c r="E301" s="189"/>
      <c r="F301" s="334"/>
      <c r="G301" s="186"/>
      <c r="H301" s="333"/>
      <c r="I301" s="189"/>
      <c r="J301" s="189"/>
      <c r="K301" s="186"/>
      <c r="L301" s="190"/>
      <c r="M301" s="186"/>
      <c r="N301" s="189"/>
      <c r="O301" s="186"/>
      <c r="P301" s="186"/>
    </row>
    <row r="302">
      <c r="A302" s="228"/>
      <c r="B302" s="186"/>
      <c r="C302" s="296"/>
      <c r="D302" s="296"/>
      <c r="E302" s="325"/>
      <c r="F302" s="296"/>
      <c r="G302" s="186"/>
      <c r="H302" s="325"/>
      <c r="I302" s="325"/>
      <c r="J302" s="325"/>
      <c r="K302" s="186"/>
      <c r="L302" s="190"/>
      <c r="M302" s="186"/>
      <c r="N302" s="189"/>
      <c r="O302" s="186"/>
      <c r="P302" s="186"/>
    </row>
    <row r="303">
      <c r="A303" s="228"/>
      <c r="B303" s="187"/>
      <c r="C303" s="186"/>
      <c r="D303" s="186"/>
      <c r="E303" s="186"/>
      <c r="F303" s="296"/>
      <c r="G303" s="186"/>
      <c r="H303" s="186"/>
      <c r="I303" s="188"/>
      <c r="J303" s="188"/>
      <c r="K303" s="186"/>
      <c r="L303" s="186"/>
      <c r="M303" s="186"/>
      <c r="N303" s="189"/>
      <c r="O303" s="186"/>
      <c r="P303" s="186"/>
    </row>
    <row r="304">
      <c r="A304" s="228"/>
      <c r="B304" s="187"/>
      <c r="C304" s="186"/>
      <c r="D304" s="186"/>
      <c r="E304" s="186"/>
      <c r="F304" s="296"/>
      <c r="G304" s="186"/>
      <c r="H304" s="186"/>
      <c r="I304" s="298"/>
      <c r="J304" s="298"/>
      <c r="K304" s="186"/>
      <c r="L304" s="186"/>
      <c r="M304" s="186"/>
      <c r="N304" s="189"/>
      <c r="O304" s="186"/>
      <c r="P304" s="186"/>
    </row>
    <row r="305">
      <c r="A305" s="228"/>
      <c r="B305" s="187"/>
      <c r="C305" s="186"/>
      <c r="D305" s="186"/>
      <c r="E305" s="186"/>
      <c r="F305" s="186"/>
      <c r="G305" s="186"/>
      <c r="H305" s="186"/>
      <c r="I305" s="188"/>
      <c r="J305" s="188"/>
      <c r="K305" s="186"/>
      <c r="L305" s="186"/>
      <c r="M305" s="186"/>
      <c r="N305" s="189"/>
      <c r="O305" s="186"/>
      <c r="P305" s="201"/>
    </row>
    <row r="306">
      <c r="A306" s="228"/>
      <c r="B306" s="186"/>
      <c r="C306" s="186"/>
      <c r="D306" s="186"/>
      <c r="E306" s="186"/>
      <c r="F306" s="334"/>
      <c r="G306" s="186"/>
      <c r="H306" s="334"/>
      <c r="I306" s="188"/>
      <c r="J306" s="188"/>
      <c r="K306" s="186"/>
      <c r="L306" s="189"/>
      <c r="M306" s="186"/>
      <c r="N306" s="189"/>
      <c r="O306" s="186"/>
      <c r="P306" s="186"/>
    </row>
    <row r="307">
      <c r="A307" s="228"/>
      <c r="B307" s="186"/>
      <c r="C307" s="186"/>
      <c r="D307" s="186"/>
      <c r="E307" s="189"/>
      <c r="F307" s="296"/>
      <c r="G307" s="186"/>
      <c r="H307" s="189"/>
      <c r="I307" s="341"/>
      <c r="J307" s="342"/>
      <c r="K307" s="186"/>
      <c r="L307" s="189"/>
      <c r="M307" s="186"/>
      <c r="N307" s="189"/>
      <c r="O307" s="189"/>
      <c r="P307" s="186"/>
    </row>
    <row r="308">
      <c r="A308" s="228"/>
      <c r="B308" s="187"/>
      <c r="C308" s="186"/>
      <c r="D308" s="186"/>
      <c r="E308" s="186"/>
      <c r="F308" s="186"/>
      <c r="G308" s="186"/>
      <c r="H308" s="186"/>
      <c r="I308" s="188"/>
      <c r="J308" s="188"/>
      <c r="K308" s="186"/>
      <c r="L308" s="186"/>
      <c r="M308" s="186"/>
      <c r="N308" s="189"/>
      <c r="O308" s="186"/>
      <c r="P308" s="186"/>
    </row>
    <row r="309">
      <c r="A309" s="228"/>
      <c r="B309" s="187"/>
      <c r="C309" s="186"/>
      <c r="D309" s="186"/>
      <c r="E309" s="186"/>
      <c r="F309" s="186"/>
      <c r="G309" s="186"/>
      <c r="H309" s="186"/>
      <c r="I309" s="298"/>
      <c r="J309" s="298"/>
      <c r="K309" s="186"/>
      <c r="L309" s="186"/>
      <c r="M309" s="186"/>
      <c r="N309" s="189"/>
      <c r="O309" s="186"/>
      <c r="P309" s="186"/>
    </row>
    <row r="310">
      <c r="A310" s="228"/>
      <c r="B310" s="186"/>
      <c r="C310" s="186"/>
      <c r="D310" s="186"/>
      <c r="E310" s="189"/>
      <c r="F310" s="186"/>
      <c r="G310" s="186"/>
      <c r="H310" s="189"/>
      <c r="I310" s="341"/>
      <c r="J310" s="342"/>
      <c r="K310" s="186"/>
      <c r="L310" s="189"/>
      <c r="M310" s="186"/>
      <c r="N310" s="189"/>
      <c r="O310" s="189"/>
      <c r="P310" s="186"/>
    </row>
    <row r="311">
      <c r="A311" s="186"/>
      <c r="B311" s="189"/>
      <c r="C311" s="186"/>
      <c r="D311" s="189"/>
      <c r="E311" s="189"/>
      <c r="F311" s="189"/>
      <c r="G311" s="186"/>
      <c r="H311" s="189"/>
      <c r="I311" s="342"/>
      <c r="J311" s="342"/>
      <c r="K311" s="189"/>
      <c r="L311" s="189"/>
      <c r="M311" s="189"/>
      <c r="N311" s="189"/>
      <c r="O311" s="189"/>
      <c r="P311" s="186"/>
    </row>
    <row r="312">
      <c r="A312" s="186"/>
      <c r="B312" s="187"/>
      <c r="C312" s="186"/>
      <c r="D312" s="186"/>
      <c r="E312" s="186"/>
      <c r="F312" s="186"/>
      <c r="G312" s="186"/>
      <c r="H312" s="186"/>
      <c r="I312" s="298"/>
      <c r="J312" s="298"/>
      <c r="K312" s="186"/>
      <c r="L312" s="190"/>
      <c r="M312" s="186"/>
      <c r="N312" s="189"/>
      <c r="O312" s="186"/>
      <c r="P312" s="186"/>
    </row>
    <row r="313">
      <c r="A313" s="186"/>
      <c r="B313" s="189"/>
      <c r="C313" s="186"/>
      <c r="D313" s="186"/>
      <c r="E313" s="189"/>
      <c r="F313" s="189"/>
      <c r="G313" s="186"/>
      <c r="H313" s="189"/>
      <c r="I313" s="342"/>
      <c r="J313" s="342"/>
      <c r="K313" s="189"/>
      <c r="L313" s="189"/>
      <c r="M313" s="186"/>
      <c r="N313" s="189"/>
      <c r="O313" s="189"/>
      <c r="P313" s="186"/>
    </row>
    <row r="314">
      <c r="A314" s="186"/>
      <c r="B314" s="189"/>
      <c r="C314" s="186"/>
      <c r="D314" s="186"/>
      <c r="E314" s="189"/>
      <c r="F314" s="189"/>
      <c r="G314" s="186"/>
      <c r="H314" s="189"/>
      <c r="I314" s="342"/>
      <c r="J314" s="342"/>
      <c r="K314" s="189"/>
      <c r="L314" s="189"/>
      <c r="M314" s="186"/>
      <c r="N314" s="189"/>
      <c r="O314" s="189"/>
      <c r="P314" s="186"/>
    </row>
    <row r="315">
      <c r="A315" s="186"/>
      <c r="B315" s="187"/>
      <c r="C315" s="186"/>
      <c r="D315" s="186"/>
      <c r="E315" s="186"/>
      <c r="F315" s="186"/>
      <c r="G315" s="186"/>
      <c r="H315" s="186"/>
      <c r="I315" s="188"/>
      <c r="J315" s="188"/>
      <c r="K315" s="186"/>
      <c r="L315" s="190"/>
      <c r="M315" s="186"/>
      <c r="N315" s="189"/>
      <c r="O315" s="186"/>
      <c r="P315" s="186"/>
    </row>
    <row r="316">
      <c r="A316" s="186"/>
      <c r="B316" s="189"/>
      <c r="C316" s="186"/>
      <c r="D316" s="189"/>
      <c r="E316" s="189"/>
      <c r="F316" s="189"/>
      <c r="G316" s="186"/>
      <c r="H316" s="189"/>
      <c r="I316" s="191"/>
      <c r="J316" s="191"/>
      <c r="K316" s="189"/>
      <c r="L316" s="189"/>
      <c r="M316" s="189"/>
      <c r="N316" s="189"/>
      <c r="O316" s="189"/>
      <c r="P316" s="186"/>
    </row>
    <row r="317">
      <c r="A317" s="186"/>
      <c r="B317" s="186"/>
      <c r="C317" s="186"/>
      <c r="D317" s="186"/>
      <c r="E317" s="189"/>
      <c r="F317" s="186"/>
      <c r="G317" s="186"/>
      <c r="H317" s="189"/>
      <c r="I317" s="225"/>
      <c r="J317" s="191"/>
      <c r="K317" s="186"/>
      <c r="L317" s="189"/>
      <c r="M317" s="186"/>
      <c r="N317" s="189"/>
      <c r="O317" s="189"/>
      <c r="P317" s="186"/>
    </row>
    <row r="318">
      <c r="A318" s="228"/>
      <c r="B318" s="186"/>
      <c r="C318" s="186"/>
      <c r="D318" s="186"/>
      <c r="E318" s="186"/>
      <c r="F318" s="186"/>
      <c r="G318" s="186"/>
      <c r="H318" s="186"/>
      <c r="I318" s="188"/>
      <c r="J318" s="188"/>
      <c r="K318" s="186"/>
      <c r="L318" s="190"/>
      <c r="M318" s="186"/>
      <c r="N318" s="190"/>
      <c r="O318" s="186"/>
      <c r="P318" s="186"/>
    </row>
    <row r="319">
      <c r="A319" s="228"/>
      <c r="B319" s="186"/>
      <c r="C319" s="186"/>
      <c r="D319" s="186"/>
      <c r="E319" s="186"/>
      <c r="F319" s="186"/>
      <c r="G319" s="186"/>
      <c r="H319" s="186"/>
      <c r="I319" s="298"/>
      <c r="J319" s="298"/>
      <c r="K319" s="186"/>
      <c r="L319" s="190"/>
      <c r="M319" s="186"/>
      <c r="N319" s="190"/>
      <c r="O319" s="186"/>
      <c r="P319" s="186"/>
    </row>
    <row r="320">
      <c r="A320" s="186"/>
      <c r="B320" s="186"/>
      <c r="C320" s="186"/>
      <c r="D320" s="186"/>
      <c r="E320" s="186"/>
      <c r="F320" s="186"/>
      <c r="G320" s="186"/>
      <c r="H320" s="186"/>
      <c r="I320" s="188"/>
      <c r="J320" s="188"/>
      <c r="K320" s="186"/>
      <c r="L320" s="190"/>
      <c r="M320" s="186"/>
      <c r="N320" s="190"/>
      <c r="O320" s="186"/>
      <c r="P320" s="186"/>
    </row>
    <row r="321" ht="36.75" customHeight="1">
      <c r="A321" s="186"/>
      <c r="B321" s="190"/>
      <c r="C321" s="186"/>
      <c r="D321" s="190"/>
      <c r="E321" s="190"/>
      <c r="F321" s="190"/>
      <c r="G321" s="190"/>
      <c r="H321" s="190"/>
      <c r="I321" s="351"/>
      <c r="J321" s="351"/>
      <c r="K321" s="190"/>
      <c r="L321" s="189"/>
      <c r="M321" s="186"/>
      <c r="N321" s="189"/>
      <c r="O321" s="190"/>
      <c r="P321" s="186"/>
    </row>
    <row r="322">
      <c r="A322" s="186"/>
      <c r="B322" s="187"/>
      <c r="C322" s="186"/>
      <c r="D322" s="186"/>
      <c r="E322" s="186"/>
      <c r="F322" s="186"/>
      <c r="G322" s="186"/>
      <c r="H322" s="186"/>
      <c r="I322" s="188"/>
      <c r="J322" s="188"/>
      <c r="K322" s="186"/>
      <c r="L322" s="190"/>
      <c r="M322" s="186"/>
      <c r="N322" s="189"/>
      <c r="O322" s="186"/>
      <c r="P322" s="186"/>
    </row>
    <row r="323">
      <c r="A323" s="228"/>
      <c r="B323" s="186"/>
      <c r="C323" s="186"/>
      <c r="D323" s="186"/>
      <c r="E323" s="186"/>
      <c r="F323" s="186"/>
      <c r="G323" s="186"/>
      <c r="H323" s="186"/>
      <c r="I323" s="188"/>
      <c r="J323" s="188"/>
      <c r="K323" s="186"/>
      <c r="L323" s="190"/>
      <c r="M323" s="186"/>
      <c r="N323" s="190"/>
      <c r="O323" s="186"/>
      <c r="P323" s="186"/>
    </row>
    <row r="324">
      <c r="A324" s="228"/>
      <c r="B324" s="186"/>
      <c r="C324" s="186"/>
      <c r="D324" s="186"/>
      <c r="E324" s="186"/>
      <c r="F324" s="186"/>
      <c r="G324" s="186"/>
      <c r="H324" s="186"/>
      <c r="I324" s="188"/>
      <c r="J324" s="188"/>
      <c r="K324" s="186"/>
      <c r="L324" s="190"/>
      <c r="M324" s="186"/>
      <c r="N324" s="190"/>
      <c r="O324" s="186"/>
      <c r="P324" s="186"/>
    </row>
    <row r="325" ht="40.5" customHeight="1">
      <c r="A325" s="186"/>
      <c r="B325" s="186"/>
      <c r="C325" s="186"/>
      <c r="D325" s="186"/>
      <c r="E325" s="186"/>
      <c r="F325" s="186"/>
      <c r="G325" s="186"/>
      <c r="H325" s="186"/>
      <c r="I325" s="188"/>
      <c r="J325" s="188"/>
      <c r="K325" s="186"/>
      <c r="L325" s="189"/>
      <c r="M325" s="186"/>
      <c r="N325" s="189"/>
      <c r="O325" s="186"/>
      <c r="P325" s="186"/>
    </row>
    <row r="326">
      <c r="A326" s="228"/>
      <c r="B326" s="186"/>
      <c r="C326" s="186"/>
      <c r="D326" s="186"/>
      <c r="E326" s="186"/>
      <c r="F326" s="186"/>
      <c r="G326" s="186"/>
      <c r="H326" s="186"/>
      <c r="I326" s="298"/>
      <c r="J326" s="298"/>
      <c r="K326" s="186"/>
      <c r="L326" s="190"/>
      <c r="M326" s="186"/>
      <c r="N326" s="190"/>
      <c r="O326" s="186"/>
      <c r="P326" s="186"/>
    </row>
    <row r="327">
      <c r="A327" s="228"/>
      <c r="B327" s="186"/>
      <c r="C327" s="186"/>
      <c r="D327" s="186"/>
      <c r="E327" s="186"/>
      <c r="F327" s="186"/>
      <c r="G327" s="186"/>
      <c r="H327" s="186"/>
      <c r="I327" s="298"/>
      <c r="J327" s="298"/>
      <c r="K327" s="186"/>
      <c r="L327" s="190"/>
      <c r="M327" s="186"/>
      <c r="N327" s="190"/>
      <c r="O327" s="186"/>
      <c r="P327" s="186"/>
    </row>
    <row r="328">
      <c r="A328" s="228"/>
      <c r="B328" s="186"/>
      <c r="C328" s="186"/>
      <c r="D328" s="186"/>
      <c r="E328" s="190"/>
      <c r="F328" s="186"/>
      <c r="G328" s="186"/>
      <c r="H328" s="190"/>
      <c r="I328" s="191"/>
      <c r="J328" s="191"/>
      <c r="K328" s="186"/>
      <c r="L328" s="190"/>
      <c r="M328" s="186"/>
      <c r="N328" s="190"/>
      <c r="O328" s="186"/>
      <c r="P328" s="186"/>
    </row>
    <row r="329">
      <c r="A329" s="228"/>
      <c r="B329" s="186"/>
      <c r="C329" s="186"/>
      <c r="D329" s="186"/>
      <c r="E329" s="190"/>
      <c r="F329" s="186"/>
      <c r="G329" s="186"/>
      <c r="H329" s="190"/>
      <c r="I329" s="342"/>
      <c r="J329" s="342"/>
      <c r="K329" s="186"/>
      <c r="L329" s="190"/>
      <c r="M329" s="186"/>
      <c r="N329" s="190"/>
      <c r="O329" s="186"/>
      <c r="P329" s="186"/>
    </row>
    <row r="330">
      <c r="A330" s="228"/>
      <c r="B330" s="186"/>
      <c r="C330" s="186"/>
      <c r="D330" s="186"/>
      <c r="E330" s="189"/>
      <c r="F330" s="186"/>
      <c r="G330" s="186"/>
      <c r="H330" s="189"/>
      <c r="I330" s="341"/>
      <c r="J330" s="342"/>
      <c r="K330" s="186"/>
      <c r="L330" s="189"/>
      <c r="M330" s="186"/>
      <c r="N330" s="189"/>
      <c r="O330" s="189"/>
      <c r="P330" s="186"/>
    </row>
    <row r="331">
      <c r="A331" s="228"/>
      <c r="B331" s="186"/>
      <c r="C331" s="186"/>
      <c r="D331" s="186"/>
      <c r="E331" s="186"/>
      <c r="F331" s="186"/>
      <c r="G331" s="186"/>
      <c r="H331" s="186"/>
      <c r="I331" s="188"/>
      <c r="J331" s="188"/>
      <c r="K331" s="186"/>
      <c r="L331" s="190"/>
      <c r="M331" s="186"/>
      <c r="N331" s="190"/>
      <c r="O331" s="186"/>
      <c r="P331" s="186"/>
    </row>
    <row r="332" ht="36.75" customHeight="1">
      <c r="A332" s="186"/>
      <c r="B332" s="186"/>
      <c r="C332" s="186"/>
      <c r="D332" s="186"/>
      <c r="E332" s="186"/>
      <c r="F332" s="186"/>
      <c r="G332" s="186"/>
      <c r="H332" s="186"/>
      <c r="I332" s="188"/>
      <c r="J332" s="188"/>
      <c r="K332" s="186"/>
      <c r="L332" s="190"/>
      <c r="M332" s="186"/>
      <c r="N332" s="189"/>
      <c r="O332" s="186"/>
      <c r="P332" s="186"/>
    </row>
    <row r="333">
      <c r="A333" s="228"/>
      <c r="B333" s="189"/>
      <c r="C333" s="186"/>
      <c r="D333" s="186"/>
      <c r="E333" s="189"/>
      <c r="F333" s="186"/>
      <c r="G333" s="186"/>
      <c r="H333" s="189"/>
      <c r="I333" s="325"/>
      <c r="J333" s="342"/>
      <c r="K333" s="186"/>
      <c r="L333" s="189"/>
      <c r="M333" s="186"/>
      <c r="N333" s="189"/>
      <c r="O333" s="189"/>
      <c r="P333" s="186"/>
    </row>
    <row r="334">
      <c r="A334" s="186"/>
      <c r="B334" s="187"/>
      <c r="C334" s="186"/>
      <c r="D334" s="186"/>
      <c r="E334" s="186"/>
      <c r="F334" s="186"/>
      <c r="G334" s="186"/>
      <c r="H334" s="186"/>
      <c r="I334" s="298"/>
      <c r="J334" s="298"/>
      <c r="K334" s="186"/>
      <c r="L334" s="190"/>
      <c r="M334" s="186"/>
      <c r="N334" s="189"/>
      <c r="O334" s="186"/>
      <c r="P334" s="186"/>
    </row>
    <row r="335" ht="36.75" customHeight="1">
      <c r="A335" s="186"/>
      <c r="B335" s="187"/>
      <c r="C335" s="186"/>
      <c r="D335" s="186"/>
      <c r="E335" s="186"/>
      <c r="F335" s="186"/>
      <c r="G335" s="186"/>
      <c r="H335" s="186"/>
      <c r="I335" s="188"/>
      <c r="J335" s="188"/>
      <c r="K335" s="186"/>
      <c r="L335" s="190"/>
      <c r="M335" s="186"/>
      <c r="N335" s="189"/>
      <c r="O335" s="186"/>
      <c r="P335" s="186"/>
    </row>
    <row r="336" ht="36.75" customHeight="1">
      <c r="A336" s="186"/>
      <c r="B336" s="187"/>
      <c r="C336" s="186"/>
      <c r="D336" s="186"/>
      <c r="E336" s="186"/>
      <c r="F336" s="186"/>
      <c r="G336" s="186"/>
      <c r="H336" s="186"/>
      <c r="I336" s="188"/>
      <c r="J336" s="188"/>
      <c r="K336" s="186"/>
      <c r="L336" s="190"/>
      <c r="M336" s="186"/>
      <c r="N336" s="189"/>
      <c r="O336" s="186"/>
      <c r="P336" s="186"/>
    </row>
    <row r="337">
      <c r="A337" s="228"/>
      <c r="B337" s="186"/>
      <c r="C337" s="186"/>
      <c r="D337" s="186"/>
      <c r="E337" s="190"/>
      <c r="F337" s="186"/>
      <c r="G337" s="186"/>
      <c r="H337" s="190"/>
      <c r="I337" s="342"/>
      <c r="J337" s="342"/>
      <c r="K337" s="186"/>
      <c r="L337" s="190"/>
      <c r="M337" s="186"/>
      <c r="N337" s="190"/>
      <c r="O337" s="186"/>
      <c r="P337" s="186"/>
    </row>
    <row r="338">
      <c r="A338" s="228"/>
      <c r="B338" s="189"/>
      <c r="C338" s="186"/>
      <c r="D338" s="186"/>
      <c r="E338" s="189"/>
      <c r="F338" s="186"/>
      <c r="G338" s="186"/>
      <c r="H338" s="189"/>
      <c r="I338" s="325"/>
      <c r="J338" s="342"/>
      <c r="K338" s="186"/>
      <c r="L338" s="189"/>
      <c r="M338" s="186"/>
      <c r="N338" s="189"/>
      <c r="O338" s="189"/>
      <c r="P338" s="186"/>
    </row>
    <row r="339" ht="36.75" customHeight="1">
      <c r="A339" s="186"/>
      <c r="B339" s="186"/>
      <c r="C339" s="186"/>
      <c r="D339" s="186"/>
      <c r="E339" s="189"/>
      <c r="F339" s="186"/>
      <c r="G339" s="186"/>
      <c r="H339" s="189"/>
      <c r="I339" s="341"/>
      <c r="J339" s="342"/>
      <c r="K339" s="186"/>
      <c r="L339" s="189"/>
      <c r="M339" s="186"/>
      <c r="N339" s="189"/>
      <c r="O339" s="189"/>
      <c r="P339" s="186"/>
    </row>
    <row r="340">
      <c r="A340" s="228"/>
      <c r="B340" s="186"/>
      <c r="C340" s="186"/>
      <c r="D340" s="186"/>
      <c r="E340" s="190"/>
      <c r="F340" s="186"/>
      <c r="G340" s="186"/>
      <c r="H340" s="190"/>
      <c r="I340" s="342"/>
      <c r="J340" s="342"/>
      <c r="K340" s="186"/>
      <c r="L340" s="190"/>
      <c r="M340" s="186"/>
      <c r="N340" s="190"/>
      <c r="O340" s="186"/>
      <c r="P340" s="186"/>
    </row>
    <row r="341">
      <c r="A341" s="228"/>
      <c r="B341" s="189"/>
      <c r="C341" s="186"/>
      <c r="D341" s="186"/>
      <c r="E341" s="189"/>
      <c r="F341" s="186"/>
      <c r="G341" s="186"/>
      <c r="H341" s="189"/>
      <c r="I341" s="325"/>
      <c r="J341" s="342"/>
      <c r="K341" s="186"/>
      <c r="L341" s="189"/>
      <c r="M341" s="186"/>
      <c r="N341" s="189"/>
      <c r="O341" s="189"/>
      <c r="P341" s="186"/>
    </row>
    <row r="342">
      <c r="A342" s="228"/>
      <c r="B342" s="186"/>
      <c r="C342" s="186"/>
      <c r="D342" s="186"/>
      <c r="E342" s="190"/>
      <c r="F342" s="186"/>
      <c r="G342" s="186"/>
      <c r="H342" s="190"/>
      <c r="I342" s="191"/>
      <c r="J342" s="191"/>
      <c r="K342" s="186"/>
      <c r="L342" s="190"/>
      <c r="M342" s="186"/>
      <c r="N342" s="190"/>
      <c r="O342" s="186"/>
      <c r="P342" s="186"/>
    </row>
    <row r="343">
      <c r="A343" s="228"/>
      <c r="B343" s="186"/>
      <c r="C343" s="186"/>
      <c r="D343" s="186"/>
      <c r="E343" s="190"/>
      <c r="F343" s="186"/>
      <c r="G343" s="186"/>
      <c r="H343" s="190"/>
      <c r="I343" s="191"/>
      <c r="J343" s="191"/>
      <c r="K343" s="186"/>
      <c r="L343" s="190"/>
      <c r="M343" s="186"/>
      <c r="N343" s="190"/>
      <c r="O343" s="186"/>
      <c r="P343" s="186"/>
    </row>
    <row r="344">
      <c r="A344" s="228"/>
      <c r="B344" s="186"/>
      <c r="C344" s="186"/>
      <c r="D344" s="186"/>
      <c r="E344" s="189"/>
      <c r="F344" s="186"/>
      <c r="G344" s="186"/>
      <c r="H344" s="189"/>
      <c r="I344" s="341"/>
      <c r="J344" s="342"/>
      <c r="K344" s="186"/>
      <c r="L344" s="189"/>
      <c r="M344" s="186"/>
      <c r="N344" s="189"/>
      <c r="O344" s="186"/>
      <c r="P344" s="186"/>
    </row>
    <row r="345">
      <c r="A345" s="228"/>
      <c r="B345" s="186"/>
      <c r="C345" s="186"/>
      <c r="D345" s="186"/>
      <c r="E345" s="186"/>
      <c r="F345" s="186"/>
      <c r="G345" s="186"/>
      <c r="H345" s="186"/>
      <c r="I345" s="298"/>
      <c r="J345" s="298"/>
      <c r="K345" s="186"/>
      <c r="L345" s="190"/>
      <c r="M345" s="186"/>
      <c r="N345" s="190"/>
      <c r="O345" s="186"/>
      <c r="P345" s="186"/>
    </row>
    <row r="346">
      <c r="A346" s="228"/>
      <c r="B346" s="189"/>
      <c r="C346" s="186"/>
      <c r="D346" s="186"/>
      <c r="E346" s="189"/>
      <c r="F346" s="186"/>
      <c r="G346" s="186"/>
      <c r="H346" s="189"/>
      <c r="I346" s="325"/>
      <c r="J346" s="342"/>
      <c r="K346" s="186"/>
      <c r="L346" s="189"/>
      <c r="M346" s="186"/>
      <c r="N346" s="189"/>
      <c r="O346" s="189"/>
      <c r="P346" s="186"/>
    </row>
    <row r="347">
      <c r="A347" s="228"/>
      <c r="B347" s="186"/>
      <c r="C347" s="186"/>
      <c r="D347" s="186"/>
      <c r="E347" s="190"/>
      <c r="F347" s="186"/>
      <c r="G347" s="186"/>
      <c r="H347" s="186"/>
      <c r="I347" s="296"/>
      <c r="J347" s="298"/>
      <c r="K347" s="186"/>
      <c r="L347" s="190"/>
      <c r="M347" s="186"/>
      <c r="N347" s="190"/>
      <c r="O347" s="186"/>
      <c r="P347" s="186"/>
    </row>
    <row r="348">
      <c r="A348" s="228"/>
      <c r="B348" s="186"/>
      <c r="C348" s="186"/>
      <c r="D348" s="186"/>
      <c r="E348" s="186"/>
      <c r="F348" s="296"/>
      <c r="G348" s="186"/>
      <c r="H348" s="186"/>
      <c r="I348" s="188"/>
      <c r="J348" s="188"/>
      <c r="K348" s="186"/>
      <c r="L348" s="189"/>
      <c r="M348" s="186"/>
      <c r="N348" s="190"/>
      <c r="O348" s="186"/>
      <c r="P348" s="186"/>
    </row>
    <row r="349">
      <c r="A349" s="228"/>
      <c r="B349" s="189"/>
      <c r="C349" s="186"/>
      <c r="D349" s="186"/>
      <c r="E349" s="189"/>
      <c r="F349" s="186"/>
      <c r="G349" s="186"/>
      <c r="H349" s="189"/>
      <c r="I349" s="325"/>
      <c r="J349" s="342"/>
      <c r="K349" s="186"/>
      <c r="L349" s="189"/>
      <c r="M349" s="186"/>
      <c r="N349" s="189"/>
      <c r="O349" s="189"/>
      <c r="P349" s="186"/>
    </row>
    <row r="350">
      <c r="A350" s="228"/>
      <c r="B350" s="186"/>
      <c r="C350" s="186"/>
      <c r="D350" s="186"/>
      <c r="E350" s="186"/>
      <c r="F350" s="186"/>
      <c r="G350" s="186"/>
      <c r="H350" s="186"/>
      <c r="I350" s="298"/>
      <c r="J350" s="298"/>
      <c r="K350" s="186"/>
      <c r="L350" s="189"/>
      <c r="M350" s="186"/>
      <c r="N350" s="189"/>
      <c r="O350" s="186"/>
      <c r="P350" s="186"/>
    </row>
    <row r="351">
      <c r="A351" s="228"/>
      <c r="B351" s="186"/>
      <c r="C351" s="186"/>
      <c r="D351" s="186"/>
      <c r="E351" s="190"/>
      <c r="F351" s="186"/>
      <c r="G351" s="186"/>
      <c r="H351" s="190"/>
      <c r="I351" s="191"/>
      <c r="J351" s="191"/>
      <c r="K351" s="186"/>
      <c r="L351" s="190"/>
      <c r="M351" s="186"/>
      <c r="N351" s="190"/>
      <c r="O351" s="186"/>
      <c r="P351" s="186"/>
    </row>
    <row r="352">
      <c r="A352" s="228"/>
      <c r="B352" s="189"/>
      <c r="C352" s="186"/>
      <c r="D352" s="186"/>
      <c r="E352" s="189"/>
      <c r="F352" s="186"/>
      <c r="G352" s="186"/>
      <c r="H352" s="189"/>
      <c r="I352" s="325"/>
      <c r="J352" s="342"/>
      <c r="K352" s="186"/>
      <c r="L352" s="189"/>
      <c r="M352" s="186"/>
      <c r="N352" s="189"/>
      <c r="O352" s="189"/>
      <c r="P352" s="186"/>
    </row>
    <row r="353" ht="36.75" customHeight="1">
      <c r="A353" s="186"/>
      <c r="B353" s="186"/>
      <c r="C353" s="186"/>
      <c r="D353" s="186"/>
      <c r="E353" s="186"/>
      <c r="F353" s="186"/>
      <c r="G353" s="186"/>
      <c r="H353" s="186"/>
      <c r="I353" s="188"/>
      <c r="J353" s="188"/>
      <c r="K353" s="186"/>
      <c r="L353" s="190"/>
      <c r="M353" s="186"/>
      <c r="N353" s="189"/>
      <c r="O353" s="186"/>
      <c r="P353" s="186"/>
    </row>
    <row r="354" ht="36.75" customHeight="1">
      <c r="A354" s="186"/>
      <c r="B354" s="187"/>
      <c r="C354" s="186"/>
      <c r="D354" s="186"/>
      <c r="E354" s="186"/>
      <c r="F354" s="186"/>
      <c r="G354" s="186"/>
      <c r="H354" s="186"/>
      <c r="I354" s="298"/>
      <c r="J354" s="298"/>
      <c r="K354" s="186"/>
      <c r="L354" s="186"/>
      <c r="M354" s="186"/>
      <c r="N354" s="189"/>
      <c r="O354" s="186"/>
      <c r="P354" s="186"/>
    </row>
    <row r="355" ht="36.75" customHeight="1">
      <c r="A355" s="186"/>
      <c r="B355" s="186"/>
      <c r="C355" s="186"/>
      <c r="D355" s="186"/>
      <c r="E355" s="189"/>
      <c r="F355" s="186"/>
      <c r="G355" s="186"/>
      <c r="H355" s="189"/>
      <c r="I355" s="341"/>
      <c r="J355" s="342"/>
      <c r="K355" s="186"/>
      <c r="L355" s="189"/>
      <c r="M355" s="189"/>
      <c r="N355" s="189"/>
      <c r="O355" s="189"/>
      <c r="P355" s="186"/>
    </row>
    <row r="356" ht="36.75" customHeight="1">
      <c r="A356" s="186"/>
      <c r="B356" s="189"/>
      <c r="C356" s="189"/>
      <c r="D356" s="189"/>
      <c r="E356" s="189"/>
      <c r="F356" s="189"/>
      <c r="G356" s="186"/>
      <c r="H356" s="189"/>
      <c r="I356" s="191"/>
      <c r="J356" s="191"/>
      <c r="K356" s="189"/>
      <c r="L356" s="189"/>
      <c r="M356" s="186"/>
      <c r="N356" s="189"/>
      <c r="O356" s="186"/>
      <c r="P356" s="186"/>
    </row>
    <row r="357" ht="36.75" customHeight="1">
      <c r="A357" s="186"/>
      <c r="B357" s="186"/>
      <c r="C357" s="186"/>
      <c r="D357" s="186"/>
      <c r="E357" s="186"/>
      <c r="F357" s="296"/>
      <c r="G357" s="186"/>
      <c r="H357" s="186"/>
      <c r="I357" s="188"/>
      <c r="J357" s="188"/>
      <c r="K357" s="186"/>
      <c r="L357" s="189"/>
      <c r="M357" s="186"/>
      <c r="N357" s="189"/>
      <c r="O357" s="186"/>
      <c r="P357" s="186"/>
    </row>
    <row r="358" ht="36.75" customHeight="1">
      <c r="A358" s="186"/>
      <c r="B358" s="187"/>
      <c r="C358" s="186"/>
      <c r="D358" s="186"/>
      <c r="E358" s="186"/>
      <c r="F358" s="186"/>
      <c r="G358" s="186"/>
      <c r="H358" s="186"/>
      <c r="I358" s="298"/>
      <c r="J358" s="298"/>
      <c r="K358" s="186"/>
      <c r="L358" s="190"/>
      <c r="M358" s="186"/>
      <c r="N358" s="189"/>
      <c r="O358" s="186"/>
      <c r="P358" s="186"/>
    </row>
    <row r="359">
      <c r="A359" s="228"/>
      <c r="B359" s="186"/>
      <c r="C359" s="186"/>
      <c r="D359" s="186"/>
      <c r="E359" s="189"/>
      <c r="F359" s="186"/>
      <c r="G359" s="186"/>
      <c r="H359" s="189"/>
      <c r="I359" s="341"/>
      <c r="J359" s="342"/>
      <c r="K359" s="186"/>
      <c r="L359" s="189"/>
      <c r="M359" s="186"/>
      <c r="N359" s="189"/>
      <c r="O359" s="189"/>
      <c r="P359" s="186"/>
    </row>
    <row r="360">
      <c r="A360" s="228"/>
      <c r="B360" s="189"/>
      <c r="C360" s="186"/>
      <c r="D360" s="186"/>
      <c r="E360" s="189"/>
      <c r="F360" s="186"/>
      <c r="G360" s="186"/>
      <c r="H360" s="189"/>
      <c r="I360" s="325"/>
      <c r="J360" s="342"/>
      <c r="K360" s="186"/>
      <c r="L360" s="189"/>
      <c r="M360" s="186"/>
      <c r="N360" s="189"/>
      <c r="O360" s="189"/>
      <c r="P360" s="186"/>
    </row>
    <row r="361">
      <c r="A361" s="228"/>
      <c r="B361" s="186"/>
      <c r="C361" s="186"/>
      <c r="D361" s="186"/>
      <c r="E361" s="186"/>
      <c r="F361" s="186"/>
      <c r="G361" s="186"/>
      <c r="H361" s="186"/>
      <c r="I361" s="188"/>
      <c r="J361" s="188"/>
      <c r="K361" s="186"/>
      <c r="L361" s="189"/>
      <c r="M361" s="186"/>
      <c r="N361" s="189"/>
      <c r="O361" s="186"/>
      <c r="P361" s="186"/>
    </row>
    <row r="362">
      <c r="A362" s="228"/>
      <c r="B362" s="186"/>
      <c r="C362" s="186"/>
      <c r="D362" s="186"/>
      <c r="E362" s="186"/>
      <c r="F362" s="186"/>
      <c r="G362" s="186"/>
      <c r="H362" s="186"/>
      <c r="I362" s="298"/>
      <c r="J362" s="298"/>
      <c r="K362" s="186"/>
      <c r="L362" s="189"/>
      <c r="M362" s="186"/>
      <c r="N362" s="189"/>
      <c r="O362" s="186"/>
      <c r="P362" s="186"/>
    </row>
    <row r="363">
      <c r="A363" s="228"/>
      <c r="B363" s="186"/>
      <c r="C363" s="186"/>
      <c r="D363" s="186"/>
      <c r="E363" s="186"/>
      <c r="F363" s="296"/>
      <c r="G363" s="186"/>
      <c r="H363" s="186"/>
      <c r="I363" s="188"/>
      <c r="J363" s="188"/>
      <c r="K363" s="186"/>
      <c r="L363" s="189"/>
      <c r="M363" s="186"/>
      <c r="N363" s="190"/>
      <c r="O363" s="186"/>
      <c r="P363" s="186"/>
    </row>
    <row r="364">
      <c r="A364" s="228"/>
      <c r="B364" s="186"/>
      <c r="C364" s="186"/>
      <c r="D364" s="186"/>
      <c r="E364" s="186"/>
      <c r="F364" s="296"/>
      <c r="G364" s="186"/>
      <c r="H364" s="186"/>
      <c r="I364" s="188"/>
      <c r="J364" s="188"/>
      <c r="K364" s="186"/>
      <c r="L364" s="190"/>
      <c r="M364" s="186"/>
      <c r="N364" s="190"/>
      <c r="O364" s="186"/>
      <c r="P364" s="186"/>
    </row>
    <row r="365">
      <c r="A365" s="186"/>
      <c r="B365" s="186"/>
      <c r="C365" s="186"/>
      <c r="D365" s="186"/>
      <c r="E365" s="186"/>
      <c r="F365" s="186"/>
      <c r="G365" s="186"/>
      <c r="H365" s="186"/>
      <c r="I365" s="298"/>
      <c r="J365" s="298"/>
      <c r="K365" s="186"/>
      <c r="L365" s="190"/>
      <c r="M365" s="186"/>
      <c r="N365" s="190"/>
      <c r="O365" s="186"/>
      <c r="P365" s="186"/>
    </row>
    <row r="366">
      <c r="A366" s="186"/>
      <c r="B366" s="186"/>
      <c r="C366" s="186"/>
      <c r="D366" s="186"/>
      <c r="E366" s="186"/>
      <c r="F366" s="186"/>
      <c r="G366" s="186"/>
      <c r="H366" s="186"/>
      <c r="I366" s="188"/>
      <c r="J366" s="188"/>
      <c r="K366" s="186"/>
      <c r="L366" s="189"/>
      <c r="M366" s="186"/>
      <c r="N366" s="189"/>
      <c r="O366" s="186"/>
      <c r="P366" s="186"/>
    </row>
    <row r="367" ht="36.75" customHeight="1">
      <c r="A367" s="186"/>
      <c r="B367" s="186"/>
      <c r="C367" s="186"/>
      <c r="D367" s="186"/>
      <c r="E367" s="186"/>
      <c r="F367" s="296"/>
      <c r="G367" s="186"/>
      <c r="H367" s="186"/>
      <c r="I367" s="188"/>
      <c r="J367" s="188"/>
      <c r="K367" s="186"/>
      <c r="L367" s="189"/>
      <c r="M367" s="186"/>
      <c r="N367" s="189"/>
      <c r="O367" s="186"/>
      <c r="P367" s="186"/>
    </row>
    <row r="368">
      <c r="A368" s="228"/>
      <c r="B368" s="186"/>
      <c r="C368" s="186"/>
      <c r="D368" s="186"/>
      <c r="E368" s="186"/>
      <c r="F368" s="186"/>
      <c r="G368" s="186"/>
      <c r="H368" s="186"/>
      <c r="I368" s="298"/>
      <c r="J368" s="298"/>
      <c r="K368" s="186"/>
      <c r="L368" s="190"/>
      <c r="M368" s="186"/>
      <c r="N368" s="190"/>
      <c r="O368" s="186"/>
      <c r="P368" s="186"/>
    </row>
    <row r="369">
      <c r="A369" s="228"/>
      <c r="B369" s="186"/>
      <c r="C369" s="186"/>
      <c r="D369" s="186"/>
      <c r="E369" s="186"/>
      <c r="F369" s="296"/>
      <c r="G369" s="186"/>
      <c r="H369" s="186"/>
      <c r="I369" s="188"/>
      <c r="J369" s="188"/>
      <c r="K369" s="186"/>
      <c r="L369" s="190"/>
      <c r="M369" s="186"/>
      <c r="N369" s="190"/>
      <c r="O369" s="186"/>
      <c r="P369" s="186"/>
    </row>
    <row r="370">
      <c r="A370" s="228"/>
      <c r="B370" s="186"/>
      <c r="C370" s="186"/>
      <c r="D370" s="186"/>
      <c r="E370" s="186"/>
      <c r="F370" s="186"/>
      <c r="G370" s="186"/>
      <c r="H370" s="186"/>
      <c r="I370" s="188"/>
      <c r="J370" s="188"/>
      <c r="K370" s="186"/>
      <c r="L370" s="190"/>
      <c r="M370" s="186"/>
      <c r="N370" s="190"/>
      <c r="O370" s="186"/>
      <c r="P370" s="186"/>
    </row>
    <row r="371">
      <c r="A371" s="186"/>
      <c r="B371" s="186"/>
      <c r="C371" s="186"/>
      <c r="D371" s="186"/>
      <c r="E371" s="186"/>
      <c r="F371" s="186"/>
      <c r="G371" s="186"/>
      <c r="H371" s="186"/>
      <c r="I371" s="188"/>
      <c r="J371" s="188"/>
      <c r="K371" s="186"/>
      <c r="L371" s="190"/>
      <c r="M371" s="186"/>
      <c r="N371" s="190"/>
      <c r="O371" s="186"/>
      <c r="P371" s="186"/>
    </row>
    <row r="372">
      <c r="A372" s="228"/>
      <c r="B372" s="189"/>
      <c r="C372" s="186"/>
      <c r="D372" s="186"/>
      <c r="E372" s="189"/>
      <c r="F372" s="186"/>
      <c r="G372" s="186"/>
      <c r="H372" s="189"/>
      <c r="I372" s="189"/>
      <c r="J372" s="191"/>
      <c r="K372" s="186"/>
      <c r="L372" s="189"/>
      <c r="M372" s="186"/>
      <c r="N372" s="189"/>
      <c r="O372" s="189"/>
      <c r="P372" s="186"/>
    </row>
    <row r="373">
      <c r="A373" s="228"/>
      <c r="B373" s="187"/>
      <c r="C373" s="186"/>
      <c r="D373" s="186"/>
      <c r="E373" s="186"/>
      <c r="F373" s="186"/>
      <c r="G373" s="186"/>
      <c r="H373" s="186"/>
      <c r="I373" s="188"/>
      <c r="J373" s="188"/>
      <c r="K373" s="186"/>
      <c r="L373" s="190"/>
      <c r="M373" s="186"/>
      <c r="N373" s="189"/>
      <c r="O373" s="186"/>
      <c r="P373" s="186"/>
    </row>
    <row r="374">
      <c r="A374" s="228"/>
      <c r="B374" s="187"/>
      <c r="C374" s="186"/>
      <c r="D374" s="186"/>
      <c r="E374" s="186"/>
      <c r="F374" s="186"/>
      <c r="G374" s="186"/>
      <c r="H374" s="186"/>
      <c r="I374" s="298"/>
      <c r="J374" s="298"/>
      <c r="K374" s="186"/>
      <c r="L374" s="190"/>
      <c r="M374" s="186"/>
      <c r="N374" s="189"/>
      <c r="O374" s="186"/>
      <c r="P374" s="186"/>
    </row>
    <row r="375">
      <c r="A375" s="228"/>
      <c r="B375" s="186"/>
      <c r="C375" s="186"/>
      <c r="D375" s="186"/>
      <c r="E375" s="186"/>
      <c r="F375" s="186"/>
      <c r="G375" s="186"/>
      <c r="H375" s="186"/>
      <c r="I375" s="298"/>
      <c r="J375" s="298"/>
      <c r="K375" s="186"/>
      <c r="L375" s="189"/>
      <c r="M375" s="186"/>
      <c r="N375" s="190"/>
      <c r="O375" s="186"/>
      <c r="P375" s="186"/>
    </row>
    <row r="376">
      <c r="A376" s="228"/>
      <c r="B376" s="189"/>
      <c r="C376" s="186"/>
      <c r="D376" s="189"/>
      <c r="E376" s="189"/>
      <c r="F376" s="189"/>
      <c r="G376" s="189"/>
      <c r="H376" s="189"/>
      <c r="I376" s="341"/>
      <c r="J376" s="342"/>
      <c r="K376" s="189"/>
      <c r="L376" s="189"/>
      <c r="M376" s="186"/>
      <c r="N376" s="189"/>
      <c r="O376" s="189"/>
      <c r="P376" s="186"/>
    </row>
    <row r="377">
      <c r="A377" s="228"/>
      <c r="B377" s="186"/>
      <c r="C377" s="186"/>
      <c r="D377" s="186"/>
      <c r="E377" s="186"/>
      <c r="F377" s="186"/>
      <c r="G377" s="186"/>
      <c r="H377" s="186"/>
      <c r="I377" s="298"/>
      <c r="J377" s="298"/>
      <c r="K377" s="186"/>
      <c r="L377" s="190"/>
      <c r="M377" s="186"/>
      <c r="N377" s="190"/>
      <c r="O377" s="186"/>
      <c r="P377" s="186"/>
    </row>
    <row r="378">
      <c r="A378" s="228"/>
      <c r="B378" s="187"/>
      <c r="C378" s="186"/>
      <c r="D378" s="186"/>
      <c r="E378" s="186"/>
      <c r="F378" s="186"/>
      <c r="G378" s="186"/>
      <c r="H378" s="186"/>
      <c r="I378" s="188"/>
      <c r="J378" s="188"/>
      <c r="K378" s="186"/>
      <c r="L378" s="186"/>
      <c r="M378" s="186"/>
      <c r="N378" s="189"/>
      <c r="O378" s="186"/>
      <c r="P378" s="186"/>
    </row>
    <row r="379">
      <c r="A379" s="228"/>
      <c r="B379" s="187"/>
      <c r="C379" s="186"/>
      <c r="D379" s="186"/>
      <c r="E379" s="186"/>
      <c r="F379" s="186"/>
      <c r="G379" s="186"/>
      <c r="H379" s="186"/>
      <c r="I379" s="188"/>
      <c r="J379" s="188"/>
      <c r="K379" s="186"/>
      <c r="L379" s="190"/>
      <c r="M379" s="186"/>
      <c r="N379" s="189"/>
      <c r="O379" s="186"/>
      <c r="P379" s="186"/>
    </row>
    <row r="380" ht="29.25" customHeight="1">
      <c r="A380" s="186"/>
      <c r="B380" s="186"/>
      <c r="C380" s="186"/>
      <c r="D380" s="186"/>
      <c r="E380" s="186"/>
      <c r="F380" s="296"/>
      <c r="G380" s="186"/>
      <c r="H380" s="186"/>
      <c r="I380" s="298"/>
      <c r="J380" s="298"/>
      <c r="K380" s="186"/>
      <c r="L380" s="189"/>
      <c r="M380" s="186"/>
      <c r="N380" s="190"/>
      <c r="O380" s="186"/>
      <c r="P380" s="186"/>
    </row>
    <row r="381">
      <c r="A381" s="186"/>
      <c r="B381" s="187"/>
      <c r="C381" s="186"/>
      <c r="D381" s="186"/>
      <c r="E381" s="186"/>
      <c r="F381" s="186"/>
      <c r="G381" s="186"/>
      <c r="H381" s="186"/>
      <c r="I381" s="188"/>
      <c r="J381" s="188"/>
      <c r="K381" s="186"/>
      <c r="L381" s="190"/>
      <c r="M381" s="186"/>
      <c r="N381" s="189"/>
      <c r="O381" s="186"/>
      <c r="P381" s="186"/>
    </row>
    <row r="382">
      <c r="A382" s="186"/>
      <c r="B382" s="187"/>
      <c r="C382" s="186"/>
      <c r="D382" s="186"/>
      <c r="E382" s="186"/>
      <c r="F382" s="186"/>
      <c r="G382" s="186"/>
      <c r="H382" s="186"/>
      <c r="I382" s="188"/>
      <c r="J382" s="188"/>
      <c r="K382" s="186"/>
      <c r="L382" s="190"/>
      <c r="M382" s="186"/>
      <c r="N382" s="189"/>
      <c r="O382" s="186"/>
      <c r="P382" s="186"/>
    </row>
    <row r="383" ht="36.75" customHeight="1">
      <c r="A383" s="186"/>
      <c r="B383" s="187"/>
      <c r="C383" s="186"/>
      <c r="D383" s="186"/>
      <c r="E383" s="186"/>
      <c r="F383" s="186"/>
      <c r="G383" s="186"/>
      <c r="H383" s="186"/>
      <c r="I383" s="188"/>
      <c r="J383" s="188"/>
      <c r="K383" s="186"/>
      <c r="L383" s="190"/>
      <c r="M383" s="186"/>
      <c r="N383" s="189"/>
      <c r="O383" s="186"/>
      <c r="P383" s="186"/>
    </row>
    <row r="384" ht="36.75" customHeight="1">
      <c r="A384" s="186"/>
      <c r="B384" s="186"/>
      <c r="C384" s="186"/>
      <c r="D384" s="186"/>
      <c r="E384" s="189"/>
      <c r="F384" s="186"/>
      <c r="G384" s="186"/>
      <c r="H384" s="189"/>
      <c r="I384" s="341"/>
      <c r="J384" s="342"/>
      <c r="K384" s="186"/>
      <c r="L384" s="189"/>
      <c r="M384" s="189"/>
      <c r="N384" s="189"/>
      <c r="O384" s="186"/>
      <c r="P384" s="186"/>
    </row>
    <row r="385" ht="36.75" customHeight="1">
      <c r="A385" s="186"/>
      <c r="B385" s="186"/>
      <c r="C385" s="186"/>
      <c r="D385" s="186"/>
      <c r="E385" s="189"/>
      <c r="F385" s="186"/>
      <c r="G385" s="186"/>
      <c r="H385" s="189"/>
      <c r="I385" s="225"/>
      <c r="J385" s="191"/>
      <c r="K385" s="186"/>
      <c r="L385" s="189"/>
      <c r="M385" s="189"/>
      <c r="N385" s="189"/>
      <c r="O385" s="186"/>
      <c r="P385" s="186"/>
    </row>
    <row r="386" ht="36.75" customHeight="1">
      <c r="A386" s="186"/>
      <c r="B386" s="187"/>
      <c r="C386" s="186"/>
      <c r="D386" s="186"/>
      <c r="E386" s="186"/>
      <c r="F386" s="186"/>
      <c r="G386" s="186"/>
      <c r="H386" s="186"/>
      <c r="I386" s="298"/>
      <c r="J386" s="298"/>
      <c r="K386" s="186"/>
      <c r="L386" s="190"/>
      <c r="M386" s="186"/>
      <c r="N386" s="189"/>
      <c r="O386" s="186"/>
      <c r="P386" s="186"/>
    </row>
    <row r="387" ht="36.75" customHeight="1">
      <c r="A387" s="186"/>
      <c r="B387" s="186"/>
      <c r="C387" s="186"/>
      <c r="D387" s="186"/>
      <c r="E387" s="186"/>
      <c r="F387" s="186"/>
      <c r="G387" s="186"/>
      <c r="H387" s="186"/>
      <c r="I387" s="188"/>
      <c r="J387" s="188"/>
      <c r="K387" s="186"/>
      <c r="L387" s="190"/>
      <c r="M387" s="186"/>
      <c r="N387" s="189"/>
      <c r="O387" s="186"/>
      <c r="P387" s="186"/>
    </row>
    <row r="388" ht="36.75" customHeight="1">
      <c r="A388" s="186"/>
      <c r="B388" s="186"/>
      <c r="C388" s="186"/>
      <c r="D388" s="186"/>
      <c r="E388" s="186"/>
      <c r="F388" s="186"/>
      <c r="G388" s="186"/>
      <c r="H388" s="186"/>
      <c r="I388" s="188"/>
      <c r="J388" s="188"/>
      <c r="K388" s="186"/>
      <c r="L388" s="189"/>
      <c r="M388" s="186"/>
      <c r="N388" s="189"/>
      <c r="O388" s="186"/>
      <c r="P388" s="186"/>
    </row>
    <row r="389">
      <c r="A389" s="186"/>
      <c r="B389" s="187"/>
      <c r="C389" s="186"/>
      <c r="D389" s="186"/>
      <c r="E389" s="186"/>
      <c r="F389" s="186"/>
      <c r="G389" s="186"/>
      <c r="H389" s="186"/>
      <c r="I389" s="188"/>
      <c r="J389" s="188"/>
      <c r="K389" s="186"/>
      <c r="L389" s="190"/>
      <c r="M389" s="186"/>
      <c r="N389" s="189"/>
      <c r="O389" s="186"/>
      <c r="P389" s="186"/>
    </row>
    <row r="390">
      <c r="A390" s="186"/>
      <c r="B390" s="186"/>
      <c r="C390" s="186"/>
      <c r="D390" s="186"/>
      <c r="E390" s="190"/>
      <c r="F390" s="186"/>
      <c r="G390" s="186"/>
      <c r="H390" s="186"/>
      <c r="I390" s="186"/>
      <c r="J390" s="188"/>
      <c r="K390" s="186"/>
      <c r="L390" s="190"/>
      <c r="M390" s="186"/>
      <c r="N390" s="190"/>
      <c r="O390" s="186"/>
      <c r="P390" s="186"/>
    </row>
    <row r="391">
      <c r="A391" s="186"/>
      <c r="B391" s="186"/>
      <c r="C391" s="186"/>
      <c r="D391" s="186"/>
      <c r="E391" s="186"/>
      <c r="F391" s="186"/>
      <c r="G391" s="186"/>
      <c r="H391" s="186"/>
      <c r="I391" s="188"/>
      <c r="J391" s="188"/>
      <c r="K391" s="186"/>
      <c r="L391" s="190"/>
      <c r="M391" s="190"/>
      <c r="N391" s="190"/>
      <c r="O391" s="186"/>
      <c r="P391" s="186"/>
    </row>
    <row r="392">
      <c r="A392" s="186"/>
      <c r="B392" s="187"/>
      <c r="C392" s="186"/>
      <c r="D392" s="186"/>
      <c r="E392" s="186"/>
      <c r="F392" s="186"/>
      <c r="G392" s="186"/>
      <c r="H392" s="186"/>
      <c r="I392" s="188"/>
      <c r="J392" s="188"/>
      <c r="K392" s="186"/>
      <c r="L392" s="190"/>
      <c r="M392" s="186"/>
      <c r="N392" s="189"/>
      <c r="O392" s="186"/>
      <c r="P392" s="186"/>
    </row>
    <row r="393">
      <c r="A393" s="186"/>
      <c r="B393" s="187"/>
      <c r="C393" s="186"/>
      <c r="D393" s="186"/>
      <c r="E393" s="186"/>
      <c r="F393" s="186"/>
      <c r="G393" s="186"/>
      <c r="H393" s="186"/>
      <c r="I393" s="188"/>
      <c r="J393" s="188"/>
      <c r="K393" s="186"/>
      <c r="L393" s="190"/>
      <c r="M393" s="186"/>
      <c r="N393" s="189"/>
      <c r="O393" s="186"/>
      <c r="P393" s="186"/>
    </row>
    <row r="394">
      <c r="A394" s="186"/>
      <c r="B394" s="187"/>
      <c r="C394" s="186"/>
      <c r="D394" s="186"/>
      <c r="E394" s="186"/>
      <c r="F394" s="186"/>
      <c r="G394" s="186"/>
      <c r="H394" s="186"/>
      <c r="I394" s="188"/>
      <c r="J394" s="188"/>
      <c r="K394" s="186"/>
      <c r="L394" s="190"/>
      <c r="M394" s="186"/>
      <c r="N394" s="189"/>
      <c r="O394" s="186"/>
      <c r="P394" s="186"/>
    </row>
    <row r="395">
      <c r="A395" s="186"/>
      <c r="B395" s="186"/>
      <c r="C395" s="186"/>
      <c r="D395" s="186"/>
      <c r="E395" s="189"/>
      <c r="F395" s="186"/>
      <c r="G395" s="186"/>
      <c r="H395" s="189"/>
      <c r="I395" s="341"/>
      <c r="J395" s="342"/>
      <c r="K395" s="186"/>
      <c r="L395" s="189"/>
      <c r="M395" s="186"/>
      <c r="N395" s="189"/>
      <c r="O395" s="189"/>
      <c r="P395" s="186"/>
    </row>
    <row r="396">
      <c r="A396" s="186"/>
      <c r="B396" s="186"/>
      <c r="C396" s="186"/>
      <c r="D396" s="186"/>
      <c r="E396" s="186"/>
      <c r="F396" s="186"/>
      <c r="G396" s="186"/>
      <c r="H396" s="186"/>
      <c r="I396" s="188"/>
      <c r="J396" s="188"/>
      <c r="K396" s="186"/>
      <c r="L396" s="190"/>
      <c r="M396" s="186"/>
      <c r="N396" s="190"/>
      <c r="O396" s="186"/>
      <c r="P396" s="186"/>
    </row>
    <row r="397">
      <c r="A397" s="309"/>
      <c r="B397" s="309"/>
      <c r="C397" s="309"/>
      <c r="D397" s="309"/>
      <c r="E397" s="309"/>
      <c r="F397" s="309"/>
      <c r="G397" s="309"/>
      <c r="H397" s="309"/>
      <c r="I397" s="352"/>
      <c r="J397" s="352"/>
      <c r="K397" s="309"/>
      <c r="L397" s="353"/>
      <c r="M397" s="309"/>
      <c r="N397" s="353"/>
      <c r="O397" s="309"/>
      <c r="P397" s="334"/>
    </row>
    <row r="398">
      <c r="A398" s="186"/>
      <c r="B398" s="186"/>
      <c r="C398" s="186"/>
      <c r="D398" s="186"/>
      <c r="E398" s="186"/>
      <c r="F398" s="296"/>
      <c r="G398" s="186"/>
      <c r="H398" s="296"/>
      <c r="I398" s="298"/>
      <c r="J398" s="298"/>
      <c r="K398" s="186"/>
      <c r="L398" s="190"/>
      <c r="M398" s="186"/>
      <c r="N398" s="190"/>
      <c r="O398" s="186"/>
      <c r="P398" s="296"/>
    </row>
    <row r="399">
      <c r="A399" s="186"/>
      <c r="B399" s="186"/>
      <c r="C399" s="186"/>
      <c r="D399" s="186"/>
      <c r="E399" s="186"/>
      <c r="F399" s="334"/>
      <c r="G399" s="186"/>
      <c r="H399" s="334"/>
      <c r="I399" s="188"/>
      <c r="J399" s="188"/>
      <c r="K399" s="186"/>
      <c r="L399" s="189"/>
      <c r="M399" s="186"/>
      <c r="N399" s="190"/>
      <c r="O399" s="186"/>
      <c r="P399" s="186"/>
    </row>
    <row r="400">
      <c r="A400" s="186"/>
      <c r="B400" s="187"/>
      <c r="C400" s="186"/>
      <c r="D400" s="186"/>
      <c r="E400" s="186"/>
      <c r="F400" s="334"/>
      <c r="G400" s="186"/>
      <c r="H400" s="334"/>
      <c r="I400" s="188"/>
      <c r="J400" s="188"/>
      <c r="K400" s="186"/>
      <c r="L400" s="190"/>
      <c r="M400" s="186"/>
      <c r="N400" s="189"/>
      <c r="O400" s="186"/>
      <c r="P400" s="186"/>
    </row>
    <row r="401">
      <c r="A401" s="186"/>
      <c r="B401" s="187"/>
      <c r="C401" s="186"/>
      <c r="D401" s="186"/>
      <c r="E401" s="186"/>
      <c r="F401" s="186"/>
      <c r="G401" s="186"/>
      <c r="H401" s="186"/>
      <c r="I401" s="298"/>
      <c r="J401" s="298"/>
      <c r="K401" s="186"/>
      <c r="L401" s="190"/>
      <c r="M401" s="186"/>
      <c r="N401" s="186"/>
      <c r="O401" s="186"/>
      <c r="P401" s="296"/>
    </row>
    <row r="402">
      <c r="A402" s="186"/>
      <c r="B402" s="186"/>
      <c r="C402" s="186"/>
      <c r="D402" s="186"/>
      <c r="E402" s="186"/>
      <c r="F402" s="334"/>
      <c r="G402" s="186"/>
      <c r="H402" s="334"/>
      <c r="I402" s="188"/>
      <c r="J402" s="188"/>
      <c r="K402" s="186"/>
      <c r="L402" s="190"/>
      <c r="M402" s="186"/>
      <c r="N402" s="190"/>
      <c r="O402" s="186"/>
      <c r="P402" s="186"/>
    </row>
    <row r="403" ht="36.75" customHeight="1">
      <c r="A403" s="186"/>
      <c r="B403" s="186"/>
      <c r="C403" s="186"/>
      <c r="D403" s="186"/>
      <c r="E403" s="189"/>
      <c r="F403" s="186"/>
      <c r="G403" s="186"/>
      <c r="H403" s="189"/>
      <c r="I403" s="225"/>
      <c r="J403" s="191"/>
      <c r="K403" s="186"/>
      <c r="L403" s="189"/>
      <c r="M403" s="186"/>
      <c r="N403" s="189"/>
      <c r="O403" s="189"/>
      <c r="P403" s="186"/>
    </row>
    <row r="404" ht="36.75" customHeight="1">
      <c r="A404" s="186"/>
      <c r="B404" s="186"/>
      <c r="C404" s="186"/>
      <c r="D404" s="186"/>
      <c r="E404" s="186"/>
      <c r="F404" s="186"/>
      <c r="G404" s="186"/>
      <c r="H404" s="186"/>
      <c r="I404" s="188"/>
      <c r="J404" s="188"/>
      <c r="K404" s="186"/>
      <c r="L404" s="190"/>
      <c r="M404" s="186"/>
      <c r="N404" s="189"/>
      <c r="O404" s="186"/>
      <c r="P404" s="186"/>
    </row>
    <row r="405">
      <c r="A405" s="186"/>
      <c r="B405" s="186"/>
      <c r="C405" s="186"/>
      <c r="D405" s="186"/>
      <c r="E405" s="189"/>
      <c r="F405" s="186"/>
      <c r="G405" s="186"/>
      <c r="H405" s="189"/>
      <c r="I405" s="225"/>
      <c r="J405" s="191"/>
      <c r="K405" s="186"/>
      <c r="L405" s="189"/>
      <c r="M405" s="186"/>
      <c r="N405" s="189"/>
      <c r="O405" s="186"/>
      <c r="P405" s="186"/>
    </row>
    <row r="406">
      <c r="A406" s="186"/>
      <c r="B406" s="186"/>
      <c r="C406" s="186"/>
      <c r="D406" s="186"/>
      <c r="E406" s="186"/>
      <c r="F406" s="296"/>
      <c r="G406" s="186"/>
      <c r="H406" s="296"/>
      <c r="I406" s="298"/>
      <c r="J406" s="298"/>
      <c r="K406" s="186"/>
      <c r="L406" s="190"/>
      <c r="M406" s="186"/>
      <c r="N406" s="190"/>
      <c r="O406" s="186"/>
      <c r="P406" s="186"/>
    </row>
    <row r="407">
      <c r="A407" s="186"/>
      <c r="B407" s="186"/>
      <c r="C407" s="186"/>
      <c r="D407" s="186"/>
      <c r="E407" s="186"/>
      <c r="F407" s="334"/>
      <c r="G407" s="186"/>
      <c r="H407" s="334"/>
      <c r="I407" s="188"/>
      <c r="J407" s="188"/>
      <c r="K407" s="186"/>
      <c r="L407" s="190"/>
      <c r="M407" s="186"/>
      <c r="N407" s="190"/>
      <c r="O407" s="186"/>
      <c r="P407" s="186"/>
    </row>
    <row r="408">
      <c r="A408" s="186"/>
      <c r="B408" s="187"/>
      <c r="C408" s="186"/>
      <c r="D408" s="186"/>
      <c r="E408" s="186"/>
      <c r="F408" s="334"/>
      <c r="G408" s="186"/>
      <c r="H408" s="334"/>
      <c r="I408" s="188"/>
      <c r="J408" s="188"/>
      <c r="K408" s="186"/>
      <c r="L408" s="190"/>
      <c r="M408" s="186"/>
      <c r="N408" s="189"/>
      <c r="O408" s="186"/>
      <c r="P408" s="186"/>
    </row>
    <row r="409">
      <c r="A409" s="186"/>
      <c r="B409" s="186"/>
      <c r="C409" s="186"/>
      <c r="D409" s="186"/>
      <c r="E409" s="186"/>
      <c r="F409" s="334"/>
      <c r="G409" s="186"/>
      <c r="H409" s="334"/>
      <c r="I409" s="188"/>
      <c r="J409" s="188"/>
      <c r="K409" s="186"/>
      <c r="L409" s="190"/>
      <c r="M409" s="186"/>
      <c r="N409" s="190"/>
      <c r="O409" s="186"/>
      <c r="P409" s="186"/>
    </row>
    <row r="410" ht="36.75" customHeight="1">
      <c r="A410" s="186"/>
      <c r="B410" s="186"/>
      <c r="C410" s="186"/>
      <c r="D410" s="186"/>
      <c r="E410" s="186"/>
      <c r="F410" s="186"/>
      <c r="G410" s="186"/>
      <c r="H410" s="186"/>
      <c r="I410" s="188"/>
      <c r="J410" s="188"/>
      <c r="K410" s="186"/>
      <c r="L410" s="189"/>
      <c r="M410" s="186"/>
      <c r="N410" s="189"/>
      <c r="O410" s="186"/>
      <c r="P410" s="186"/>
    </row>
    <row r="411">
      <c r="A411" s="186"/>
      <c r="B411" s="186"/>
      <c r="C411" s="186"/>
      <c r="D411" s="186"/>
      <c r="E411" s="186"/>
      <c r="F411" s="334"/>
      <c r="G411" s="186"/>
      <c r="H411" s="334"/>
      <c r="I411" s="298"/>
      <c r="J411" s="298"/>
      <c r="K411" s="186"/>
      <c r="L411" s="190"/>
      <c r="M411" s="186"/>
      <c r="N411" s="190"/>
      <c r="O411" s="186"/>
      <c r="P411" s="186"/>
    </row>
    <row r="412">
      <c r="A412" s="186"/>
      <c r="B412" s="187"/>
      <c r="C412" s="186"/>
      <c r="D412" s="186"/>
      <c r="E412" s="186"/>
      <c r="F412" s="334"/>
      <c r="G412" s="186"/>
      <c r="H412" s="334"/>
      <c r="I412" s="298"/>
      <c r="J412" s="298"/>
      <c r="K412" s="186"/>
      <c r="L412" s="190"/>
      <c r="M412" s="186"/>
      <c r="N412" s="189"/>
      <c r="O412" s="186"/>
      <c r="P412" s="186"/>
    </row>
    <row r="413">
      <c r="A413" s="354"/>
      <c r="B413" s="186"/>
      <c r="C413" s="186"/>
      <c r="D413" s="186"/>
      <c r="E413" s="186"/>
      <c r="F413" s="186"/>
      <c r="G413" s="186"/>
      <c r="H413" s="186"/>
      <c r="I413" s="355"/>
      <c r="J413" s="355"/>
      <c r="K413" s="186"/>
      <c r="L413" s="186"/>
      <c r="M413" s="186"/>
      <c r="N413" s="186"/>
      <c r="O413" s="190"/>
      <c r="P413" s="186"/>
    </row>
    <row r="414">
      <c r="A414" s="186"/>
      <c r="B414" s="186"/>
      <c r="C414" s="186"/>
      <c r="D414" s="186"/>
      <c r="E414" s="186"/>
      <c r="F414" s="186"/>
      <c r="G414" s="186"/>
      <c r="H414" s="186"/>
      <c r="I414" s="188"/>
      <c r="J414" s="188"/>
      <c r="K414" s="186"/>
      <c r="L414" s="189"/>
      <c r="M414" s="186"/>
      <c r="N414" s="189"/>
      <c r="O414" s="186"/>
      <c r="P414" s="186"/>
    </row>
    <row r="415">
      <c r="A415" s="186"/>
      <c r="B415" s="187"/>
      <c r="C415" s="186"/>
      <c r="D415" s="186"/>
      <c r="E415" s="186"/>
      <c r="F415" s="186"/>
      <c r="G415" s="186"/>
      <c r="H415" s="186"/>
      <c r="I415" s="188"/>
      <c r="J415" s="188"/>
      <c r="K415" s="186"/>
      <c r="L415" s="190"/>
      <c r="M415" s="186"/>
      <c r="N415" s="189"/>
      <c r="O415" s="186"/>
      <c r="P415" s="186"/>
    </row>
    <row r="416">
      <c r="A416" s="186"/>
      <c r="B416" s="187"/>
      <c r="C416" s="186"/>
      <c r="D416" s="186"/>
      <c r="E416" s="186"/>
      <c r="F416" s="186"/>
      <c r="G416" s="186"/>
      <c r="H416" s="186"/>
      <c r="I416" s="188"/>
      <c r="J416" s="188"/>
      <c r="K416" s="186"/>
      <c r="L416" s="190"/>
      <c r="M416" s="186"/>
      <c r="N416" s="189"/>
      <c r="O416" s="186"/>
      <c r="P416" s="186"/>
    </row>
    <row r="417">
      <c r="A417" s="186"/>
      <c r="B417" s="186"/>
      <c r="C417" s="186"/>
      <c r="D417" s="186"/>
      <c r="E417" s="186"/>
      <c r="F417" s="186"/>
      <c r="G417" s="186"/>
      <c r="H417" s="186"/>
      <c r="I417" s="188"/>
      <c r="J417" s="188"/>
      <c r="K417" s="186"/>
      <c r="L417" s="190"/>
      <c r="M417" s="186"/>
      <c r="N417" s="190"/>
      <c r="O417" s="186"/>
      <c r="P417" s="186"/>
    </row>
    <row r="418">
      <c r="A418" s="186"/>
      <c r="B418" s="186"/>
      <c r="C418" s="186"/>
      <c r="D418" s="186"/>
      <c r="E418" s="186"/>
      <c r="F418" s="186"/>
      <c r="G418" s="186"/>
      <c r="H418" s="186"/>
      <c r="I418" s="188"/>
      <c r="J418" s="188"/>
      <c r="K418" s="186"/>
      <c r="L418" s="189"/>
      <c r="M418" s="186"/>
      <c r="N418" s="190"/>
      <c r="O418" s="186"/>
      <c r="P418" s="186"/>
    </row>
    <row r="419">
      <c r="A419" s="186"/>
      <c r="B419" s="186"/>
      <c r="C419" s="186"/>
      <c r="D419" s="186"/>
      <c r="E419" s="186"/>
      <c r="F419" s="186"/>
      <c r="G419" s="186"/>
      <c r="H419" s="186"/>
      <c r="I419" s="188"/>
      <c r="J419" s="188"/>
      <c r="K419" s="186"/>
      <c r="L419" s="189"/>
      <c r="M419" s="186"/>
      <c r="N419" s="190"/>
      <c r="O419" s="186"/>
      <c r="P419" s="186"/>
    </row>
    <row r="420">
      <c r="A420" s="186"/>
      <c r="B420" s="186"/>
      <c r="C420" s="186"/>
      <c r="D420" s="186"/>
      <c r="E420" s="186"/>
      <c r="F420" s="186"/>
      <c r="G420" s="186"/>
      <c r="H420" s="186"/>
      <c r="I420" s="188"/>
      <c r="J420" s="188"/>
      <c r="K420" s="186"/>
      <c r="L420" s="190"/>
      <c r="M420" s="186"/>
      <c r="N420" s="190"/>
      <c r="O420" s="186"/>
      <c r="P420" s="186"/>
    </row>
    <row r="421">
      <c r="A421" s="186"/>
      <c r="B421" s="187"/>
      <c r="C421" s="186"/>
      <c r="D421" s="186"/>
      <c r="E421" s="186"/>
      <c r="F421" s="186"/>
      <c r="G421" s="186"/>
      <c r="H421" s="186"/>
      <c r="I421" s="188"/>
      <c r="J421" s="188"/>
      <c r="K421" s="186"/>
      <c r="L421" s="190"/>
      <c r="M421" s="186"/>
      <c r="N421" s="189"/>
      <c r="O421" s="186"/>
      <c r="P421" s="186"/>
    </row>
    <row r="422">
      <c r="A422" s="186"/>
      <c r="B422" s="186"/>
      <c r="C422" s="186"/>
      <c r="D422" s="186"/>
      <c r="E422" s="186"/>
      <c r="F422" s="186"/>
      <c r="G422" s="186"/>
      <c r="H422" s="186"/>
      <c r="I422" s="188"/>
      <c r="J422" s="188"/>
      <c r="K422" s="186"/>
      <c r="L422" s="190"/>
      <c r="M422" s="186"/>
      <c r="N422" s="190"/>
      <c r="O422" s="186"/>
      <c r="P422" s="186"/>
    </row>
    <row r="423">
      <c r="A423" s="186"/>
      <c r="B423" s="186"/>
      <c r="C423" s="186"/>
      <c r="D423" s="186"/>
      <c r="E423" s="186"/>
      <c r="F423" s="186"/>
      <c r="G423" s="186"/>
      <c r="H423" s="186"/>
      <c r="I423" s="188"/>
      <c r="J423" s="188"/>
      <c r="K423" s="186"/>
      <c r="L423" s="190"/>
      <c r="M423" s="186"/>
      <c r="N423" s="190"/>
      <c r="O423" s="186"/>
      <c r="P423" s="186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</row>
  </sheetData>
  <mergeCells count="18">
    <mergeCell ref="B6:B7"/>
    <mergeCell ref="C6:C7"/>
    <mergeCell ref="D6:D7"/>
    <mergeCell ref="E6:E7"/>
    <mergeCell ref="F6:F7"/>
    <mergeCell ref="G6:G7"/>
    <mergeCell ref="H6:J6"/>
    <mergeCell ref="K6:N6"/>
    <mergeCell ref="O6:O7"/>
    <mergeCell ref="P6:P7"/>
    <mergeCell ref="A1:P1"/>
    <mergeCell ref="A2:P2"/>
    <mergeCell ref="A3:D3"/>
    <mergeCell ref="E3:P3"/>
    <mergeCell ref="A4:P4"/>
    <mergeCell ref="A5:P5"/>
    <mergeCell ref="A6:A7"/>
    <mergeCell ref="A15:P15"/>
  </mergeCells>
  <dataValidations>
    <dataValidation type="list" allowBlank="1" showErrorMessage="1" sqref="E8:E11 E16:E27 E29:E423">
      <formula1>"I,II,III"</formula1>
    </dataValidation>
    <dataValidation type="list" allowBlank="1" showErrorMessage="1" sqref="P8:P11 P16:P27 P29:P146 P148:P150 P152:P154 P156:P178 P180:P194 P196:P204 P209:P210 P216 P219:P220 P222:P223 P226 P228:P229 P231 P236 P255:P260 P263:P264 P266 P286 P288 P293 P305">
      <formula1>"SERVED,ONGOING,CONFINED,ONGOING/CONFINED"</formula1>
    </dataValidation>
    <dataValidation type="list" allowBlank="1" sqref="F8:F11 F16:F423">
      <formula1>SUMMARY!$E$10:$E$19</formula1>
    </dataValidation>
    <dataValidation type="custom" allowBlank="1" showDropDown="1" sqref="E3 I8:J11 I16:J205 I208:J210 I213:J213 I215:J229 I231:J233 I235:J260 I263:J266 I268:J271 I273:J276 I278:J291 I293:J293 I295:J296 I298:J299 I303:J423">
      <formula1>OR(NOT(ISERROR(DATEVALUE(E3))), AND(ISNUMBER(E3), LEFT(CELL("format", E3))="D"))</formula1>
    </dataValidation>
    <dataValidation type="list" allowBlank="1" showErrorMessage="1" sqref="E28">
      <formula1>"I,II,III,IV"</formula1>
    </dataValidation>
    <dataValidation type="list" allowBlank="1" showErrorMessage="1" sqref="P215 P218 P227">
      <formula1>"SERVED,ONGOING,CLEARED OUT,PARDONED"</formula1>
    </dataValidation>
    <dataValidation type="list" allowBlank="1" showErrorMessage="1" sqref="B8:B11 B16:B146 B148:B150 B152:B154 B156:B423">
      <formula1>"1CL,2CL,3CL,4CL"</formula1>
    </dataValidation>
    <dataValidation type="list" allowBlank="1" showErrorMessage="1" sqref="P179 P195 P213 P217 P225 P235 P237:P253 P265 P269:P270 P274 P279 P281:P285 P290:P291 P298 P306:P307 P309:P331 P333:P423">
      <formula1>"SERVED,ONGOING,CLEARED OUT"</formula1>
    </dataValidation>
    <dataValidation type="list" allowBlank="1" showDropDown="1" showErrorMessage="1" sqref="H8:H11 H16:H423">
      <formula1>"Yes,No"</formula1>
    </dataValidation>
    <dataValidation type="list" allowBlank="1" showErrorMessage="1" sqref="P147 P151 P206:P207 P211:P212 P214 P230 P261 P271 P276 P300:P302 P308">
      <formula1>"SERVED,ONGOING,CONFINED,CLEARED OUT"</formula1>
    </dataValidation>
    <dataValidation type="list" allowBlank="1" showErrorMessage="1" sqref="P332">
      <formula1>"SERVED,ONGOING,CLEARED OUT,FSA"</formula1>
    </dataValidation>
    <dataValidation type="list" allowBlank="1" showErrorMessage="1" sqref="P28">
      <formula1>"SERVED,ONGOING,CONFINED,ONGOING/CONFINED,CLEARED OUT"</formula1>
    </dataValidation>
    <dataValidation type="list" allowBlank="1" showErrorMessage="1" sqref="P155 P205 P208 P221 P224 P232:P234 P254 P262 P267:P268 P272:P273 P275 P277:P278 P280 P287 P289 P292 P294:P297 P299 P303:P304">
      <formula1>"SERVED,ONGOING,ADVANCED TOURING,PARDONED"</formula1>
    </dataValidation>
  </dataValidations>
  <hyperlinks>
    <hyperlink r:id="rId1" ref="D17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6.25"/>
    <col customWidth="1" min="3" max="3" width="101.5"/>
    <col customWidth="1" min="4" max="4" width="10.25"/>
    <col customWidth="1" min="5" max="5" width="33.13"/>
    <col customWidth="1" min="12" max="13" width="10.88"/>
    <col customWidth="1" min="14" max="14" width="15.25"/>
    <col customWidth="1" min="15" max="15" width="22.88"/>
    <col customWidth="1" hidden="1" min="16" max="16" width="22.88"/>
  </cols>
  <sheetData>
    <row r="1">
      <c r="A1" s="356" t="s">
        <v>809</v>
      </c>
    </row>
    <row r="2">
      <c r="A2" s="357" t="s">
        <v>810</v>
      </c>
    </row>
    <row r="3">
      <c r="A3" s="358" t="s">
        <v>72</v>
      </c>
      <c r="E3" s="359">
        <v>46161.0</v>
      </c>
    </row>
    <row r="4" ht="34.5" customHeight="1">
      <c r="A4" s="357" t="s">
        <v>134</v>
      </c>
    </row>
    <row r="5">
      <c r="A5" s="360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7"/>
      <c r="P5" s="361"/>
    </row>
    <row r="6">
      <c r="A6" s="362" t="s">
        <v>56</v>
      </c>
      <c r="B6" s="362" t="s">
        <v>57</v>
      </c>
      <c r="C6" s="362" t="s">
        <v>58</v>
      </c>
      <c r="D6" s="362" t="s">
        <v>59</v>
      </c>
      <c r="E6" s="362" t="s">
        <v>60</v>
      </c>
      <c r="F6" s="362" t="s">
        <v>61</v>
      </c>
      <c r="G6" s="363" t="s">
        <v>62</v>
      </c>
      <c r="H6" s="96"/>
      <c r="I6" s="97"/>
      <c r="J6" s="363" t="s">
        <v>63</v>
      </c>
      <c r="K6" s="96"/>
      <c r="L6" s="96"/>
      <c r="M6" s="97"/>
      <c r="N6" s="364" t="s">
        <v>64</v>
      </c>
      <c r="O6" s="364" t="s">
        <v>65</v>
      </c>
      <c r="P6" s="365"/>
    </row>
    <row r="7">
      <c r="A7" s="68"/>
      <c r="B7" s="68"/>
      <c r="C7" s="68"/>
      <c r="D7" s="68"/>
      <c r="E7" s="68"/>
      <c r="F7" s="68"/>
      <c r="G7" s="364"/>
      <c r="H7" s="366" t="s">
        <v>67</v>
      </c>
      <c r="I7" s="366" t="s">
        <v>68</v>
      </c>
      <c r="J7" s="366" t="s">
        <v>30</v>
      </c>
      <c r="K7" s="366" t="s">
        <v>69</v>
      </c>
      <c r="L7" s="366" t="s">
        <v>70</v>
      </c>
      <c r="M7" s="366" t="s">
        <v>71</v>
      </c>
      <c r="N7" s="364"/>
      <c r="O7" s="364"/>
      <c r="P7" s="365"/>
    </row>
    <row r="8">
      <c r="A8" s="154" t="s">
        <v>135</v>
      </c>
      <c r="B8" s="367" t="s">
        <v>811</v>
      </c>
      <c r="C8" s="367" t="s">
        <v>812</v>
      </c>
      <c r="D8" s="144" t="s">
        <v>34</v>
      </c>
      <c r="E8" s="367" t="s">
        <v>22</v>
      </c>
      <c r="F8" s="367">
        <v>50.0</v>
      </c>
      <c r="G8" s="144" t="s">
        <v>76</v>
      </c>
      <c r="H8" s="368">
        <v>46044.0</v>
      </c>
      <c r="I8" s="369">
        <v>46224.0</v>
      </c>
      <c r="J8" s="367">
        <v>180.0</v>
      </c>
      <c r="K8" s="370">
        <v>0.0</v>
      </c>
      <c r="L8" s="371">
        <v>180.0</v>
      </c>
      <c r="M8" s="140">
        <f t="shared" ref="M8:M12" si="1">J8-L8-K8</f>
        <v>0</v>
      </c>
      <c r="N8" s="206" t="s">
        <v>813</v>
      </c>
      <c r="O8" s="154" t="s">
        <v>84</v>
      </c>
      <c r="P8" s="311"/>
    </row>
    <row r="9" ht="30.0" customHeight="1">
      <c r="A9" s="154" t="s">
        <v>135</v>
      </c>
      <c r="B9" s="367" t="s">
        <v>811</v>
      </c>
      <c r="C9" s="367" t="s">
        <v>814</v>
      </c>
      <c r="D9" s="144" t="s">
        <v>34</v>
      </c>
      <c r="E9" s="367" t="s">
        <v>19</v>
      </c>
      <c r="F9" s="367">
        <v>30.0</v>
      </c>
      <c r="G9" s="144" t="s">
        <v>76</v>
      </c>
      <c r="H9" s="369">
        <v>46225.0</v>
      </c>
      <c r="I9" s="369">
        <v>46274.0</v>
      </c>
      <c r="J9" s="367">
        <v>65.0</v>
      </c>
      <c r="K9" s="367">
        <v>0.0</v>
      </c>
      <c r="L9" s="371">
        <v>65.0</v>
      </c>
      <c r="M9" s="140">
        <f t="shared" si="1"/>
        <v>0</v>
      </c>
      <c r="N9" s="206" t="s">
        <v>813</v>
      </c>
      <c r="O9" s="154" t="s">
        <v>84</v>
      </c>
      <c r="P9" s="311"/>
    </row>
    <row r="10">
      <c r="A10" s="154" t="s">
        <v>15</v>
      </c>
      <c r="B10" s="182" t="s">
        <v>815</v>
      </c>
      <c r="C10" s="182" t="s">
        <v>816</v>
      </c>
      <c r="D10" s="182" t="s">
        <v>34</v>
      </c>
      <c r="E10" s="182" t="s">
        <v>23</v>
      </c>
      <c r="F10" s="182">
        <v>51.0</v>
      </c>
      <c r="G10" s="182" t="s">
        <v>76</v>
      </c>
      <c r="H10" s="372">
        <v>46097.0</v>
      </c>
      <c r="I10" s="372">
        <v>46277.0</v>
      </c>
      <c r="J10" s="182">
        <v>181.0</v>
      </c>
      <c r="K10" s="182"/>
      <c r="L10" s="182">
        <v>181.0</v>
      </c>
      <c r="M10" s="140">
        <f t="shared" si="1"/>
        <v>0</v>
      </c>
      <c r="N10" s="186"/>
      <c r="O10" s="182" t="s">
        <v>84</v>
      </c>
      <c r="P10" s="311"/>
    </row>
    <row r="11">
      <c r="A11" s="154" t="s">
        <v>16</v>
      </c>
      <c r="B11" s="182" t="s">
        <v>641</v>
      </c>
      <c r="C11" s="182" t="s">
        <v>817</v>
      </c>
      <c r="D11" s="182" t="s">
        <v>34</v>
      </c>
      <c r="E11" s="182" t="s">
        <v>22</v>
      </c>
      <c r="F11" s="182">
        <v>50.0</v>
      </c>
      <c r="G11" s="182" t="s">
        <v>76</v>
      </c>
      <c r="H11" s="372">
        <v>46078.0</v>
      </c>
      <c r="I11" s="372">
        <v>46257.0</v>
      </c>
      <c r="J11" s="182">
        <v>180.0</v>
      </c>
      <c r="K11" s="182"/>
      <c r="L11" s="154">
        <v>180.0</v>
      </c>
      <c r="M11" s="140">
        <f t="shared" si="1"/>
        <v>0</v>
      </c>
      <c r="N11" s="186" t="s">
        <v>818</v>
      </c>
      <c r="O11" s="154" t="s">
        <v>84</v>
      </c>
      <c r="P11" s="147"/>
    </row>
    <row r="12">
      <c r="A12" s="270" t="s">
        <v>17</v>
      </c>
      <c r="B12" s="182" t="s">
        <v>819</v>
      </c>
      <c r="C12" s="182" t="s">
        <v>820</v>
      </c>
      <c r="D12" s="182" t="s">
        <v>34</v>
      </c>
      <c r="E12" s="182" t="s">
        <v>22</v>
      </c>
      <c r="F12" s="182">
        <v>20.0</v>
      </c>
      <c r="G12" s="182" t="s">
        <v>76</v>
      </c>
      <c r="H12" s="373">
        <v>46010.0</v>
      </c>
      <c r="I12" s="373">
        <v>45824.0</v>
      </c>
      <c r="J12" s="182">
        <v>180.0</v>
      </c>
      <c r="K12" s="144"/>
      <c r="L12" s="154">
        <v>180.0</v>
      </c>
      <c r="M12" s="140">
        <f t="shared" si="1"/>
        <v>0</v>
      </c>
      <c r="N12" s="181" t="s">
        <v>821</v>
      </c>
      <c r="O12" s="154" t="s">
        <v>84</v>
      </c>
      <c r="P12" s="147"/>
    </row>
    <row r="13">
      <c r="P13" s="311"/>
    </row>
    <row r="14">
      <c r="P14" s="311"/>
    </row>
    <row r="15">
      <c r="P15" s="311"/>
    </row>
    <row r="16" ht="24.0" customHeight="1">
      <c r="A16" s="315"/>
      <c r="B16" s="315"/>
      <c r="C16" s="315"/>
      <c r="D16" s="315"/>
      <c r="E16" s="315"/>
      <c r="F16" s="315"/>
      <c r="G16" s="315"/>
      <c r="H16" s="332"/>
      <c r="I16" s="332"/>
      <c r="J16" s="315"/>
      <c r="K16" s="315"/>
      <c r="L16" s="315"/>
      <c r="M16" s="140"/>
      <c r="N16" s="296"/>
      <c r="O16" s="315"/>
      <c r="P16" s="311"/>
    </row>
    <row r="17">
      <c r="A17" s="374" t="s">
        <v>144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7"/>
      <c r="P17" s="311"/>
    </row>
    <row r="18">
      <c r="A18" s="139" t="s">
        <v>15</v>
      </c>
      <c r="B18" s="144" t="s">
        <v>822</v>
      </c>
      <c r="C18" s="144" t="s">
        <v>823</v>
      </c>
      <c r="D18" s="144" t="s">
        <v>35</v>
      </c>
      <c r="E18" s="144" t="s">
        <v>19</v>
      </c>
      <c r="F18" s="144">
        <v>11.0</v>
      </c>
      <c r="G18" s="144" t="s">
        <v>92</v>
      </c>
      <c r="H18" s="151"/>
      <c r="I18" s="151"/>
      <c r="J18" s="144">
        <v>13.0</v>
      </c>
      <c r="K18" s="144">
        <v>0.0</v>
      </c>
      <c r="L18" s="144">
        <v>13.0</v>
      </c>
      <c r="M18" s="140">
        <f t="shared" ref="M18:M26" si="2">J18-L18-K18</f>
        <v>0</v>
      </c>
      <c r="N18" s="141" t="s">
        <v>824</v>
      </c>
      <c r="O18" s="144" t="s">
        <v>70</v>
      </c>
      <c r="P18" s="311"/>
    </row>
    <row r="19">
      <c r="A19" s="139" t="s">
        <v>15</v>
      </c>
      <c r="B19" s="144" t="s">
        <v>147</v>
      </c>
      <c r="C19" s="144" t="s">
        <v>825</v>
      </c>
      <c r="D19" s="144" t="s">
        <v>35</v>
      </c>
      <c r="E19" s="144" t="s">
        <v>20</v>
      </c>
      <c r="F19" s="144">
        <v>8.0</v>
      </c>
      <c r="G19" s="144" t="s">
        <v>92</v>
      </c>
      <c r="H19" s="151"/>
      <c r="I19" s="151"/>
      <c r="J19" s="144">
        <v>8.0</v>
      </c>
      <c r="K19" s="144">
        <v>0.0</v>
      </c>
      <c r="L19" s="144">
        <v>8.0</v>
      </c>
      <c r="M19" s="140">
        <f t="shared" si="2"/>
        <v>0</v>
      </c>
      <c r="N19" s="141" t="s">
        <v>826</v>
      </c>
      <c r="O19" s="142" t="s">
        <v>70</v>
      </c>
      <c r="P19" s="311"/>
    </row>
    <row r="20">
      <c r="A20" s="139" t="s">
        <v>15</v>
      </c>
      <c r="B20" s="370" t="s">
        <v>147</v>
      </c>
      <c r="C20" s="370" t="s">
        <v>827</v>
      </c>
      <c r="D20" s="144" t="s">
        <v>35</v>
      </c>
      <c r="E20" s="370" t="s">
        <v>19</v>
      </c>
      <c r="F20" s="370">
        <v>10.0</v>
      </c>
      <c r="G20" s="144" t="s">
        <v>92</v>
      </c>
      <c r="H20" s="151"/>
      <c r="I20" s="151"/>
      <c r="J20" s="370">
        <v>10.0</v>
      </c>
      <c r="K20" s="375">
        <v>0.0</v>
      </c>
      <c r="L20" s="370">
        <v>10.0</v>
      </c>
      <c r="M20" s="376">
        <f t="shared" si="2"/>
        <v>0</v>
      </c>
      <c r="N20" s="377" t="s">
        <v>828</v>
      </c>
      <c r="O20" s="144" t="s">
        <v>70</v>
      </c>
      <c r="P20" s="311"/>
    </row>
    <row r="21">
      <c r="A21" s="154" t="s">
        <v>15</v>
      </c>
      <c r="B21" s="142" t="s">
        <v>829</v>
      </c>
      <c r="C21" s="141" t="s">
        <v>830</v>
      </c>
      <c r="D21" s="142" t="s">
        <v>35</v>
      </c>
      <c r="E21" s="142" t="s">
        <v>22</v>
      </c>
      <c r="F21" s="142">
        <v>10.0</v>
      </c>
      <c r="G21" s="142" t="s">
        <v>92</v>
      </c>
      <c r="H21" s="151"/>
      <c r="I21" s="151"/>
      <c r="J21" s="142">
        <v>10.0</v>
      </c>
      <c r="K21" s="142">
        <v>0.0</v>
      </c>
      <c r="L21" s="142">
        <v>10.0</v>
      </c>
      <c r="M21" s="140">
        <f t="shared" si="2"/>
        <v>0</v>
      </c>
      <c r="N21" s="142" t="s">
        <v>831</v>
      </c>
      <c r="O21" s="142" t="s">
        <v>70</v>
      </c>
      <c r="P21" s="147"/>
    </row>
    <row r="22">
      <c r="A22" s="139" t="s">
        <v>15</v>
      </c>
      <c r="B22" s="182" t="s">
        <v>829</v>
      </c>
      <c r="C22" s="182" t="s">
        <v>832</v>
      </c>
      <c r="D22" s="182" t="s">
        <v>34</v>
      </c>
      <c r="E22" s="182" t="s">
        <v>19</v>
      </c>
      <c r="F22" s="182">
        <v>30.0</v>
      </c>
      <c r="G22" s="182" t="s">
        <v>76</v>
      </c>
      <c r="H22" s="373">
        <v>45978.0</v>
      </c>
      <c r="I22" s="373">
        <v>45662.0</v>
      </c>
      <c r="J22" s="182">
        <v>65.0</v>
      </c>
      <c r="K22" s="182">
        <v>0.0</v>
      </c>
      <c r="L22" s="182">
        <v>65.0</v>
      </c>
      <c r="M22" s="140">
        <f t="shared" si="2"/>
        <v>0</v>
      </c>
      <c r="N22" s="181" t="s">
        <v>833</v>
      </c>
      <c r="O22" s="182" t="s">
        <v>70</v>
      </c>
      <c r="P22" s="223"/>
    </row>
    <row r="23">
      <c r="A23" s="139" t="s">
        <v>15</v>
      </c>
      <c r="B23" s="141" t="s">
        <v>829</v>
      </c>
      <c r="C23" s="141" t="s">
        <v>834</v>
      </c>
      <c r="D23" s="141" t="s">
        <v>34</v>
      </c>
      <c r="E23" s="141" t="s">
        <v>19</v>
      </c>
      <c r="F23" s="142">
        <v>30.0</v>
      </c>
      <c r="G23" s="141" t="s">
        <v>92</v>
      </c>
      <c r="H23" s="146">
        <v>45903.0</v>
      </c>
      <c r="I23" s="146">
        <v>45952.0</v>
      </c>
      <c r="J23" s="141">
        <v>65.0</v>
      </c>
      <c r="K23" s="141">
        <v>20.0</v>
      </c>
      <c r="L23" s="142">
        <v>45.0</v>
      </c>
      <c r="M23" s="140">
        <f t="shared" si="2"/>
        <v>0</v>
      </c>
      <c r="N23" s="141" t="s">
        <v>835</v>
      </c>
      <c r="O23" s="142" t="s">
        <v>70</v>
      </c>
      <c r="P23" s="147"/>
    </row>
    <row r="24">
      <c r="A24" s="154" t="s">
        <v>15</v>
      </c>
      <c r="B24" s="182" t="s">
        <v>829</v>
      </c>
      <c r="C24" s="182" t="s">
        <v>836</v>
      </c>
      <c r="D24" s="182" t="s">
        <v>35</v>
      </c>
      <c r="E24" s="182" t="s">
        <v>22</v>
      </c>
      <c r="F24" s="182">
        <v>19.0</v>
      </c>
      <c r="G24" s="182" t="s">
        <v>92</v>
      </c>
      <c r="H24" s="372"/>
      <c r="I24" s="372"/>
      <c r="J24" s="182">
        <v>39.0</v>
      </c>
      <c r="K24" s="182"/>
      <c r="L24" s="182">
        <v>39.0</v>
      </c>
      <c r="M24" s="140">
        <f t="shared" si="2"/>
        <v>0</v>
      </c>
      <c r="N24" s="186" t="s">
        <v>837</v>
      </c>
      <c r="O24" s="182" t="s">
        <v>70</v>
      </c>
      <c r="P24" s="311"/>
    </row>
    <row r="25">
      <c r="A25" s="139" t="s">
        <v>15</v>
      </c>
      <c r="B25" s="141" t="s">
        <v>838</v>
      </c>
      <c r="C25" s="141" t="s">
        <v>839</v>
      </c>
      <c r="D25" s="141" t="s">
        <v>35</v>
      </c>
      <c r="E25" s="141" t="s">
        <v>23</v>
      </c>
      <c r="F25" s="141">
        <v>19.0</v>
      </c>
      <c r="G25" s="141" t="s">
        <v>92</v>
      </c>
      <c r="H25" s="151"/>
      <c r="I25" s="151"/>
      <c r="J25" s="141">
        <v>39.0</v>
      </c>
      <c r="K25" s="141">
        <v>0.0</v>
      </c>
      <c r="L25" s="141">
        <v>39.0</v>
      </c>
      <c r="M25" s="140">
        <f t="shared" si="2"/>
        <v>0</v>
      </c>
      <c r="N25" s="141" t="s">
        <v>358</v>
      </c>
      <c r="O25" s="142" t="s">
        <v>70</v>
      </c>
      <c r="P25" s="311"/>
    </row>
    <row r="26">
      <c r="A26" s="139" t="s">
        <v>15</v>
      </c>
      <c r="B26" s="370" t="s">
        <v>838</v>
      </c>
      <c r="C26" s="370" t="s">
        <v>840</v>
      </c>
      <c r="D26" s="144" t="s">
        <v>34</v>
      </c>
      <c r="E26" s="370" t="s">
        <v>23</v>
      </c>
      <c r="F26" s="370">
        <v>20.0</v>
      </c>
      <c r="G26" s="144" t="s">
        <v>76</v>
      </c>
      <c r="H26" s="368">
        <v>45952.0</v>
      </c>
      <c r="I26" s="368">
        <v>45965.0</v>
      </c>
      <c r="J26" s="370">
        <v>40.0</v>
      </c>
      <c r="K26" s="370">
        <v>0.0</v>
      </c>
      <c r="L26" s="371">
        <v>40.0</v>
      </c>
      <c r="M26" s="378">
        <f t="shared" si="2"/>
        <v>0</v>
      </c>
      <c r="N26" s="376" t="s">
        <v>841</v>
      </c>
      <c r="O26" s="144" t="s">
        <v>70</v>
      </c>
      <c r="P26" s="311"/>
    </row>
    <row r="27">
      <c r="A27" s="139" t="s">
        <v>15</v>
      </c>
      <c r="B27" s="182" t="s">
        <v>842</v>
      </c>
      <c r="C27" s="182" t="s">
        <v>843</v>
      </c>
      <c r="D27" s="182" t="s">
        <v>35</v>
      </c>
      <c r="E27" s="182" t="s">
        <v>20</v>
      </c>
      <c r="F27" s="182">
        <v>8.0</v>
      </c>
      <c r="G27" s="182" t="s">
        <v>92</v>
      </c>
      <c r="H27" s="373"/>
      <c r="I27" s="373"/>
      <c r="J27" s="182">
        <v>8.0</v>
      </c>
      <c r="K27" s="182"/>
      <c r="L27" s="182">
        <v>8.0</v>
      </c>
      <c r="M27" s="181">
        <v>0.0</v>
      </c>
      <c r="N27" s="186" t="s">
        <v>844</v>
      </c>
      <c r="O27" s="182" t="s">
        <v>70</v>
      </c>
    </row>
    <row r="28">
      <c r="A28" s="154" t="s">
        <v>15</v>
      </c>
      <c r="B28" s="141" t="s">
        <v>842</v>
      </c>
      <c r="C28" s="141" t="s">
        <v>845</v>
      </c>
      <c r="D28" s="141" t="s">
        <v>35</v>
      </c>
      <c r="E28" s="141" t="s">
        <v>19</v>
      </c>
      <c r="F28" s="142">
        <v>10.0</v>
      </c>
      <c r="G28" s="141" t="s">
        <v>92</v>
      </c>
      <c r="H28" s="151"/>
      <c r="I28" s="151"/>
      <c r="J28" s="141">
        <v>10.0</v>
      </c>
      <c r="K28" s="141">
        <v>0.0</v>
      </c>
      <c r="L28" s="139">
        <v>10.0</v>
      </c>
      <c r="M28" s="140">
        <f t="shared" ref="M28:M33" si="3">J28-L28-K28</f>
        <v>0</v>
      </c>
      <c r="N28" s="141" t="s">
        <v>846</v>
      </c>
      <c r="O28" s="139" t="s">
        <v>70</v>
      </c>
    </row>
    <row r="29">
      <c r="A29" s="154" t="s">
        <v>15</v>
      </c>
      <c r="B29" s="182" t="s">
        <v>847</v>
      </c>
      <c r="C29" s="182" t="s">
        <v>848</v>
      </c>
      <c r="D29" s="182" t="s">
        <v>34</v>
      </c>
      <c r="E29" s="182" t="s">
        <v>19</v>
      </c>
      <c r="F29" s="182">
        <v>30.0</v>
      </c>
      <c r="G29" s="182" t="s">
        <v>76</v>
      </c>
      <c r="H29" s="373">
        <v>45987.0</v>
      </c>
      <c r="I29" s="373">
        <v>45671.0</v>
      </c>
      <c r="J29" s="182">
        <v>65.0</v>
      </c>
      <c r="K29" s="182">
        <v>0.0</v>
      </c>
      <c r="L29" s="182">
        <v>65.0</v>
      </c>
      <c r="M29" s="140">
        <f t="shared" si="3"/>
        <v>0</v>
      </c>
      <c r="N29" s="181" t="s">
        <v>849</v>
      </c>
      <c r="O29" s="182" t="s">
        <v>70</v>
      </c>
    </row>
    <row r="30">
      <c r="A30" s="154" t="s">
        <v>15</v>
      </c>
      <c r="B30" s="182" t="s">
        <v>847</v>
      </c>
      <c r="C30" s="182" t="s">
        <v>850</v>
      </c>
      <c r="D30" s="182" t="s">
        <v>34</v>
      </c>
      <c r="E30" s="182" t="s">
        <v>19</v>
      </c>
      <c r="F30" s="182">
        <v>30.0</v>
      </c>
      <c r="G30" s="182" t="s">
        <v>76</v>
      </c>
      <c r="H30" s="373">
        <v>45672.0</v>
      </c>
      <c r="I30" s="373">
        <v>45721.0</v>
      </c>
      <c r="J30" s="182">
        <v>65.0</v>
      </c>
      <c r="K30" s="182">
        <v>0.0</v>
      </c>
      <c r="L30" s="182">
        <v>65.0</v>
      </c>
      <c r="M30" s="140">
        <f t="shared" si="3"/>
        <v>0</v>
      </c>
      <c r="N30" s="186" t="s">
        <v>851</v>
      </c>
      <c r="O30" s="182" t="s">
        <v>70</v>
      </c>
      <c r="P30" s="311"/>
    </row>
    <row r="31" ht="29.25" customHeight="1">
      <c r="A31" s="154" t="s">
        <v>15</v>
      </c>
      <c r="B31" s="182" t="s">
        <v>847</v>
      </c>
      <c r="C31" s="182" t="s">
        <v>852</v>
      </c>
      <c r="D31" s="182" t="s">
        <v>35</v>
      </c>
      <c r="E31" s="182" t="s">
        <v>23</v>
      </c>
      <c r="F31" s="182">
        <v>19.0</v>
      </c>
      <c r="G31" s="182" t="s">
        <v>92</v>
      </c>
      <c r="H31" s="372"/>
      <c r="I31" s="372"/>
      <c r="J31" s="182">
        <v>39.0</v>
      </c>
      <c r="K31" s="182"/>
      <c r="L31" s="182">
        <v>39.0</v>
      </c>
      <c r="M31" s="140">
        <f t="shared" si="3"/>
        <v>0</v>
      </c>
      <c r="N31" s="186" t="s">
        <v>837</v>
      </c>
      <c r="O31" s="182" t="s">
        <v>70</v>
      </c>
      <c r="P31" s="379"/>
    </row>
    <row r="32">
      <c r="A32" s="154" t="s">
        <v>15</v>
      </c>
      <c r="B32" s="141" t="s">
        <v>853</v>
      </c>
      <c r="C32" s="141" t="s">
        <v>854</v>
      </c>
      <c r="D32" s="141" t="s">
        <v>34</v>
      </c>
      <c r="E32" s="141" t="s">
        <v>23</v>
      </c>
      <c r="F32" s="142">
        <v>50.0</v>
      </c>
      <c r="G32" s="181" t="s">
        <v>92</v>
      </c>
      <c r="H32" s="146">
        <v>45902.0</v>
      </c>
      <c r="I32" s="146">
        <v>46081.0</v>
      </c>
      <c r="J32" s="141">
        <v>180.0</v>
      </c>
      <c r="K32" s="141">
        <v>26.0</v>
      </c>
      <c r="L32" s="139">
        <v>154.0</v>
      </c>
      <c r="M32" s="140">
        <f t="shared" si="3"/>
        <v>0</v>
      </c>
      <c r="N32" s="141" t="s">
        <v>855</v>
      </c>
      <c r="O32" s="139" t="s">
        <v>70</v>
      </c>
      <c r="P32" s="147"/>
    </row>
    <row r="33">
      <c r="A33" s="154" t="s">
        <v>15</v>
      </c>
      <c r="B33" s="370" t="s">
        <v>853</v>
      </c>
      <c r="C33" s="370" t="s">
        <v>856</v>
      </c>
      <c r="D33" s="144" t="s">
        <v>34</v>
      </c>
      <c r="E33" s="370" t="s">
        <v>23</v>
      </c>
      <c r="F33" s="370">
        <v>25.0</v>
      </c>
      <c r="G33" s="144" t="s">
        <v>92</v>
      </c>
      <c r="H33" s="368">
        <v>45717.0</v>
      </c>
      <c r="I33" s="368">
        <v>45746.0</v>
      </c>
      <c r="J33" s="370">
        <v>50.0</v>
      </c>
      <c r="K33" s="370"/>
      <c r="L33" s="367">
        <v>50.0</v>
      </c>
      <c r="M33" s="376">
        <f t="shared" si="3"/>
        <v>0</v>
      </c>
      <c r="N33" s="377" t="s">
        <v>851</v>
      </c>
      <c r="O33" s="182" t="s">
        <v>70</v>
      </c>
      <c r="P33" s="380"/>
    </row>
    <row r="34">
      <c r="A34" s="154" t="s">
        <v>15</v>
      </c>
      <c r="B34" s="182" t="s">
        <v>853</v>
      </c>
      <c r="C34" s="182" t="s">
        <v>850</v>
      </c>
      <c r="D34" s="182" t="s">
        <v>35</v>
      </c>
      <c r="E34" s="182" t="s">
        <v>19</v>
      </c>
      <c r="F34" s="182">
        <v>8.0</v>
      </c>
      <c r="G34" s="182" t="s">
        <v>92</v>
      </c>
      <c r="H34" s="143"/>
      <c r="I34" s="143"/>
      <c r="J34" s="182">
        <v>8.0</v>
      </c>
      <c r="K34" s="182">
        <v>0.0</v>
      </c>
      <c r="L34" s="182">
        <v>8.0</v>
      </c>
      <c r="M34" s="181">
        <v>0.0</v>
      </c>
      <c r="N34" s="181" t="s">
        <v>857</v>
      </c>
      <c r="O34" s="182" t="s">
        <v>70</v>
      </c>
      <c r="P34" s="311"/>
    </row>
    <row r="35">
      <c r="A35" s="154" t="s">
        <v>15</v>
      </c>
      <c r="B35" s="141" t="s">
        <v>858</v>
      </c>
      <c r="C35" s="141" t="s">
        <v>834</v>
      </c>
      <c r="D35" s="141" t="s">
        <v>34</v>
      </c>
      <c r="E35" s="141" t="s">
        <v>19</v>
      </c>
      <c r="F35" s="142">
        <v>30.0</v>
      </c>
      <c r="G35" s="141" t="s">
        <v>92</v>
      </c>
      <c r="H35" s="146">
        <v>45903.0</v>
      </c>
      <c r="I35" s="146">
        <v>45952.0</v>
      </c>
      <c r="J35" s="141">
        <v>65.0</v>
      </c>
      <c r="K35" s="141">
        <v>10.0</v>
      </c>
      <c r="L35" s="139">
        <v>55.0</v>
      </c>
      <c r="M35" s="140">
        <f t="shared" ref="M35:M43" si="4">J35-L35-K35</f>
        <v>0</v>
      </c>
      <c r="N35" s="141" t="s">
        <v>835</v>
      </c>
      <c r="O35" s="139" t="s">
        <v>70</v>
      </c>
      <c r="P35" s="147"/>
    </row>
    <row r="36">
      <c r="A36" s="139" t="s">
        <v>15</v>
      </c>
      <c r="B36" s="144" t="s">
        <v>858</v>
      </c>
      <c r="C36" s="144" t="s">
        <v>859</v>
      </c>
      <c r="D36" s="144" t="s">
        <v>35</v>
      </c>
      <c r="E36" s="144" t="s">
        <v>19</v>
      </c>
      <c r="F36" s="144">
        <v>11.0</v>
      </c>
      <c r="G36" s="144" t="s">
        <v>92</v>
      </c>
      <c r="H36" s="151"/>
      <c r="I36" s="151"/>
      <c r="J36" s="144">
        <v>13.0</v>
      </c>
      <c r="K36" s="144">
        <v>0.0</v>
      </c>
      <c r="L36" s="154">
        <v>13.0</v>
      </c>
      <c r="M36" s="140">
        <f t="shared" si="4"/>
        <v>0</v>
      </c>
      <c r="N36" s="141" t="s">
        <v>824</v>
      </c>
      <c r="O36" s="154" t="s">
        <v>70</v>
      </c>
      <c r="P36" s="147"/>
    </row>
    <row r="37">
      <c r="A37" s="139" t="s">
        <v>15</v>
      </c>
      <c r="B37" s="141" t="s">
        <v>860</v>
      </c>
      <c r="C37" s="141" t="s">
        <v>861</v>
      </c>
      <c r="D37" s="141" t="s">
        <v>34</v>
      </c>
      <c r="E37" s="141" t="s">
        <v>19</v>
      </c>
      <c r="F37" s="142">
        <v>30.0</v>
      </c>
      <c r="G37" s="141" t="s">
        <v>92</v>
      </c>
      <c r="H37" s="146">
        <v>45903.0</v>
      </c>
      <c r="I37" s="146">
        <v>45952.0</v>
      </c>
      <c r="J37" s="141">
        <v>65.0</v>
      </c>
      <c r="K37" s="141">
        <v>2.0</v>
      </c>
      <c r="L37" s="139">
        <v>63.0</v>
      </c>
      <c r="M37" s="141">
        <f t="shared" si="4"/>
        <v>0</v>
      </c>
      <c r="N37" s="141" t="s">
        <v>835</v>
      </c>
      <c r="O37" s="139" t="s">
        <v>70</v>
      </c>
      <c r="P37" s="311"/>
    </row>
    <row r="38">
      <c r="A38" s="139" t="s">
        <v>15</v>
      </c>
      <c r="B38" s="141" t="s">
        <v>862</v>
      </c>
      <c r="C38" s="141" t="s">
        <v>863</v>
      </c>
      <c r="D38" s="141" t="s">
        <v>34</v>
      </c>
      <c r="E38" s="141" t="s">
        <v>19</v>
      </c>
      <c r="F38" s="141">
        <v>30.0</v>
      </c>
      <c r="G38" s="142" t="s">
        <v>92</v>
      </c>
      <c r="H38" s="146">
        <v>45882.0</v>
      </c>
      <c r="I38" s="146">
        <v>45931.0</v>
      </c>
      <c r="J38" s="141">
        <v>65.0</v>
      </c>
      <c r="K38" s="141">
        <v>6.0</v>
      </c>
      <c r="L38" s="142">
        <v>59.0</v>
      </c>
      <c r="M38" s="140">
        <f t="shared" si="4"/>
        <v>0</v>
      </c>
      <c r="N38" s="141" t="s">
        <v>864</v>
      </c>
      <c r="O38" s="142" t="s">
        <v>70</v>
      </c>
      <c r="P38" s="380"/>
    </row>
    <row r="39">
      <c r="A39" s="139" t="s">
        <v>15</v>
      </c>
      <c r="B39" s="141" t="s">
        <v>862</v>
      </c>
      <c r="C39" s="141" t="s">
        <v>863</v>
      </c>
      <c r="D39" s="141" t="s">
        <v>34</v>
      </c>
      <c r="E39" s="141" t="s">
        <v>19</v>
      </c>
      <c r="F39" s="141">
        <v>30.0</v>
      </c>
      <c r="G39" s="142" t="s">
        <v>92</v>
      </c>
      <c r="H39" s="146">
        <v>45882.0</v>
      </c>
      <c r="I39" s="146">
        <v>45931.0</v>
      </c>
      <c r="J39" s="141">
        <v>65.0</v>
      </c>
      <c r="K39" s="141">
        <v>6.0</v>
      </c>
      <c r="L39" s="142">
        <v>59.0</v>
      </c>
      <c r="M39" s="140">
        <f t="shared" si="4"/>
        <v>0</v>
      </c>
      <c r="N39" s="141" t="s">
        <v>864</v>
      </c>
      <c r="O39" s="142" t="s">
        <v>70</v>
      </c>
      <c r="P39" s="380"/>
    </row>
    <row r="40">
      <c r="A40" s="154" t="s">
        <v>15</v>
      </c>
      <c r="B40" s="144" t="s">
        <v>862</v>
      </c>
      <c r="C40" s="144" t="s">
        <v>823</v>
      </c>
      <c r="D40" s="144" t="s">
        <v>35</v>
      </c>
      <c r="E40" s="144" t="s">
        <v>19</v>
      </c>
      <c r="F40" s="144">
        <v>11.0</v>
      </c>
      <c r="G40" s="144" t="s">
        <v>92</v>
      </c>
      <c r="H40" s="151"/>
      <c r="I40" s="151"/>
      <c r="J40" s="144">
        <v>13.0</v>
      </c>
      <c r="K40" s="144">
        <v>0.0</v>
      </c>
      <c r="L40" s="154">
        <v>13.0</v>
      </c>
      <c r="M40" s="140">
        <f t="shared" si="4"/>
        <v>0</v>
      </c>
      <c r="N40" s="141" t="s">
        <v>824</v>
      </c>
      <c r="O40" s="154" t="s">
        <v>70</v>
      </c>
      <c r="P40" s="380"/>
    </row>
    <row r="41">
      <c r="A41" s="154" t="s">
        <v>15</v>
      </c>
      <c r="B41" s="141" t="s">
        <v>862</v>
      </c>
      <c r="C41" s="141" t="s">
        <v>865</v>
      </c>
      <c r="D41" s="141" t="s">
        <v>34</v>
      </c>
      <c r="E41" s="141" t="s">
        <v>22</v>
      </c>
      <c r="F41" s="142">
        <v>20.0</v>
      </c>
      <c r="G41" s="182" t="s">
        <v>92</v>
      </c>
      <c r="H41" s="146">
        <v>45932.0</v>
      </c>
      <c r="I41" s="146">
        <v>45946.0</v>
      </c>
      <c r="J41" s="141">
        <v>40.0</v>
      </c>
      <c r="K41" s="141">
        <v>0.0</v>
      </c>
      <c r="L41" s="139">
        <v>40.0</v>
      </c>
      <c r="M41" s="140">
        <f t="shared" si="4"/>
        <v>0</v>
      </c>
      <c r="N41" s="141" t="s">
        <v>835</v>
      </c>
      <c r="O41" s="139" t="s">
        <v>70</v>
      </c>
      <c r="P41" s="147"/>
    </row>
    <row r="42">
      <c r="A42" s="139" t="s">
        <v>15</v>
      </c>
      <c r="B42" s="141" t="s">
        <v>866</v>
      </c>
      <c r="C42" s="141" t="s">
        <v>867</v>
      </c>
      <c r="D42" s="141" t="s">
        <v>34</v>
      </c>
      <c r="E42" s="141" t="s">
        <v>23</v>
      </c>
      <c r="F42" s="142">
        <v>40.0</v>
      </c>
      <c r="G42" s="141" t="s">
        <v>76</v>
      </c>
      <c r="H42" s="146">
        <v>45902.0</v>
      </c>
      <c r="I42" s="146">
        <v>46011.0</v>
      </c>
      <c r="J42" s="141">
        <v>110.0</v>
      </c>
      <c r="K42" s="141">
        <v>26.0</v>
      </c>
      <c r="L42" s="139">
        <v>84.0</v>
      </c>
      <c r="M42" s="140">
        <f t="shared" si="4"/>
        <v>0</v>
      </c>
      <c r="N42" s="141" t="s">
        <v>855</v>
      </c>
      <c r="O42" s="139" t="s">
        <v>70</v>
      </c>
      <c r="P42" s="311"/>
    </row>
    <row r="43">
      <c r="A43" s="154" t="s">
        <v>15</v>
      </c>
      <c r="B43" s="141" t="s">
        <v>868</v>
      </c>
      <c r="C43" s="141" t="s">
        <v>863</v>
      </c>
      <c r="D43" s="141" t="s">
        <v>34</v>
      </c>
      <c r="E43" s="141" t="s">
        <v>19</v>
      </c>
      <c r="F43" s="142">
        <v>30.0</v>
      </c>
      <c r="G43" s="142" t="s">
        <v>92</v>
      </c>
      <c r="H43" s="146">
        <v>45887.0</v>
      </c>
      <c r="I43" s="146">
        <v>45936.0</v>
      </c>
      <c r="J43" s="141">
        <v>65.0</v>
      </c>
      <c r="K43" s="141">
        <v>20.0</v>
      </c>
      <c r="L43" s="142">
        <v>45.0</v>
      </c>
      <c r="M43" s="140">
        <f t="shared" si="4"/>
        <v>0</v>
      </c>
      <c r="N43" s="141" t="s">
        <v>869</v>
      </c>
      <c r="O43" s="142" t="s">
        <v>70</v>
      </c>
      <c r="P43" s="380"/>
    </row>
    <row r="44">
      <c r="A44" s="154" t="s">
        <v>15</v>
      </c>
      <c r="B44" s="141" t="s">
        <v>868</v>
      </c>
      <c r="C44" s="141" t="s">
        <v>870</v>
      </c>
      <c r="D44" s="141" t="s">
        <v>35</v>
      </c>
      <c r="E44" s="141" t="s">
        <v>19</v>
      </c>
      <c r="F44" s="142">
        <v>10.0</v>
      </c>
      <c r="G44" s="142" t="s">
        <v>92</v>
      </c>
      <c r="H44" s="151"/>
      <c r="I44" s="151"/>
      <c r="J44" s="141">
        <v>10.0</v>
      </c>
      <c r="K44" s="141">
        <v>0.0</v>
      </c>
      <c r="L44" s="139">
        <v>10.0</v>
      </c>
      <c r="M44" s="141">
        <v>0.0</v>
      </c>
      <c r="N44" s="141" t="s">
        <v>871</v>
      </c>
      <c r="O44" s="142" t="s">
        <v>70</v>
      </c>
      <c r="P44" s="381"/>
    </row>
    <row r="45">
      <c r="A45" s="139" t="s">
        <v>15</v>
      </c>
      <c r="B45" s="141" t="s">
        <v>868</v>
      </c>
      <c r="C45" s="141" t="s">
        <v>870</v>
      </c>
      <c r="D45" s="141" t="s">
        <v>35</v>
      </c>
      <c r="E45" s="141" t="s">
        <v>19</v>
      </c>
      <c r="F45" s="142">
        <v>10.0</v>
      </c>
      <c r="G45" s="142" t="s">
        <v>92</v>
      </c>
      <c r="H45" s="151"/>
      <c r="I45" s="151"/>
      <c r="J45" s="141">
        <v>10.0</v>
      </c>
      <c r="K45" s="141">
        <v>0.0</v>
      </c>
      <c r="L45" s="139">
        <v>10.0</v>
      </c>
      <c r="M45" s="140">
        <v>0.0</v>
      </c>
      <c r="N45" s="141" t="s">
        <v>871</v>
      </c>
      <c r="O45" s="142" t="s">
        <v>70</v>
      </c>
      <c r="P45" s="381"/>
    </row>
    <row r="46">
      <c r="A46" s="139" t="s">
        <v>15</v>
      </c>
      <c r="B46" s="144" t="s">
        <v>868</v>
      </c>
      <c r="C46" s="144" t="s">
        <v>823</v>
      </c>
      <c r="D46" s="144" t="s">
        <v>35</v>
      </c>
      <c r="E46" s="144" t="s">
        <v>19</v>
      </c>
      <c r="F46" s="144">
        <v>11.0</v>
      </c>
      <c r="G46" s="144" t="s">
        <v>92</v>
      </c>
      <c r="H46" s="151"/>
      <c r="I46" s="151"/>
      <c r="J46" s="144">
        <v>13.0</v>
      </c>
      <c r="K46" s="144">
        <v>0.0</v>
      </c>
      <c r="L46" s="154">
        <v>13.0</v>
      </c>
      <c r="M46" s="140">
        <f t="shared" ref="M46:M60" si="5">J46-L46-K46</f>
        <v>0</v>
      </c>
      <c r="N46" s="141" t="s">
        <v>824</v>
      </c>
      <c r="O46" s="154" t="s">
        <v>70</v>
      </c>
      <c r="P46" s="147"/>
    </row>
    <row r="47">
      <c r="A47" s="154" t="s">
        <v>15</v>
      </c>
      <c r="B47" s="370" t="s">
        <v>872</v>
      </c>
      <c r="C47" s="370" t="s">
        <v>873</v>
      </c>
      <c r="D47" s="144" t="s">
        <v>34</v>
      </c>
      <c r="E47" s="370" t="s">
        <v>23</v>
      </c>
      <c r="F47" s="370">
        <v>20.0</v>
      </c>
      <c r="G47" s="144" t="s">
        <v>92</v>
      </c>
      <c r="H47" s="368">
        <v>45663.0</v>
      </c>
      <c r="I47" s="368">
        <v>45677.0</v>
      </c>
      <c r="J47" s="370">
        <v>40.0</v>
      </c>
      <c r="K47" s="370">
        <v>0.0</v>
      </c>
      <c r="L47" s="367">
        <v>40.0</v>
      </c>
      <c r="M47" s="378">
        <f t="shared" si="5"/>
        <v>0</v>
      </c>
      <c r="N47" s="376" t="s">
        <v>849</v>
      </c>
      <c r="O47" s="182" t="s">
        <v>70</v>
      </c>
      <c r="P47" s="311"/>
    </row>
    <row r="48">
      <c r="A48" s="139" t="s">
        <v>15</v>
      </c>
      <c r="B48" s="141" t="s">
        <v>868</v>
      </c>
      <c r="C48" s="141" t="s">
        <v>874</v>
      </c>
      <c r="D48" s="141" t="s">
        <v>34</v>
      </c>
      <c r="E48" s="141" t="s">
        <v>23</v>
      </c>
      <c r="F48" s="141">
        <v>50.0</v>
      </c>
      <c r="G48" s="182" t="s">
        <v>92</v>
      </c>
      <c r="H48" s="146">
        <v>45795.0</v>
      </c>
      <c r="I48" s="146">
        <v>45975.0</v>
      </c>
      <c r="J48" s="141">
        <v>180.0</v>
      </c>
      <c r="K48" s="141">
        <v>0.0</v>
      </c>
      <c r="L48" s="141">
        <v>180.0</v>
      </c>
      <c r="M48" s="140">
        <f t="shared" si="5"/>
        <v>0</v>
      </c>
      <c r="N48" s="141" t="s">
        <v>875</v>
      </c>
      <c r="O48" s="139" t="s">
        <v>70</v>
      </c>
      <c r="P48" s="147"/>
    </row>
    <row r="49">
      <c r="A49" s="154" t="s">
        <v>15</v>
      </c>
      <c r="B49" s="182" t="s">
        <v>868</v>
      </c>
      <c r="C49" s="182" t="s">
        <v>827</v>
      </c>
      <c r="D49" s="182" t="s">
        <v>34</v>
      </c>
      <c r="E49" s="182" t="s">
        <v>19</v>
      </c>
      <c r="F49" s="182">
        <v>30.0</v>
      </c>
      <c r="G49" s="182" t="s">
        <v>92</v>
      </c>
      <c r="H49" s="373">
        <v>45978.0</v>
      </c>
      <c r="I49" s="373">
        <v>45662.0</v>
      </c>
      <c r="J49" s="182">
        <v>65.0</v>
      </c>
      <c r="K49" s="182">
        <v>0.0</v>
      </c>
      <c r="L49" s="182">
        <v>65.0</v>
      </c>
      <c r="M49" s="140">
        <f t="shared" si="5"/>
        <v>0</v>
      </c>
      <c r="N49" s="181" t="s">
        <v>833</v>
      </c>
      <c r="O49" s="182" t="s">
        <v>70</v>
      </c>
      <c r="P49" s="311"/>
    </row>
    <row r="50">
      <c r="A50" s="139" t="s">
        <v>15</v>
      </c>
      <c r="B50" s="142" t="s">
        <v>876</v>
      </c>
      <c r="C50" s="142" t="s">
        <v>877</v>
      </c>
      <c r="D50" s="142" t="s">
        <v>35</v>
      </c>
      <c r="E50" s="142" t="s">
        <v>22</v>
      </c>
      <c r="F50" s="142">
        <v>10.0</v>
      </c>
      <c r="G50" s="142" t="s">
        <v>92</v>
      </c>
      <c r="H50" s="151"/>
      <c r="I50" s="151"/>
      <c r="J50" s="142">
        <v>10.0</v>
      </c>
      <c r="K50" s="142">
        <v>0.0</v>
      </c>
      <c r="L50" s="142">
        <v>10.0</v>
      </c>
      <c r="M50" s="140">
        <f t="shared" si="5"/>
        <v>0</v>
      </c>
      <c r="N50" s="142" t="s">
        <v>831</v>
      </c>
      <c r="O50" s="142" t="s">
        <v>70</v>
      </c>
      <c r="P50" s="380"/>
    </row>
    <row r="51">
      <c r="A51" s="139" t="s">
        <v>15</v>
      </c>
      <c r="B51" s="144" t="s">
        <v>876</v>
      </c>
      <c r="C51" s="144" t="s">
        <v>878</v>
      </c>
      <c r="D51" s="144" t="s">
        <v>35</v>
      </c>
      <c r="E51" s="144" t="s">
        <v>19</v>
      </c>
      <c r="F51" s="144">
        <v>10.0</v>
      </c>
      <c r="G51" s="144" t="s">
        <v>92</v>
      </c>
      <c r="H51" s="151"/>
      <c r="I51" s="151"/>
      <c r="J51" s="144">
        <v>10.0</v>
      </c>
      <c r="K51" s="144">
        <v>0.0</v>
      </c>
      <c r="L51" s="144">
        <v>10.0</v>
      </c>
      <c r="M51" s="140">
        <f t="shared" si="5"/>
        <v>0</v>
      </c>
      <c r="N51" s="141" t="s">
        <v>826</v>
      </c>
      <c r="O51" s="144" t="s">
        <v>70</v>
      </c>
      <c r="P51" s="382"/>
    </row>
    <row r="52">
      <c r="A52" s="154" t="s">
        <v>15</v>
      </c>
      <c r="B52" s="141" t="s">
        <v>847</v>
      </c>
      <c r="C52" s="141" t="s">
        <v>879</v>
      </c>
      <c r="D52" s="141" t="s">
        <v>35</v>
      </c>
      <c r="E52" s="141" t="s">
        <v>19</v>
      </c>
      <c r="F52" s="141">
        <v>10.0</v>
      </c>
      <c r="G52" s="141" t="s">
        <v>92</v>
      </c>
      <c r="H52" s="151"/>
      <c r="I52" s="151"/>
      <c r="J52" s="141">
        <v>10.0</v>
      </c>
      <c r="K52" s="141">
        <v>0.0</v>
      </c>
      <c r="L52" s="144">
        <v>10.0</v>
      </c>
      <c r="M52" s="140">
        <f t="shared" si="5"/>
        <v>0</v>
      </c>
      <c r="N52" s="141" t="s">
        <v>880</v>
      </c>
      <c r="O52" s="142" t="s">
        <v>70</v>
      </c>
      <c r="P52" s="381"/>
    </row>
    <row r="53">
      <c r="A53" s="154" t="s">
        <v>15</v>
      </c>
      <c r="B53" s="144" t="s">
        <v>847</v>
      </c>
      <c r="C53" s="144" t="s">
        <v>823</v>
      </c>
      <c r="D53" s="144" t="s">
        <v>35</v>
      </c>
      <c r="E53" s="144" t="s">
        <v>19</v>
      </c>
      <c r="F53" s="144">
        <v>11.0</v>
      </c>
      <c r="G53" s="144" t="s">
        <v>92</v>
      </c>
      <c r="H53" s="151"/>
      <c r="I53" s="151"/>
      <c r="J53" s="144">
        <v>13.0</v>
      </c>
      <c r="K53" s="144">
        <v>0.0</v>
      </c>
      <c r="L53" s="154">
        <v>13.0</v>
      </c>
      <c r="M53" s="140">
        <f t="shared" si="5"/>
        <v>0</v>
      </c>
      <c r="N53" s="141" t="s">
        <v>824</v>
      </c>
      <c r="O53" s="154" t="s">
        <v>70</v>
      </c>
      <c r="P53" s="382"/>
    </row>
    <row r="54">
      <c r="A54" s="154" t="s">
        <v>15</v>
      </c>
      <c r="B54" s="144" t="s">
        <v>881</v>
      </c>
      <c r="C54" s="144" t="s">
        <v>882</v>
      </c>
      <c r="D54" s="144" t="s">
        <v>35</v>
      </c>
      <c r="E54" s="144" t="s">
        <v>21</v>
      </c>
      <c r="F54" s="144">
        <v>8.0</v>
      </c>
      <c r="G54" s="144" t="s">
        <v>92</v>
      </c>
      <c r="H54" s="151"/>
      <c r="I54" s="151"/>
      <c r="J54" s="144">
        <v>8.0</v>
      </c>
      <c r="K54" s="144">
        <v>0.0</v>
      </c>
      <c r="L54" s="144">
        <v>8.0</v>
      </c>
      <c r="M54" s="140">
        <f t="shared" si="5"/>
        <v>0</v>
      </c>
      <c r="N54" s="141" t="s">
        <v>826</v>
      </c>
      <c r="O54" s="142" t="s">
        <v>70</v>
      </c>
      <c r="P54" s="311"/>
    </row>
    <row r="55">
      <c r="A55" s="154" t="s">
        <v>15</v>
      </c>
      <c r="B55" s="141" t="s">
        <v>883</v>
      </c>
      <c r="C55" s="141" t="s">
        <v>863</v>
      </c>
      <c r="D55" s="141" t="s">
        <v>34</v>
      </c>
      <c r="E55" s="141" t="s">
        <v>19</v>
      </c>
      <c r="F55" s="141">
        <v>30.0</v>
      </c>
      <c r="G55" s="142" t="s">
        <v>92</v>
      </c>
      <c r="H55" s="146">
        <v>45882.0</v>
      </c>
      <c r="I55" s="146">
        <v>45931.0</v>
      </c>
      <c r="J55" s="141">
        <v>65.0</v>
      </c>
      <c r="K55" s="141">
        <v>0.0</v>
      </c>
      <c r="L55" s="142">
        <v>65.0</v>
      </c>
      <c r="M55" s="140">
        <f t="shared" si="5"/>
        <v>0</v>
      </c>
      <c r="N55" s="141" t="s">
        <v>884</v>
      </c>
      <c r="O55" s="142" t="s">
        <v>70</v>
      </c>
      <c r="P55" s="311"/>
    </row>
    <row r="56">
      <c r="A56" s="154" t="s">
        <v>15</v>
      </c>
      <c r="B56" s="141" t="s">
        <v>883</v>
      </c>
      <c r="C56" s="141" t="s">
        <v>863</v>
      </c>
      <c r="D56" s="141" t="s">
        <v>34</v>
      </c>
      <c r="E56" s="141" t="s">
        <v>19</v>
      </c>
      <c r="F56" s="141">
        <v>30.0</v>
      </c>
      <c r="G56" s="142" t="s">
        <v>92</v>
      </c>
      <c r="H56" s="146">
        <v>45882.0</v>
      </c>
      <c r="I56" s="146">
        <v>45931.0</v>
      </c>
      <c r="J56" s="141">
        <v>65.0</v>
      </c>
      <c r="K56" s="141">
        <v>0.0</v>
      </c>
      <c r="L56" s="142">
        <v>65.0</v>
      </c>
      <c r="M56" s="140">
        <f t="shared" si="5"/>
        <v>0</v>
      </c>
      <c r="N56" s="141" t="s">
        <v>884</v>
      </c>
      <c r="O56" s="142" t="s">
        <v>70</v>
      </c>
      <c r="P56" s="380"/>
    </row>
    <row r="57">
      <c r="A57" s="139" t="s">
        <v>15</v>
      </c>
      <c r="B57" s="144" t="s">
        <v>883</v>
      </c>
      <c r="C57" s="144" t="s">
        <v>885</v>
      </c>
      <c r="D57" s="144" t="s">
        <v>34</v>
      </c>
      <c r="E57" s="144" t="s">
        <v>19</v>
      </c>
      <c r="F57" s="144">
        <v>20.0</v>
      </c>
      <c r="G57" s="182" t="s">
        <v>92</v>
      </c>
      <c r="H57" s="143">
        <v>45950.0</v>
      </c>
      <c r="I57" s="143">
        <v>45964.0</v>
      </c>
      <c r="J57" s="144">
        <v>40.0</v>
      </c>
      <c r="K57" s="144">
        <v>0.0</v>
      </c>
      <c r="L57" s="182">
        <v>40.0</v>
      </c>
      <c r="M57" s="140">
        <f t="shared" si="5"/>
        <v>0</v>
      </c>
      <c r="N57" s="141" t="s">
        <v>886</v>
      </c>
      <c r="O57" s="182" t="s">
        <v>70</v>
      </c>
      <c r="P57" s="147"/>
    </row>
    <row r="58">
      <c r="A58" s="139" t="s">
        <v>15</v>
      </c>
      <c r="B58" s="144" t="s">
        <v>883</v>
      </c>
      <c r="C58" s="144" t="s">
        <v>887</v>
      </c>
      <c r="D58" s="144" t="s">
        <v>35</v>
      </c>
      <c r="E58" s="144" t="s">
        <v>23</v>
      </c>
      <c r="F58" s="144">
        <v>19.0</v>
      </c>
      <c r="G58" s="182" t="s">
        <v>92</v>
      </c>
      <c r="H58" s="151"/>
      <c r="I58" s="151"/>
      <c r="J58" s="144">
        <v>39.0</v>
      </c>
      <c r="K58" s="144">
        <v>0.0</v>
      </c>
      <c r="L58" s="154">
        <v>39.0</v>
      </c>
      <c r="M58" s="140">
        <f t="shared" si="5"/>
        <v>0</v>
      </c>
      <c r="N58" s="141" t="s">
        <v>824</v>
      </c>
      <c r="O58" s="182" t="s">
        <v>70</v>
      </c>
      <c r="P58" s="147"/>
    </row>
    <row r="59">
      <c r="A59" s="139" t="s">
        <v>15</v>
      </c>
      <c r="B59" s="370" t="s">
        <v>883</v>
      </c>
      <c r="C59" s="370" t="s">
        <v>888</v>
      </c>
      <c r="D59" s="144" t="s">
        <v>34</v>
      </c>
      <c r="E59" s="370" t="s">
        <v>19</v>
      </c>
      <c r="F59" s="370">
        <v>30.0</v>
      </c>
      <c r="G59" s="144" t="s">
        <v>76</v>
      </c>
      <c r="H59" s="368">
        <v>45978.0</v>
      </c>
      <c r="I59" s="368">
        <v>45662.0</v>
      </c>
      <c r="J59" s="370">
        <v>65.0</v>
      </c>
      <c r="K59" s="370">
        <v>0.0</v>
      </c>
      <c r="L59" s="370">
        <v>65.0</v>
      </c>
      <c r="M59" s="378">
        <f t="shared" si="5"/>
        <v>0</v>
      </c>
      <c r="N59" s="376" t="s">
        <v>833</v>
      </c>
      <c r="O59" s="144" t="s">
        <v>70</v>
      </c>
      <c r="P59" s="311"/>
    </row>
    <row r="60">
      <c r="A60" s="154" t="s">
        <v>15</v>
      </c>
      <c r="B60" s="182" t="s">
        <v>883</v>
      </c>
      <c r="C60" s="182" t="s">
        <v>889</v>
      </c>
      <c r="D60" s="182" t="s">
        <v>34</v>
      </c>
      <c r="E60" s="182" t="s">
        <v>23</v>
      </c>
      <c r="F60" s="182">
        <v>20.0</v>
      </c>
      <c r="G60" s="182" t="s">
        <v>76</v>
      </c>
      <c r="H60" s="372">
        <v>46078.0</v>
      </c>
      <c r="I60" s="372">
        <v>46092.0</v>
      </c>
      <c r="J60" s="182">
        <v>40.0</v>
      </c>
      <c r="K60" s="182"/>
      <c r="L60" s="182">
        <v>40.0</v>
      </c>
      <c r="M60" s="140">
        <f t="shared" si="5"/>
        <v>0</v>
      </c>
      <c r="N60" s="186" t="s">
        <v>890</v>
      </c>
      <c r="O60" s="182" t="s">
        <v>70</v>
      </c>
      <c r="P60" s="147"/>
    </row>
    <row r="61">
      <c r="A61" s="154" t="s">
        <v>15</v>
      </c>
      <c r="B61" s="370" t="s">
        <v>891</v>
      </c>
      <c r="C61" s="370" t="s">
        <v>892</v>
      </c>
      <c r="D61" s="144" t="s">
        <v>34</v>
      </c>
      <c r="E61" s="370" t="s">
        <v>19</v>
      </c>
      <c r="F61" s="370">
        <v>30.0</v>
      </c>
      <c r="G61" s="144" t="s">
        <v>76</v>
      </c>
      <c r="H61" s="368">
        <v>45978.0</v>
      </c>
      <c r="I61" s="368">
        <v>45662.0</v>
      </c>
      <c r="J61" s="370">
        <v>65.0</v>
      </c>
      <c r="K61" s="375">
        <v>0.0</v>
      </c>
      <c r="L61" s="370">
        <v>65.0</v>
      </c>
      <c r="M61" s="378">
        <v>0.0</v>
      </c>
      <c r="N61" s="376" t="s">
        <v>833</v>
      </c>
      <c r="O61" s="144" t="s">
        <v>70</v>
      </c>
      <c r="P61" s="380"/>
    </row>
    <row r="62">
      <c r="A62" s="154" t="s">
        <v>15</v>
      </c>
      <c r="B62" s="141" t="s">
        <v>815</v>
      </c>
      <c r="C62" s="141" t="s">
        <v>863</v>
      </c>
      <c r="D62" s="141" t="s">
        <v>34</v>
      </c>
      <c r="E62" s="141" t="s">
        <v>19</v>
      </c>
      <c r="F62" s="141">
        <v>30.0</v>
      </c>
      <c r="G62" s="141" t="s">
        <v>92</v>
      </c>
      <c r="H62" s="146">
        <v>45882.0</v>
      </c>
      <c r="I62" s="146">
        <v>45931.0</v>
      </c>
      <c r="J62" s="141">
        <v>65.0</v>
      </c>
      <c r="K62" s="141">
        <v>2.0</v>
      </c>
      <c r="L62" s="139">
        <v>63.0</v>
      </c>
      <c r="M62" s="140">
        <f>J62-L62-K62</f>
        <v>0</v>
      </c>
      <c r="N62" s="141" t="s">
        <v>884</v>
      </c>
      <c r="O62" s="139" t="s">
        <v>70</v>
      </c>
      <c r="P62" s="147"/>
    </row>
    <row r="63">
      <c r="A63" s="139" t="s">
        <v>15</v>
      </c>
      <c r="B63" s="144" t="s">
        <v>815</v>
      </c>
      <c r="C63" s="144" t="s">
        <v>893</v>
      </c>
      <c r="D63" s="144" t="s">
        <v>34</v>
      </c>
      <c r="E63" s="144" t="s">
        <v>23</v>
      </c>
      <c r="F63" s="144">
        <v>20.0</v>
      </c>
      <c r="G63" s="182" t="s">
        <v>92</v>
      </c>
      <c r="H63" s="143">
        <v>45953.0</v>
      </c>
      <c r="I63" s="143">
        <v>45967.0</v>
      </c>
      <c r="J63" s="144">
        <v>40.0</v>
      </c>
      <c r="K63" s="144">
        <v>0.0</v>
      </c>
      <c r="L63" s="152">
        <v>40.0</v>
      </c>
      <c r="M63" s="140">
        <v>0.0</v>
      </c>
      <c r="N63" s="141" t="s">
        <v>894</v>
      </c>
      <c r="O63" s="144" t="s">
        <v>70</v>
      </c>
      <c r="P63" s="380"/>
    </row>
    <row r="64">
      <c r="A64" s="139" t="s">
        <v>15</v>
      </c>
      <c r="B64" s="370" t="s">
        <v>815</v>
      </c>
      <c r="C64" s="370" t="s">
        <v>895</v>
      </c>
      <c r="D64" s="144" t="s">
        <v>35</v>
      </c>
      <c r="E64" s="370" t="s">
        <v>20</v>
      </c>
      <c r="F64" s="370">
        <v>13.0</v>
      </c>
      <c r="G64" s="144" t="s">
        <v>92</v>
      </c>
      <c r="H64" s="151"/>
      <c r="I64" s="151"/>
      <c r="J64" s="370">
        <v>19.0</v>
      </c>
      <c r="K64" s="370">
        <v>0.0</v>
      </c>
      <c r="L64" s="370">
        <v>19.0</v>
      </c>
      <c r="M64" s="378">
        <f t="shared" ref="M64:M186" si="6">J64-L64-K64</f>
        <v>0</v>
      </c>
      <c r="N64" s="377" t="s">
        <v>828</v>
      </c>
      <c r="O64" s="144" t="s">
        <v>70</v>
      </c>
      <c r="P64" s="311"/>
    </row>
    <row r="65">
      <c r="A65" s="154" t="s">
        <v>15</v>
      </c>
      <c r="B65" s="370" t="s">
        <v>896</v>
      </c>
      <c r="C65" s="370" t="s">
        <v>897</v>
      </c>
      <c r="D65" s="144" t="s">
        <v>35</v>
      </c>
      <c r="E65" s="370" t="s">
        <v>28</v>
      </c>
      <c r="F65" s="370">
        <v>8.0</v>
      </c>
      <c r="G65" s="144" t="s">
        <v>92</v>
      </c>
      <c r="H65" s="151"/>
      <c r="I65" s="151"/>
      <c r="J65" s="370">
        <v>8.0</v>
      </c>
      <c r="K65" s="370">
        <v>0.0</v>
      </c>
      <c r="L65" s="370">
        <v>8.0</v>
      </c>
      <c r="M65" s="378">
        <f t="shared" si="6"/>
        <v>0</v>
      </c>
      <c r="N65" s="377" t="s">
        <v>828</v>
      </c>
      <c r="O65" s="144" t="s">
        <v>70</v>
      </c>
      <c r="P65" s="380"/>
    </row>
    <row r="66">
      <c r="A66" s="154" t="s">
        <v>15</v>
      </c>
      <c r="B66" s="141" t="s">
        <v>898</v>
      </c>
      <c r="C66" s="141" t="s">
        <v>834</v>
      </c>
      <c r="D66" s="141" t="s">
        <v>34</v>
      </c>
      <c r="E66" s="141" t="s">
        <v>19</v>
      </c>
      <c r="F66" s="142">
        <v>30.0</v>
      </c>
      <c r="G66" s="141" t="s">
        <v>92</v>
      </c>
      <c r="H66" s="146">
        <v>45903.0</v>
      </c>
      <c r="I66" s="146">
        <v>45952.0</v>
      </c>
      <c r="J66" s="141">
        <v>65.0</v>
      </c>
      <c r="K66" s="141">
        <v>10.0</v>
      </c>
      <c r="L66" s="139">
        <v>55.0</v>
      </c>
      <c r="M66" s="140">
        <f t="shared" si="6"/>
        <v>0</v>
      </c>
      <c r="N66" s="141" t="s">
        <v>835</v>
      </c>
      <c r="O66" s="139" t="s">
        <v>70</v>
      </c>
      <c r="P66" s="147"/>
    </row>
    <row r="67">
      <c r="A67" s="154" t="s">
        <v>15</v>
      </c>
      <c r="B67" s="370" t="s">
        <v>898</v>
      </c>
      <c r="C67" s="370" t="s">
        <v>899</v>
      </c>
      <c r="D67" s="144" t="s">
        <v>35</v>
      </c>
      <c r="E67" s="370" t="s">
        <v>19</v>
      </c>
      <c r="F67" s="370">
        <v>8.0</v>
      </c>
      <c r="G67" s="144" t="s">
        <v>92</v>
      </c>
      <c r="H67" s="151"/>
      <c r="I67" s="151"/>
      <c r="J67" s="370">
        <v>8.0</v>
      </c>
      <c r="K67" s="157"/>
      <c r="L67" s="370">
        <v>8.0</v>
      </c>
      <c r="M67" s="378">
        <f t="shared" si="6"/>
        <v>0</v>
      </c>
      <c r="N67" s="376" t="s">
        <v>857</v>
      </c>
      <c r="O67" s="144" t="s">
        <v>70</v>
      </c>
      <c r="P67" s="147"/>
    </row>
    <row r="68">
      <c r="A68" s="154" t="s">
        <v>15</v>
      </c>
      <c r="B68" s="141" t="s">
        <v>900</v>
      </c>
      <c r="C68" s="141" t="s">
        <v>874</v>
      </c>
      <c r="D68" s="141" t="s">
        <v>34</v>
      </c>
      <c r="E68" s="141" t="s">
        <v>23</v>
      </c>
      <c r="F68" s="141">
        <v>50.0</v>
      </c>
      <c r="G68" s="182" t="s">
        <v>92</v>
      </c>
      <c r="H68" s="146">
        <v>45795.0</v>
      </c>
      <c r="I68" s="146">
        <v>45975.0</v>
      </c>
      <c r="J68" s="141">
        <v>180.0</v>
      </c>
      <c r="K68" s="141">
        <v>0.0</v>
      </c>
      <c r="L68" s="141">
        <v>180.0</v>
      </c>
      <c r="M68" s="140">
        <f t="shared" si="6"/>
        <v>0</v>
      </c>
      <c r="N68" s="141" t="s">
        <v>875</v>
      </c>
      <c r="O68" s="139" t="s">
        <v>70</v>
      </c>
      <c r="P68" s="380"/>
    </row>
    <row r="69">
      <c r="A69" s="154" t="s">
        <v>15</v>
      </c>
      <c r="B69" s="141" t="s">
        <v>901</v>
      </c>
      <c r="C69" s="141" t="s">
        <v>863</v>
      </c>
      <c r="D69" s="141" t="s">
        <v>34</v>
      </c>
      <c r="E69" s="141" t="s">
        <v>19</v>
      </c>
      <c r="F69" s="142">
        <v>30.0</v>
      </c>
      <c r="G69" s="141" t="s">
        <v>92</v>
      </c>
      <c r="H69" s="146">
        <v>45887.0</v>
      </c>
      <c r="I69" s="146">
        <v>45936.0</v>
      </c>
      <c r="J69" s="141">
        <v>65.0</v>
      </c>
      <c r="K69" s="141">
        <v>10.0</v>
      </c>
      <c r="L69" s="142">
        <v>55.0</v>
      </c>
      <c r="M69" s="140">
        <f t="shared" si="6"/>
        <v>0</v>
      </c>
      <c r="N69" s="141" t="s">
        <v>869</v>
      </c>
      <c r="O69" s="139" t="s">
        <v>70</v>
      </c>
      <c r="P69" s="147"/>
    </row>
    <row r="70">
      <c r="A70" s="154" t="s">
        <v>16</v>
      </c>
      <c r="B70" s="141" t="s">
        <v>902</v>
      </c>
      <c r="C70" s="141" t="s">
        <v>903</v>
      </c>
      <c r="D70" s="141" t="s">
        <v>34</v>
      </c>
      <c r="E70" s="141" t="s">
        <v>22</v>
      </c>
      <c r="F70" s="142">
        <v>50.0</v>
      </c>
      <c r="G70" s="182" t="s">
        <v>76</v>
      </c>
      <c r="H70" s="146">
        <v>45903.0</v>
      </c>
      <c r="I70" s="146">
        <v>46082.0</v>
      </c>
      <c r="J70" s="141">
        <v>180.0</v>
      </c>
      <c r="K70" s="141">
        <v>0.0</v>
      </c>
      <c r="L70" s="139">
        <v>180.0</v>
      </c>
      <c r="M70" s="140">
        <f t="shared" si="6"/>
        <v>0</v>
      </c>
      <c r="N70" s="141" t="s">
        <v>835</v>
      </c>
      <c r="O70" s="139" t="s">
        <v>70</v>
      </c>
      <c r="P70" s="380"/>
    </row>
    <row r="71">
      <c r="A71" s="154" t="s">
        <v>16</v>
      </c>
      <c r="B71" s="182" t="s">
        <v>904</v>
      </c>
      <c r="C71" s="182" t="s">
        <v>905</v>
      </c>
      <c r="D71" s="182" t="s">
        <v>35</v>
      </c>
      <c r="E71" s="182" t="s">
        <v>23</v>
      </c>
      <c r="F71" s="182">
        <v>19.0</v>
      </c>
      <c r="G71" s="182" t="s">
        <v>92</v>
      </c>
      <c r="H71" s="143"/>
      <c r="I71" s="143"/>
      <c r="J71" s="182">
        <v>39.0</v>
      </c>
      <c r="K71" s="182">
        <v>0.0</v>
      </c>
      <c r="L71" s="144"/>
      <c r="M71" s="140">
        <f t="shared" si="6"/>
        <v>39</v>
      </c>
      <c r="N71" s="186" t="s">
        <v>828</v>
      </c>
      <c r="O71" s="154" t="s">
        <v>70</v>
      </c>
      <c r="P71" s="311"/>
    </row>
    <row r="72">
      <c r="A72" s="154" t="s">
        <v>16</v>
      </c>
      <c r="B72" s="182" t="s">
        <v>906</v>
      </c>
      <c r="C72" s="182" t="s">
        <v>907</v>
      </c>
      <c r="D72" s="182" t="s">
        <v>34</v>
      </c>
      <c r="E72" s="182" t="s">
        <v>22</v>
      </c>
      <c r="F72" s="182">
        <v>30.0</v>
      </c>
      <c r="G72" s="182" t="s">
        <v>76</v>
      </c>
      <c r="H72" s="372">
        <v>46107.0</v>
      </c>
      <c r="I72" s="372">
        <v>46156.0</v>
      </c>
      <c r="J72" s="182">
        <v>65.0</v>
      </c>
      <c r="K72" s="182"/>
      <c r="L72" s="182">
        <v>65.0</v>
      </c>
      <c r="M72" s="140">
        <f t="shared" si="6"/>
        <v>0</v>
      </c>
      <c r="N72" s="186" t="s">
        <v>908</v>
      </c>
      <c r="O72" s="154" t="s">
        <v>70</v>
      </c>
      <c r="P72" s="380"/>
    </row>
    <row r="73">
      <c r="A73" s="154" t="s">
        <v>16</v>
      </c>
      <c r="B73" s="182" t="s">
        <v>909</v>
      </c>
      <c r="C73" s="182" t="s">
        <v>910</v>
      </c>
      <c r="D73" s="182" t="s">
        <v>34</v>
      </c>
      <c r="E73" s="182" t="s">
        <v>22</v>
      </c>
      <c r="F73" s="182">
        <v>30.0</v>
      </c>
      <c r="G73" s="182" t="s">
        <v>76</v>
      </c>
      <c r="H73" s="372">
        <v>46078.0</v>
      </c>
      <c r="I73" s="372">
        <v>46127.0</v>
      </c>
      <c r="J73" s="182">
        <v>65.0</v>
      </c>
      <c r="K73" s="182"/>
      <c r="L73" s="182">
        <v>65.0</v>
      </c>
      <c r="M73" s="140">
        <f t="shared" si="6"/>
        <v>0</v>
      </c>
      <c r="N73" s="186" t="s">
        <v>911</v>
      </c>
      <c r="O73" s="182" t="s">
        <v>70</v>
      </c>
      <c r="P73" s="311"/>
    </row>
    <row r="74">
      <c r="A74" s="154" t="s">
        <v>16</v>
      </c>
      <c r="B74" s="182" t="s">
        <v>173</v>
      </c>
      <c r="C74" s="182" t="s">
        <v>912</v>
      </c>
      <c r="D74" s="144" t="s">
        <v>35</v>
      </c>
      <c r="E74" s="370" t="s">
        <v>23</v>
      </c>
      <c r="F74" s="370">
        <v>19.0</v>
      </c>
      <c r="G74" s="144" t="s">
        <v>92</v>
      </c>
      <c r="H74" s="151"/>
      <c r="I74" s="151"/>
      <c r="J74" s="370">
        <v>39.0</v>
      </c>
      <c r="K74" s="157"/>
      <c r="L74" s="263">
        <v>39.0</v>
      </c>
      <c r="M74" s="140">
        <f t="shared" si="6"/>
        <v>0</v>
      </c>
      <c r="N74" s="376" t="s">
        <v>913</v>
      </c>
      <c r="O74" s="182" t="s">
        <v>70</v>
      </c>
      <c r="P74" s="380"/>
    </row>
    <row r="75" ht="30.0" customHeight="1">
      <c r="A75" s="154" t="s">
        <v>16</v>
      </c>
      <c r="B75" s="181" t="s">
        <v>914</v>
      </c>
      <c r="C75" s="182" t="s">
        <v>907</v>
      </c>
      <c r="D75" s="182" t="s">
        <v>34</v>
      </c>
      <c r="E75" s="182" t="s">
        <v>22</v>
      </c>
      <c r="F75" s="182">
        <v>30.0</v>
      </c>
      <c r="G75" s="182" t="s">
        <v>76</v>
      </c>
      <c r="H75" s="372">
        <v>46107.0</v>
      </c>
      <c r="I75" s="372">
        <v>46156.0</v>
      </c>
      <c r="J75" s="182">
        <v>65.0</v>
      </c>
      <c r="K75" s="182"/>
      <c r="L75" s="182">
        <v>65.0</v>
      </c>
      <c r="M75" s="140">
        <f t="shared" si="6"/>
        <v>0</v>
      </c>
      <c r="N75" s="186" t="s">
        <v>908</v>
      </c>
      <c r="O75" s="139" t="s">
        <v>70</v>
      </c>
      <c r="P75" s="147"/>
    </row>
    <row r="76">
      <c r="A76" s="154" t="s">
        <v>16</v>
      </c>
      <c r="B76" s="144" t="s">
        <v>906</v>
      </c>
      <c r="C76" s="144" t="s">
        <v>823</v>
      </c>
      <c r="D76" s="144" t="s">
        <v>35</v>
      </c>
      <c r="E76" s="144" t="s">
        <v>19</v>
      </c>
      <c r="F76" s="144">
        <v>11.0</v>
      </c>
      <c r="G76" s="144" t="s">
        <v>92</v>
      </c>
      <c r="H76" s="151"/>
      <c r="I76" s="151"/>
      <c r="J76" s="144">
        <v>13.0</v>
      </c>
      <c r="K76" s="144">
        <v>0.0</v>
      </c>
      <c r="L76" s="154">
        <v>13.0</v>
      </c>
      <c r="M76" s="140">
        <f t="shared" si="6"/>
        <v>0</v>
      </c>
      <c r="N76" s="141" t="s">
        <v>824</v>
      </c>
      <c r="O76" s="154" t="s">
        <v>70</v>
      </c>
      <c r="P76" s="311"/>
    </row>
    <row r="77">
      <c r="A77" s="139" t="s">
        <v>16</v>
      </c>
      <c r="B77" s="370" t="s">
        <v>906</v>
      </c>
      <c r="C77" s="370" t="s">
        <v>915</v>
      </c>
      <c r="D77" s="144" t="s">
        <v>34</v>
      </c>
      <c r="E77" s="370" t="s">
        <v>20</v>
      </c>
      <c r="F77" s="370">
        <v>20.0</v>
      </c>
      <c r="G77" s="144" t="s">
        <v>92</v>
      </c>
      <c r="H77" s="368">
        <v>45953.0</v>
      </c>
      <c r="I77" s="368">
        <v>45967.0</v>
      </c>
      <c r="J77" s="370">
        <v>40.0</v>
      </c>
      <c r="K77" s="370">
        <v>0.0</v>
      </c>
      <c r="L77" s="383">
        <v>40.0</v>
      </c>
      <c r="M77" s="378">
        <f t="shared" si="6"/>
        <v>0</v>
      </c>
      <c r="N77" s="376" t="s">
        <v>894</v>
      </c>
      <c r="O77" s="144" t="s">
        <v>70</v>
      </c>
      <c r="P77" s="311"/>
    </row>
    <row r="78">
      <c r="A78" s="154" t="s">
        <v>16</v>
      </c>
      <c r="B78" s="182" t="s">
        <v>916</v>
      </c>
      <c r="C78" s="182" t="s">
        <v>917</v>
      </c>
      <c r="D78" s="182" t="s">
        <v>34</v>
      </c>
      <c r="E78" s="182" t="s">
        <v>23</v>
      </c>
      <c r="F78" s="182">
        <v>20.0</v>
      </c>
      <c r="G78" s="182" t="s">
        <v>76</v>
      </c>
      <c r="H78" s="372">
        <v>46078.0</v>
      </c>
      <c r="I78" s="372">
        <v>46092.0</v>
      </c>
      <c r="J78" s="182">
        <v>40.0</v>
      </c>
      <c r="K78" s="182"/>
      <c r="L78" s="182">
        <v>40.0</v>
      </c>
      <c r="M78" s="140">
        <f t="shared" si="6"/>
        <v>0</v>
      </c>
      <c r="N78" s="186" t="s">
        <v>918</v>
      </c>
      <c r="O78" s="182" t="s">
        <v>70</v>
      </c>
      <c r="P78" s="311"/>
    </row>
    <row r="79" ht="30.0" customHeight="1">
      <c r="A79" s="154" t="s">
        <v>16</v>
      </c>
      <c r="B79" s="182" t="s">
        <v>916</v>
      </c>
      <c r="C79" s="182" t="s">
        <v>919</v>
      </c>
      <c r="D79" s="182" t="s">
        <v>35</v>
      </c>
      <c r="E79" s="182" t="s">
        <v>23</v>
      </c>
      <c r="F79" s="182">
        <v>19.0</v>
      </c>
      <c r="G79" s="182" t="s">
        <v>92</v>
      </c>
      <c r="H79" s="373"/>
      <c r="I79" s="373"/>
      <c r="J79" s="182">
        <v>39.0</v>
      </c>
      <c r="K79" s="182"/>
      <c r="L79" s="182">
        <v>39.0</v>
      </c>
      <c r="M79" s="140">
        <f t="shared" si="6"/>
        <v>0</v>
      </c>
      <c r="N79" s="181" t="s">
        <v>913</v>
      </c>
      <c r="O79" s="182" t="s">
        <v>70</v>
      </c>
      <c r="P79" s="311"/>
    </row>
    <row r="80" ht="33.0" customHeight="1">
      <c r="A80" s="154" t="s">
        <v>16</v>
      </c>
      <c r="B80" s="182" t="s">
        <v>906</v>
      </c>
      <c r="C80" s="182" t="s">
        <v>920</v>
      </c>
      <c r="D80" s="182" t="s">
        <v>34</v>
      </c>
      <c r="E80" s="182" t="s">
        <v>23</v>
      </c>
      <c r="F80" s="182">
        <v>20.0</v>
      </c>
      <c r="G80" s="182" t="s">
        <v>76</v>
      </c>
      <c r="H80" s="373">
        <v>46044.0</v>
      </c>
      <c r="I80" s="373">
        <v>46058.0</v>
      </c>
      <c r="J80" s="182">
        <v>40.0</v>
      </c>
      <c r="K80" s="182">
        <v>0.0</v>
      </c>
      <c r="L80" s="182">
        <v>40.0</v>
      </c>
      <c r="M80" s="140">
        <f t="shared" si="6"/>
        <v>0</v>
      </c>
      <c r="N80" s="186" t="s">
        <v>181</v>
      </c>
      <c r="O80" s="182" t="s">
        <v>70</v>
      </c>
      <c r="P80" s="223"/>
    </row>
    <row r="81" ht="33.0" customHeight="1">
      <c r="A81" s="139" t="s">
        <v>16</v>
      </c>
      <c r="B81" s="141" t="s">
        <v>921</v>
      </c>
      <c r="C81" s="141" t="s">
        <v>922</v>
      </c>
      <c r="D81" s="141" t="s">
        <v>35</v>
      </c>
      <c r="E81" s="141" t="s">
        <v>21</v>
      </c>
      <c r="F81" s="141">
        <v>8.0</v>
      </c>
      <c r="G81" s="141" t="s">
        <v>92</v>
      </c>
      <c r="H81" s="151"/>
      <c r="I81" s="151"/>
      <c r="J81" s="141">
        <v>8.0</v>
      </c>
      <c r="K81" s="141">
        <v>0.0</v>
      </c>
      <c r="L81" s="142">
        <v>8.0</v>
      </c>
      <c r="M81" s="140">
        <f t="shared" si="6"/>
        <v>0</v>
      </c>
      <c r="N81" s="141" t="s">
        <v>358</v>
      </c>
      <c r="O81" s="142" t="s">
        <v>70</v>
      </c>
      <c r="P81" s="223"/>
    </row>
    <row r="82" ht="33.0" customHeight="1">
      <c r="A82" s="139" t="s">
        <v>16</v>
      </c>
      <c r="B82" s="141" t="s">
        <v>921</v>
      </c>
      <c r="C82" s="141" t="s">
        <v>923</v>
      </c>
      <c r="D82" s="141" t="s">
        <v>35</v>
      </c>
      <c r="E82" s="141" t="s">
        <v>20</v>
      </c>
      <c r="F82" s="141">
        <v>8.0</v>
      </c>
      <c r="G82" s="141" t="s">
        <v>92</v>
      </c>
      <c r="H82" s="151"/>
      <c r="I82" s="151"/>
      <c r="J82" s="141">
        <v>8.0</v>
      </c>
      <c r="K82" s="141">
        <v>0.0</v>
      </c>
      <c r="L82" s="141">
        <v>8.0</v>
      </c>
      <c r="M82" s="140">
        <f t="shared" si="6"/>
        <v>0</v>
      </c>
      <c r="N82" s="141" t="s">
        <v>924</v>
      </c>
      <c r="O82" s="142" t="s">
        <v>70</v>
      </c>
      <c r="P82" s="223"/>
    </row>
    <row r="83">
      <c r="A83" s="139" t="s">
        <v>16</v>
      </c>
      <c r="B83" s="144" t="s">
        <v>916</v>
      </c>
      <c r="C83" s="144" t="s">
        <v>925</v>
      </c>
      <c r="D83" s="144" t="s">
        <v>35</v>
      </c>
      <c r="E83" s="144" t="s">
        <v>19</v>
      </c>
      <c r="F83" s="144">
        <v>11.0</v>
      </c>
      <c r="G83" s="144" t="s">
        <v>92</v>
      </c>
      <c r="H83" s="151"/>
      <c r="I83" s="151"/>
      <c r="J83" s="144">
        <v>13.0</v>
      </c>
      <c r="K83" s="144">
        <v>10.0</v>
      </c>
      <c r="L83" s="144">
        <v>3.0</v>
      </c>
      <c r="M83" s="140">
        <f t="shared" si="6"/>
        <v>0</v>
      </c>
      <c r="N83" s="141" t="s">
        <v>824</v>
      </c>
      <c r="O83" s="144" t="s">
        <v>70</v>
      </c>
      <c r="P83" s="223"/>
    </row>
    <row r="84">
      <c r="A84" s="139" t="s">
        <v>16</v>
      </c>
      <c r="B84" s="141" t="s">
        <v>916</v>
      </c>
      <c r="C84" s="141" t="s">
        <v>926</v>
      </c>
      <c r="D84" s="140" t="s">
        <v>34</v>
      </c>
      <c r="E84" s="140" t="s">
        <v>23</v>
      </c>
      <c r="F84" s="156">
        <v>20.0</v>
      </c>
      <c r="G84" s="141" t="s">
        <v>92</v>
      </c>
      <c r="H84" s="146">
        <v>45903.0</v>
      </c>
      <c r="I84" s="146">
        <v>45917.0</v>
      </c>
      <c r="J84" s="140">
        <v>40.0</v>
      </c>
      <c r="K84" s="140">
        <v>12.0</v>
      </c>
      <c r="L84" s="142">
        <v>29.0</v>
      </c>
      <c r="M84" s="140">
        <f t="shared" si="6"/>
        <v>-1</v>
      </c>
      <c r="N84" s="140" t="s">
        <v>835</v>
      </c>
      <c r="O84" s="139" t="s">
        <v>70</v>
      </c>
      <c r="P84" s="311"/>
    </row>
    <row r="85">
      <c r="A85" s="139" t="s">
        <v>16</v>
      </c>
      <c r="B85" s="370" t="s">
        <v>916</v>
      </c>
      <c r="C85" s="370" t="s">
        <v>927</v>
      </c>
      <c r="D85" s="144" t="s">
        <v>35</v>
      </c>
      <c r="E85" s="370" t="s">
        <v>21</v>
      </c>
      <c r="F85" s="370">
        <v>11.0</v>
      </c>
      <c r="G85" s="144" t="s">
        <v>92</v>
      </c>
      <c r="H85" s="151"/>
      <c r="I85" s="151"/>
      <c r="J85" s="370">
        <v>13.0</v>
      </c>
      <c r="K85" s="370">
        <v>0.0</v>
      </c>
      <c r="L85" s="370">
        <v>13.0</v>
      </c>
      <c r="M85" s="378">
        <f t="shared" si="6"/>
        <v>0</v>
      </c>
      <c r="N85" s="377" t="s">
        <v>851</v>
      </c>
      <c r="O85" s="144" t="s">
        <v>70</v>
      </c>
      <c r="P85" s="223"/>
    </row>
    <row r="86" ht="30.0" customHeight="1">
      <c r="A86" s="154" t="s">
        <v>16</v>
      </c>
      <c r="B86" s="182" t="s">
        <v>916</v>
      </c>
      <c r="C86" s="182" t="s">
        <v>928</v>
      </c>
      <c r="D86" s="182" t="s">
        <v>34</v>
      </c>
      <c r="E86" s="182" t="s">
        <v>21</v>
      </c>
      <c r="F86" s="182">
        <v>20.0</v>
      </c>
      <c r="G86" s="182" t="s">
        <v>76</v>
      </c>
      <c r="H86" s="373">
        <v>46044.0</v>
      </c>
      <c r="I86" s="373">
        <v>46058.0</v>
      </c>
      <c r="J86" s="182">
        <v>40.0</v>
      </c>
      <c r="K86" s="182">
        <v>0.0</v>
      </c>
      <c r="L86" s="182">
        <v>40.0</v>
      </c>
      <c r="M86" s="140">
        <f t="shared" si="6"/>
        <v>0</v>
      </c>
      <c r="N86" s="186" t="s">
        <v>181</v>
      </c>
      <c r="O86" s="182" t="s">
        <v>70</v>
      </c>
      <c r="P86" s="382"/>
    </row>
    <row r="87" ht="30.0" customHeight="1">
      <c r="A87" s="154" t="s">
        <v>16</v>
      </c>
      <c r="B87" s="144" t="s">
        <v>929</v>
      </c>
      <c r="C87" s="144" t="s">
        <v>930</v>
      </c>
      <c r="D87" s="144" t="s">
        <v>35</v>
      </c>
      <c r="E87" s="144" t="s">
        <v>20</v>
      </c>
      <c r="F87" s="144">
        <v>9.0</v>
      </c>
      <c r="G87" s="144" t="s">
        <v>92</v>
      </c>
      <c r="H87" s="151"/>
      <c r="I87" s="151"/>
      <c r="J87" s="144">
        <v>9.0</v>
      </c>
      <c r="K87" s="144">
        <v>0.0</v>
      </c>
      <c r="L87" s="144">
        <v>9.0</v>
      </c>
      <c r="M87" s="140">
        <f t="shared" si="6"/>
        <v>0</v>
      </c>
      <c r="N87" s="141" t="s">
        <v>824</v>
      </c>
      <c r="O87" s="142" t="s">
        <v>70</v>
      </c>
      <c r="P87" s="223"/>
    </row>
    <row r="88">
      <c r="A88" s="139" t="s">
        <v>16</v>
      </c>
      <c r="B88" s="141" t="s">
        <v>931</v>
      </c>
      <c r="C88" s="141" t="s">
        <v>932</v>
      </c>
      <c r="D88" s="141" t="s">
        <v>35</v>
      </c>
      <c r="E88" s="141" t="s">
        <v>21</v>
      </c>
      <c r="F88" s="141">
        <v>10.0</v>
      </c>
      <c r="G88" s="141" t="s">
        <v>92</v>
      </c>
      <c r="H88" s="151"/>
      <c r="I88" s="151"/>
      <c r="J88" s="141">
        <v>10.0</v>
      </c>
      <c r="K88" s="141">
        <v>0.0</v>
      </c>
      <c r="L88" s="141">
        <v>10.0</v>
      </c>
      <c r="M88" s="140">
        <f t="shared" si="6"/>
        <v>0</v>
      </c>
      <c r="N88" s="141" t="s">
        <v>320</v>
      </c>
      <c r="O88" s="142" t="s">
        <v>70</v>
      </c>
      <c r="P88" s="380"/>
    </row>
    <row r="89">
      <c r="A89" s="139" t="s">
        <v>16</v>
      </c>
      <c r="B89" s="141" t="s">
        <v>931</v>
      </c>
      <c r="C89" s="141" t="s">
        <v>933</v>
      </c>
      <c r="D89" s="141" t="s">
        <v>35</v>
      </c>
      <c r="E89" s="141" t="s">
        <v>21</v>
      </c>
      <c r="F89" s="142">
        <v>10.0</v>
      </c>
      <c r="G89" s="141" t="s">
        <v>92</v>
      </c>
      <c r="H89" s="151"/>
      <c r="I89" s="151"/>
      <c r="J89" s="141">
        <v>10.0</v>
      </c>
      <c r="K89" s="141">
        <v>0.0</v>
      </c>
      <c r="L89" s="142">
        <v>10.0</v>
      </c>
      <c r="M89" s="140">
        <f t="shared" si="6"/>
        <v>0</v>
      </c>
      <c r="N89" s="141" t="s">
        <v>871</v>
      </c>
      <c r="O89" s="142" t="s">
        <v>70</v>
      </c>
      <c r="P89" s="380"/>
    </row>
    <row r="90" ht="30.0" customHeight="1">
      <c r="A90" s="139" t="s">
        <v>16</v>
      </c>
      <c r="B90" s="141" t="s">
        <v>934</v>
      </c>
      <c r="C90" s="141" t="s">
        <v>935</v>
      </c>
      <c r="D90" s="141" t="s">
        <v>35</v>
      </c>
      <c r="E90" s="141" t="s">
        <v>21</v>
      </c>
      <c r="F90" s="141">
        <v>10.0</v>
      </c>
      <c r="G90" s="141" t="s">
        <v>92</v>
      </c>
      <c r="H90" s="151"/>
      <c r="I90" s="151"/>
      <c r="J90" s="141">
        <v>10.0</v>
      </c>
      <c r="K90" s="141">
        <v>0.0</v>
      </c>
      <c r="L90" s="142">
        <v>10.0</v>
      </c>
      <c r="M90" s="140">
        <f t="shared" si="6"/>
        <v>0</v>
      </c>
      <c r="N90" s="141" t="s">
        <v>320</v>
      </c>
      <c r="O90" s="142" t="s">
        <v>70</v>
      </c>
      <c r="P90" s="382"/>
    </row>
    <row r="91">
      <c r="A91" s="139" t="s">
        <v>16</v>
      </c>
      <c r="B91" s="141" t="s">
        <v>934</v>
      </c>
      <c r="C91" s="141" t="s">
        <v>935</v>
      </c>
      <c r="D91" s="141" t="s">
        <v>35</v>
      </c>
      <c r="E91" s="141" t="s">
        <v>21</v>
      </c>
      <c r="F91" s="141">
        <v>10.0</v>
      </c>
      <c r="G91" s="141" t="s">
        <v>92</v>
      </c>
      <c r="H91" s="151"/>
      <c r="I91" s="151"/>
      <c r="J91" s="141">
        <v>10.0</v>
      </c>
      <c r="K91" s="141">
        <v>0.0</v>
      </c>
      <c r="L91" s="142">
        <v>10.0</v>
      </c>
      <c r="M91" s="140">
        <f t="shared" si="6"/>
        <v>0</v>
      </c>
      <c r="N91" s="141" t="s">
        <v>320</v>
      </c>
      <c r="O91" s="142" t="s">
        <v>70</v>
      </c>
      <c r="P91" s="223"/>
    </row>
    <row r="92">
      <c r="A92" s="139" t="s">
        <v>16</v>
      </c>
      <c r="B92" s="144" t="s">
        <v>936</v>
      </c>
      <c r="C92" s="144" t="s">
        <v>937</v>
      </c>
      <c r="D92" s="144" t="s">
        <v>34</v>
      </c>
      <c r="E92" s="144" t="s">
        <v>19</v>
      </c>
      <c r="F92" s="144">
        <v>20.0</v>
      </c>
      <c r="G92" s="182" t="s">
        <v>92</v>
      </c>
      <c r="H92" s="143">
        <v>45951.0</v>
      </c>
      <c r="I92" s="143">
        <v>45964.0</v>
      </c>
      <c r="J92" s="144">
        <v>40.0</v>
      </c>
      <c r="K92" s="166">
        <v>0.0</v>
      </c>
      <c r="L92" s="152">
        <v>40.0</v>
      </c>
      <c r="M92" s="141">
        <f t="shared" si="6"/>
        <v>0</v>
      </c>
      <c r="N92" s="141" t="s">
        <v>938</v>
      </c>
      <c r="O92" s="144" t="s">
        <v>70</v>
      </c>
      <c r="P92" s="223"/>
    </row>
    <row r="93">
      <c r="A93" s="139" t="s">
        <v>16</v>
      </c>
      <c r="B93" s="144" t="s">
        <v>936</v>
      </c>
      <c r="C93" s="141" t="s">
        <v>939</v>
      </c>
      <c r="D93" s="144" t="s">
        <v>35</v>
      </c>
      <c r="E93" s="144" t="s">
        <v>23</v>
      </c>
      <c r="F93" s="144">
        <v>14.0</v>
      </c>
      <c r="G93" s="182" t="s">
        <v>92</v>
      </c>
      <c r="H93" s="151"/>
      <c r="I93" s="151"/>
      <c r="J93" s="144">
        <v>22.0</v>
      </c>
      <c r="K93" s="144">
        <v>0.0</v>
      </c>
      <c r="L93" s="154">
        <v>22.0</v>
      </c>
      <c r="M93" s="140">
        <f t="shared" si="6"/>
        <v>0</v>
      </c>
      <c r="N93" s="141" t="s">
        <v>824</v>
      </c>
      <c r="O93" s="182" t="s">
        <v>70</v>
      </c>
      <c r="P93" s="380"/>
    </row>
    <row r="94" ht="30.0" customHeight="1">
      <c r="A94" s="139" t="s">
        <v>16</v>
      </c>
      <c r="B94" s="370" t="s">
        <v>936</v>
      </c>
      <c r="C94" s="370" t="s">
        <v>940</v>
      </c>
      <c r="D94" s="144" t="s">
        <v>34</v>
      </c>
      <c r="E94" s="370" t="s">
        <v>23</v>
      </c>
      <c r="F94" s="370">
        <v>20.0</v>
      </c>
      <c r="G94" s="144" t="s">
        <v>76</v>
      </c>
      <c r="H94" s="368">
        <v>46044.0</v>
      </c>
      <c r="I94" s="368">
        <v>46058.0</v>
      </c>
      <c r="J94" s="370">
        <v>40.0</v>
      </c>
      <c r="K94" s="370">
        <v>0.0</v>
      </c>
      <c r="L94" s="370">
        <v>40.0</v>
      </c>
      <c r="M94" s="376">
        <f t="shared" si="6"/>
        <v>0</v>
      </c>
      <c r="N94" s="377" t="s">
        <v>181</v>
      </c>
      <c r="O94" s="144" t="s">
        <v>70</v>
      </c>
      <c r="P94" s="380"/>
    </row>
    <row r="95" ht="30.0" customHeight="1">
      <c r="A95" s="139" t="s">
        <v>16</v>
      </c>
      <c r="B95" s="141" t="s">
        <v>909</v>
      </c>
      <c r="C95" s="141" t="s">
        <v>941</v>
      </c>
      <c r="D95" s="141" t="s">
        <v>35</v>
      </c>
      <c r="E95" s="141" t="s">
        <v>21</v>
      </c>
      <c r="F95" s="142">
        <v>8.0</v>
      </c>
      <c r="G95" s="142" t="s">
        <v>92</v>
      </c>
      <c r="H95" s="151"/>
      <c r="I95" s="151"/>
      <c r="J95" s="141">
        <v>8.0</v>
      </c>
      <c r="K95" s="141">
        <v>0.0</v>
      </c>
      <c r="L95" s="142">
        <v>8.0</v>
      </c>
      <c r="M95" s="140">
        <f t="shared" si="6"/>
        <v>0</v>
      </c>
      <c r="N95" s="141" t="s">
        <v>871</v>
      </c>
      <c r="O95" s="142" t="s">
        <v>70</v>
      </c>
      <c r="P95" s="380"/>
    </row>
    <row r="96" ht="30.0" customHeight="1">
      <c r="A96" s="139" t="s">
        <v>16</v>
      </c>
      <c r="B96" s="141" t="s">
        <v>909</v>
      </c>
      <c r="C96" s="141" t="s">
        <v>941</v>
      </c>
      <c r="D96" s="141" t="s">
        <v>35</v>
      </c>
      <c r="E96" s="141" t="s">
        <v>21</v>
      </c>
      <c r="F96" s="142">
        <v>8.0</v>
      </c>
      <c r="G96" s="142" t="s">
        <v>92</v>
      </c>
      <c r="H96" s="151"/>
      <c r="I96" s="151"/>
      <c r="J96" s="141">
        <v>8.0</v>
      </c>
      <c r="K96" s="141">
        <v>0.0</v>
      </c>
      <c r="L96" s="142">
        <v>8.0</v>
      </c>
      <c r="M96" s="140">
        <f t="shared" si="6"/>
        <v>0</v>
      </c>
      <c r="N96" s="141" t="s">
        <v>871</v>
      </c>
      <c r="O96" s="142" t="s">
        <v>70</v>
      </c>
      <c r="P96" s="380"/>
    </row>
    <row r="97" ht="30.0" customHeight="1">
      <c r="A97" s="139" t="s">
        <v>16</v>
      </c>
      <c r="B97" s="144" t="s">
        <v>942</v>
      </c>
      <c r="C97" s="144" t="s">
        <v>937</v>
      </c>
      <c r="D97" s="144" t="s">
        <v>34</v>
      </c>
      <c r="E97" s="144" t="s">
        <v>19</v>
      </c>
      <c r="F97" s="144">
        <v>20.0</v>
      </c>
      <c r="G97" s="182" t="s">
        <v>92</v>
      </c>
      <c r="H97" s="143">
        <v>45950.0</v>
      </c>
      <c r="I97" s="143">
        <v>45964.0</v>
      </c>
      <c r="J97" s="144">
        <v>40.0</v>
      </c>
      <c r="K97" s="144">
        <v>10.0</v>
      </c>
      <c r="L97" s="182">
        <v>30.0</v>
      </c>
      <c r="M97" s="140">
        <f t="shared" si="6"/>
        <v>0</v>
      </c>
      <c r="N97" s="141" t="s">
        <v>824</v>
      </c>
      <c r="O97" s="182" t="s">
        <v>70</v>
      </c>
      <c r="P97" s="382"/>
    </row>
    <row r="98" ht="30.0" customHeight="1">
      <c r="A98" s="139" t="s">
        <v>16</v>
      </c>
      <c r="B98" s="141" t="s">
        <v>943</v>
      </c>
      <c r="C98" s="144" t="s">
        <v>944</v>
      </c>
      <c r="D98" s="141" t="s">
        <v>35</v>
      </c>
      <c r="E98" s="141" t="s">
        <v>21</v>
      </c>
      <c r="F98" s="141">
        <v>8.0</v>
      </c>
      <c r="G98" s="141" t="s">
        <v>92</v>
      </c>
      <c r="H98" s="151"/>
      <c r="I98" s="151"/>
      <c r="J98" s="141">
        <v>8.0</v>
      </c>
      <c r="K98" s="141">
        <v>0.0</v>
      </c>
      <c r="L98" s="141">
        <v>8.0</v>
      </c>
      <c r="M98" s="140">
        <f t="shared" si="6"/>
        <v>0</v>
      </c>
      <c r="N98" s="141" t="s">
        <v>358</v>
      </c>
      <c r="O98" s="142" t="s">
        <v>70</v>
      </c>
      <c r="P98" s="223"/>
    </row>
    <row r="99">
      <c r="A99" s="139" t="s">
        <v>16</v>
      </c>
      <c r="B99" s="144" t="s">
        <v>943</v>
      </c>
      <c r="C99" s="141" t="s">
        <v>939</v>
      </c>
      <c r="D99" s="144" t="s">
        <v>35</v>
      </c>
      <c r="E99" s="144" t="s">
        <v>23</v>
      </c>
      <c r="F99" s="144">
        <v>14.0</v>
      </c>
      <c r="G99" s="182" t="s">
        <v>92</v>
      </c>
      <c r="H99" s="151"/>
      <c r="I99" s="151"/>
      <c r="J99" s="144">
        <v>22.0</v>
      </c>
      <c r="K99" s="144">
        <v>0.0</v>
      </c>
      <c r="L99" s="182">
        <v>22.0</v>
      </c>
      <c r="M99" s="140">
        <f t="shared" si="6"/>
        <v>0</v>
      </c>
      <c r="N99" s="141" t="s">
        <v>824</v>
      </c>
      <c r="O99" s="182" t="s">
        <v>70</v>
      </c>
      <c r="P99" s="311"/>
    </row>
    <row r="100" ht="33.0" customHeight="1">
      <c r="A100" s="154" t="s">
        <v>16</v>
      </c>
      <c r="B100" s="182" t="s">
        <v>173</v>
      </c>
      <c r="C100" s="182" t="s">
        <v>945</v>
      </c>
      <c r="D100" s="182" t="s">
        <v>35</v>
      </c>
      <c r="E100" s="182" t="s">
        <v>23</v>
      </c>
      <c r="F100" s="182">
        <v>19.0</v>
      </c>
      <c r="G100" s="182" t="s">
        <v>92</v>
      </c>
      <c r="H100" s="372"/>
      <c r="I100" s="372"/>
      <c r="J100" s="182">
        <v>39.0</v>
      </c>
      <c r="K100" s="182"/>
      <c r="L100" s="182">
        <v>39.0</v>
      </c>
      <c r="M100" s="140">
        <f t="shared" si="6"/>
        <v>0</v>
      </c>
      <c r="N100" s="186" t="s">
        <v>837</v>
      </c>
      <c r="O100" s="182" t="s">
        <v>70</v>
      </c>
      <c r="P100" s="380"/>
    </row>
    <row r="101" ht="33.0" customHeight="1">
      <c r="A101" s="139" t="s">
        <v>16</v>
      </c>
      <c r="B101" s="144" t="s">
        <v>946</v>
      </c>
      <c r="C101" s="144" t="s">
        <v>823</v>
      </c>
      <c r="D101" s="144" t="s">
        <v>35</v>
      </c>
      <c r="E101" s="144" t="s">
        <v>19</v>
      </c>
      <c r="F101" s="144">
        <v>11.0</v>
      </c>
      <c r="G101" s="144" t="s">
        <v>92</v>
      </c>
      <c r="H101" s="151"/>
      <c r="I101" s="151"/>
      <c r="J101" s="144">
        <v>13.0</v>
      </c>
      <c r="K101" s="166">
        <v>0.0</v>
      </c>
      <c r="L101" s="144">
        <v>13.0</v>
      </c>
      <c r="M101" s="141">
        <f t="shared" si="6"/>
        <v>0</v>
      </c>
      <c r="N101" s="141" t="s">
        <v>824</v>
      </c>
      <c r="O101" s="144" t="s">
        <v>70</v>
      </c>
      <c r="P101" s="147"/>
    </row>
    <row r="102" ht="33.0" customHeight="1">
      <c r="A102" s="154" t="s">
        <v>16</v>
      </c>
      <c r="B102" s="182" t="s">
        <v>947</v>
      </c>
      <c r="C102" s="182" t="s">
        <v>948</v>
      </c>
      <c r="D102" s="182" t="s">
        <v>34</v>
      </c>
      <c r="E102" s="182" t="s">
        <v>23</v>
      </c>
      <c r="F102" s="182">
        <v>30.0</v>
      </c>
      <c r="G102" s="182" t="s">
        <v>76</v>
      </c>
      <c r="H102" s="373">
        <v>45978.0</v>
      </c>
      <c r="I102" s="373">
        <v>45662.0</v>
      </c>
      <c r="J102" s="182">
        <v>65.0</v>
      </c>
      <c r="K102" s="182">
        <v>0.0</v>
      </c>
      <c r="L102" s="182">
        <v>65.0</v>
      </c>
      <c r="M102" s="140">
        <f t="shared" si="6"/>
        <v>0</v>
      </c>
      <c r="N102" s="181" t="s">
        <v>949</v>
      </c>
      <c r="O102" s="182" t="s">
        <v>70</v>
      </c>
      <c r="P102" s="380"/>
    </row>
    <row r="103" ht="33.0" customHeight="1">
      <c r="A103" s="139" t="s">
        <v>16</v>
      </c>
      <c r="B103" s="141" t="s">
        <v>173</v>
      </c>
      <c r="C103" s="141" t="s">
        <v>950</v>
      </c>
      <c r="D103" s="141" t="s">
        <v>35</v>
      </c>
      <c r="E103" s="141" t="s">
        <v>19</v>
      </c>
      <c r="F103" s="142">
        <v>8.0</v>
      </c>
      <c r="G103" s="142" t="s">
        <v>92</v>
      </c>
      <c r="H103" s="151"/>
      <c r="I103" s="151"/>
      <c r="J103" s="141">
        <v>8.0</v>
      </c>
      <c r="K103" s="141">
        <v>0.0</v>
      </c>
      <c r="L103" s="142">
        <v>8.0</v>
      </c>
      <c r="M103" s="140">
        <f t="shared" si="6"/>
        <v>0</v>
      </c>
      <c r="N103" s="141" t="s">
        <v>951</v>
      </c>
      <c r="O103" s="142" t="s">
        <v>70</v>
      </c>
      <c r="P103" s="382"/>
    </row>
    <row r="104" ht="30.0" customHeight="1">
      <c r="A104" s="139" t="s">
        <v>16</v>
      </c>
      <c r="B104" s="141" t="s">
        <v>173</v>
      </c>
      <c r="C104" s="141" t="s">
        <v>952</v>
      </c>
      <c r="D104" s="141" t="s">
        <v>35</v>
      </c>
      <c r="E104" s="141" t="s">
        <v>19</v>
      </c>
      <c r="F104" s="142">
        <v>9.0</v>
      </c>
      <c r="G104" s="142" t="s">
        <v>92</v>
      </c>
      <c r="H104" s="151"/>
      <c r="I104" s="151"/>
      <c r="J104" s="141">
        <v>9.0</v>
      </c>
      <c r="K104" s="141">
        <v>0.0</v>
      </c>
      <c r="L104" s="142">
        <v>9.0</v>
      </c>
      <c r="M104" s="140">
        <f t="shared" si="6"/>
        <v>0</v>
      </c>
      <c r="N104" s="141" t="s">
        <v>953</v>
      </c>
      <c r="O104" s="142" t="s">
        <v>70</v>
      </c>
      <c r="P104" s="380"/>
    </row>
    <row r="105" ht="30.0" customHeight="1">
      <c r="A105" s="139" t="s">
        <v>16</v>
      </c>
      <c r="B105" s="139" t="s">
        <v>173</v>
      </c>
      <c r="C105" s="141" t="s">
        <v>950</v>
      </c>
      <c r="D105" s="141" t="s">
        <v>35</v>
      </c>
      <c r="E105" s="141" t="s">
        <v>19</v>
      </c>
      <c r="F105" s="142">
        <v>8.0</v>
      </c>
      <c r="G105" s="142" t="s">
        <v>92</v>
      </c>
      <c r="H105" s="151"/>
      <c r="I105" s="151"/>
      <c r="J105" s="141">
        <v>8.0</v>
      </c>
      <c r="K105" s="141">
        <v>0.0</v>
      </c>
      <c r="L105" s="142">
        <v>8.0</v>
      </c>
      <c r="M105" s="140">
        <f t="shared" si="6"/>
        <v>0</v>
      </c>
      <c r="N105" s="141" t="s">
        <v>951</v>
      </c>
      <c r="O105" s="142" t="s">
        <v>70</v>
      </c>
      <c r="P105" s="380"/>
    </row>
    <row r="106" ht="30.0" customHeight="1">
      <c r="A106" s="139" t="s">
        <v>16</v>
      </c>
      <c r="B106" s="141" t="s">
        <v>173</v>
      </c>
      <c r="C106" s="141" t="s">
        <v>952</v>
      </c>
      <c r="D106" s="141" t="s">
        <v>35</v>
      </c>
      <c r="E106" s="141" t="s">
        <v>19</v>
      </c>
      <c r="F106" s="142">
        <v>9.0</v>
      </c>
      <c r="G106" s="142" t="s">
        <v>92</v>
      </c>
      <c r="H106" s="151"/>
      <c r="I106" s="151"/>
      <c r="J106" s="141">
        <v>9.0</v>
      </c>
      <c r="K106" s="141">
        <v>0.0</v>
      </c>
      <c r="L106" s="142">
        <v>9.0</v>
      </c>
      <c r="M106" s="140">
        <f t="shared" si="6"/>
        <v>0</v>
      </c>
      <c r="N106" s="141" t="s">
        <v>953</v>
      </c>
      <c r="O106" s="142" t="s">
        <v>70</v>
      </c>
      <c r="P106" s="380"/>
    </row>
    <row r="107" ht="30.0" customHeight="1">
      <c r="A107" s="154" t="s">
        <v>16</v>
      </c>
      <c r="B107" s="141" t="s">
        <v>173</v>
      </c>
      <c r="C107" s="141" t="s">
        <v>954</v>
      </c>
      <c r="D107" s="141" t="s">
        <v>34</v>
      </c>
      <c r="E107" s="141" t="s">
        <v>19</v>
      </c>
      <c r="F107" s="142">
        <v>30.0</v>
      </c>
      <c r="G107" s="182" t="s">
        <v>92</v>
      </c>
      <c r="H107" s="146">
        <v>45903.0</v>
      </c>
      <c r="I107" s="146">
        <v>45952.0</v>
      </c>
      <c r="J107" s="141">
        <v>65.0</v>
      </c>
      <c r="K107" s="141">
        <v>12.0</v>
      </c>
      <c r="L107" s="139">
        <v>53.0</v>
      </c>
      <c r="M107" s="140">
        <f t="shared" si="6"/>
        <v>0</v>
      </c>
      <c r="N107" s="141" t="s">
        <v>835</v>
      </c>
      <c r="O107" s="139" t="s">
        <v>70</v>
      </c>
      <c r="P107" s="311"/>
    </row>
    <row r="108" ht="30.0" customHeight="1">
      <c r="A108" s="154" t="s">
        <v>16</v>
      </c>
      <c r="B108" s="182" t="s">
        <v>173</v>
      </c>
      <c r="C108" s="182" t="s">
        <v>955</v>
      </c>
      <c r="D108" s="182" t="s">
        <v>35</v>
      </c>
      <c r="E108" s="182" t="s">
        <v>23</v>
      </c>
      <c r="F108" s="182">
        <v>10.0</v>
      </c>
      <c r="G108" s="182" t="s">
        <v>92</v>
      </c>
      <c r="H108" s="372"/>
      <c r="I108" s="372"/>
      <c r="J108" s="182">
        <v>10.0</v>
      </c>
      <c r="K108" s="182"/>
      <c r="L108" s="182">
        <v>10.0</v>
      </c>
      <c r="M108" s="140">
        <f t="shared" si="6"/>
        <v>0</v>
      </c>
      <c r="N108" s="186" t="s">
        <v>837</v>
      </c>
      <c r="O108" s="182" t="s">
        <v>70</v>
      </c>
      <c r="P108" s="311"/>
    </row>
    <row r="109" ht="30.0" customHeight="1">
      <c r="A109" s="139" t="s">
        <v>16</v>
      </c>
      <c r="B109" s="141" t="s">
        <v>956</v>
      </c>
      <c r="C109" s="141" t="s">
        <v>922</v>
      </c>
      <c r="D109" s="141" t="s">
        <v>35</v>
      </c>
      <c r="E109" s="141" t="s">
        <v>21</v>
      </c>
      <c r="F109" s="141">
        <v>8.0</v>
      </c>
      <c r="G109" s="141" t="s">
        <v>92</v>
      </c>
      <c r="H109" s="151"/>
      <c r="I109" s="151"/>
      <c r="J109" s="141">
        <v>8.0</v>
      </c>
      <c r="K109" s="141">
        <v>0.0</v>
      </c>
      <c r="L109" s="141">
        <v>8.0</v>
      </c>
      <c r="M109" s="140">
        <f t="shared" si="6"/>
        <v>0</v>
      </c>
      <c r="N109" s="141" t="s">
        <v>358</v>
      </c>
      <c r="O109" s="142" t="s">
        <v>70</v>
      </c>
      <c r="P109" s="311"/>
    </row>
    <row r="110" ht="30.0" customHeight="1">
      <c r="A110" s="154" t="s">
        <v>16</v>
      </c>
      <c r="B110" s="141" t="s">
        <v>956</v>
      </c>
      <c r="C110" s="141" t="s">
        <v>957</v>
      </c>
      <c r="D110" s="141" t="s">
        <v>35</v>
      </c>
      <c r="E110" s="141" t="s">
        <v>21</v>
      </c>
      <c r="F110" s="142">
        <v>8.0</v>
      </c>
      <c r="G110" s="142" t="s">
        <v>92</v>
      </c>
      <c r="H110" s="151"/>
      <c r="I110" s="151"/>
      <c r="J110" s="141">
        <v>8.0</v>
      </c>
      <c r="K110" s="141">
        <v>0.0</v>
      </c>
      <c r="L110" s="142">
        <v>8.0</v>
      </c>
      <c r="M110" s="140">
        <f t="shared" si="6"/>
        <v>0</v>
      </c>
      <c r="N110" s="141" t="s">
        <v>958</v>
      </c>
      <c r="O110" s="142" t="s">
        <v>70</v>
      </c>
      <c r="P110" s="311"/>
    </row>
    <row r="111" ht="30.0" customHeight="1">
      <c r="A111" s="154" t="s">
        <v>16</v>
      </c>
      <c r="B111" s="144" t="s">
        <v>959</v>
      </c>
      <c r="C111" s="144" t="s">
        <v>925</v>
      </c>
      <c r="D111" s="144" t="s">
        <v>35</v>
      </c>
      <c r="E111" s="144" t="s">
        <v>19</v>
      </c>
      <c r="F111" s="144">
        <v>11.0</v>
      </c>
      <c r="G111" s="144" t="s">
        <v>92</v>
      </c>
      <c r="H111" s="151"/>
      <c r="I111" s="151"/>
      <c r="J111" s="144">
        <v>13.0</v>
      </c>
      <c r="K111" s="144">
        <v>0.0</v>
      </c>
      <c r="L111" s="182">
        <v>13.0</v>
      </c>
      <c r="M111" s="140">
        <f t="shared" si="6"/>
        <v>0</v>
      </c>
      <c r="N111" s="141" t="s">
        <v>824</v>
      </c>
      <c r="O111" s="182" t="s">
        <v>70</v>
      </c>
      <c r="P111" s="147"/>
    </row>
    <row r="112">
      <c r="A112" s="154" t="s">
        <v>16</v>
      </c>
      <c r="B112" s="370" t="s">
        <v>959</v>
      </c>
      <c r="C112" s="370" t="s">
        <v>960</v>
      </c>
      <c r="D112" s="144" t="s">
        <v>34</v>
      </c>
      <c r="E112" s="370" t="s">
        <v>19</v>
      </c>
      <c r="F112" s="370">
        <v>30.0</v>
      </c>
      <c r="G112" s="144" t="s">
        <v>76</v>
      </c>
      <c r="H112" s="368">
        <v>45978.0</v>
      </c>
      <c r="I112" s="368">
        <v>45662.0</v>
      </c>
      <c r="J112" s="370">
        <v>65.0</v>
      </c>
      <c r="K112" s="370">
        <v>0.0</v>
      </c>
      <c r="L112" s="370">
        <v>65.0</v>
      </c>
      <c r="M112" s="376">
        <f t="shared" si="6"/>
        <v>0</v>
      </c>
      <c r="N112" s="376" t="s">
        <v>949</v>
      </c>
      <c r="O112" s="144" t="s">
        <v>70</v>
      </c>
      <c r="P112" s="311"/>
    </row>
    <row r="113" ht="30.0" customHeight="1">
      <c r="A113" s="154" t="s">
        <v>16</v>
      </c>
      <c r="B113" s="182" t="s">
        <v>959</v>
      </c>
      <c r="C113" s="182" t="s">
        <v>961</v>
      </c>
      <c r="D113" s="182" t="s">
        <v>34</v>
      </c>
      <c r="E113" s="182" t="s">
        <v>22</v>
      </c>
      <c r="F113" s="182">
        <v>20.0</v>
      </c>
      <c r="G113" s="182" t="s">
        <v>76</v>
      </c>
      <c r="H113" s="373">
        <v>45663.0</v>
      </c>
      <c r="I113" s="373">
        <v>45677.0</v>
      </c>
      <c r="J113" s="182">
        <v>40.0</v>
      </c>
      <c r="K113" s="182"/>
      <c r="L113" s="182"/>
      <c r="M113" s="140">
        <f t="shared" si="6"/>
        <v>40</v>
      </c>
      <c r="N113" s="186"/>
      <c r="O113" s="182" t="s">
        <v>70</v>
      </c>
      <c r="P113" s="147"/>
    </row>
    <row r="114" ht="30.0" customHeight="1">
      <c r="A114" s="139" t="s">
        <v>16</v>
      </c>
      <c r="B114" s="141" t="s">
        <v>962</v>
      </c>
      <c r="C114" s="141" t="s">
        <v>963</v>
      </c>
      <c r="D114" s="141" t="s">
        <v>35</v>
      </c>
      <c r="E114" s="141" t="s">
        <v>22</v>
      </c>
      <c r="F114" s="142">
        <v>8.0</v>
      </c>
      <c r="G114" s="142" t="s">
        <v>92</v>
      </c>
      <c r="H114" s="151"/>
      <c r="I114" s="151"/>
      <c r="J114" s="141">
        <v>8.0</v>
      </c>
      <c r="K114" s="141">
        <v>0.0</v>
      </c>
      <c r="L114" s="142">
        <v>8.0</v>
      </c>
      <c r="M114" s="140">
        <f t="shared" si="6"/>
        <v>0</v>
      </c>
      <c r="N114" s="141" t="s">
        <v>871</v>
      </c>
      <c r="O114" s="142" t="s">
        <v>70</v>
      </c>
      <c r="P114" s="223"/>
    </row>
    <row r="115" ht="30.0" customHeight="1">
      <c r="A115" s="154" t="s">
        <v>16</v>
      </c>
      <c r="B115" s="144" t="s">
        <v>964</v>
      </c>
      <c r="C115" s="144" t="s">
        <v>965</v>
      </c>
      <c r="D115" s="144" t="s">
        <v>35</v>
      </c>
      <c r="E115" s="144" t="s">
        <v>23</v>
      </c>
      <c r="F115" s="144">
        <v>10.0</v>
      </c>
      <c r="G115" s="144" t="s">
        <v>92</v>
      </c>
      <c r="H115" s="151"/>
      <c r="I115" s="151"/>
      <c r="J115" s="144">
        <v>10.0</v>
      </c>
      <c r="K115" s="144">
        <v>0.0</v>
      </c>
      <c r="L115" s="144">
        <v>10.0</v>
      </c>
      <c r="M115" s="140">
        <f t="shared" si="6"/>
        <v>0</v>
      </c>
      <c r="N115" s="141" t="s">
        <v>824</v>
      </c>
      <c r="O115" s="144" t="s">
        <v>70</v>
      </c>
      <c r="P115" s="147"/>
    </row>
    <row r="116" ht="30.0" customHeight="1">
      <c r="A116" s="139" t="s">
        <v>16</v>
      </c>
      <c r="B116" s="141" t="s">
        <v>966</v>
      </c>
      <c r="C116" s="141" t="s">
        <v>967</v>
      </c>
      <c r="D116" s="141" t="s">
        <v>34</v>
      </c>
      <c r="E116" s="141" t="s">
        <v>22</v>
      </c>
      <c r="F116" s="142">
        <v>30.0</v>
      </c>
      <c r="G116" s="141" t="s">
        <v>92</v>
      </c>
      <c r="H116" s="146">
        <v>45903.0</v>
      </c>
      <c r="I116" s="146">
        <v>45952.0</v>
      </c>
      <c r="J116" s="141">
        <v>65.0</v>
      </c>
      <c r="K116" s="141">
        <v>2.0</v>
      </c>
      <c r="L116" s="139">
        <v>63.0</v>
      </c>
      <c r="M116" s="140">
        <f t="shared" si="6"/>
        <v>0</v>
      </c>
      <c r="N116" s="141" t="s">
        <v>835</v>
      </c>
      <c r="O116" s="139" t="s">
        <v>70</v>
      </c>
      <c r="P116" s="147"/>
    </row>
    <row r="117" ht="30.0" customHeight="1">
      <c r="A117" s="154" t="s">
        <v>16</v>
      </c>
      <c r="B117" s="141" t="s">
        <v>914</v>
      </c>
      <c r="C117" s="141" t="s">
        <v>968</v>
      </c>
      <c r="D117" s="141" t="s">
        <v>35</v>
      </c>
      <c r="E117" s="141" t="s">
        <v>21</v>
      </c>
      <c r="F117" s="142">
        <v>8.0</v>
      </c>
      <c r="G117" s="141" t="s">
        <v>92</v>
      </c>
      <c r="H117" s="151"/>
      <c r="I117" s="151"/>
      <c r="J117" s="141">
        <v>8.0</v>
      </c>
      <c r="K117" s="141">
        <v>0.0</v>
      </c>
      <c r="L117" s="142">
        <v>8.0</v>
      </c>
      <c r="M117" s="140">
        <f t="shared" si="6"/>
        <v>0</v>
      </c>
      <c r="N117" s="141" t="s">
        <v>958</v>
      </c>
      <c r="O117" s="142" t="s">
        <v>70</v>
      </c>
      <c r="P117" s="147"/>
    </row>
    <row r="118" ht="30.0" customHeight="1">
      <c r="A118" s="154" t="s">
        <v>16</v>
      </c>
      <c r="B118" s="141" t="s">
        <v>914</v>
      </c>
      <c r="C118" s="141" t="s">
        <v>969</v>
      </c>
      <c r="D118" s="141" t="s">
        <v>35</v>
      </c>
      <c r="E118" s="141" t="s">
        <v>23</v>
      </c>
      <c r="F118" s="142">
        <v>15.0</v>
      </c>
      <c r="G118" s="141" t="s">
        <v>92</v>
      </c>
      <c r="H118" s="151"/>
      <c r="I118" s="151"/>
      <c r="J118" s="141">
        <v>25.0</v>
      </c>
      <c r="K118" s="141">
        <v>0.0</v>
      </c>
      <c r="L118" s="142">
        <v>25.0</v>
      </c>
      <c r="M118" s="140">
        <f t="shared" si="6"/>
        <v>0</v>
      </c>
      <c r="N118" s="141" t="s">
        <v>970</v>
      </c>
      <c r="O118" s="142" t="s">
        <v>70</v>
      </c>
      <c r="P118" s="223"/>
    </row>
    <row r="119">
      <c r="A119" s="154" t="s">
        <v>16</v>
      </c>
      <c r="B119" s="182" t="s">
        <v>971</v>
      </c>
      <c r="C119" s="182" t="s">
        <v>972</v>
      </c>
      <c r="D119" s="182" t="s">
        <v>34</v>
      </c>
      <c r="E119" s="182" t="s">
        <v>23</v>
      </c>
      <c r="F119" s="182">
        <v>20.0</v>
      </c>
      <c r="G119" s="182" t="s">
        <v>76</v>
      </c>
      <c r="H119" s="373"/>
      <c r="I119" s="373"/>
      <c r="J119" s="182">
        <v>40.0</v>
      </c>
      <c r="K119" s="182">
        <v>0.0</v>
      </c>
      <c r="L119" s="182">
        <v>40.0</v>
      </c>
      <c r="M119" s="140">
        <f t="shared" si="6"/>
        <v>0</v>
      </c>
      <c r="N119" s="186" t="s">
        <v>851</v>
      </c>
      <c r="O119" s="182" t="s">
        <v>70</v>
      </c>
      <c r="P119" s="147"/>
    </row>
    <row r="120">
      <c r="A120" s="139" t="s">
        <v>16</v>
      </c>
      <c r="B120" s="141" t="s">
        <v>973</v>
      </c>
      <c r="C120" s="141" t="s">
        <v>974</v>
      </c>
      <c r="D120" s="141" t="s">
        <v>35</v>
      </c>
      <c r="E120" s="141" t="s">
        <v>19</v>
      </c>
      <c r="F120" s="142">
        <v>8.0</v>
      </c>
      <c r="G120" s="142" t="s">
        <v>92</v>
      </c>
      <c r="H120" s="151"/>
      <c r="I120" s="151"/>
      <c r="J120" s="141">
        <v>8.0</v>
      </c>
      <c r="K120" s="141">
        <v>0.0</v>
      </c>
      <c r="L120" s="142">
        <v>8.0</v>
      </c>
      <c r="M120" s="141">
        <f t="shared" si="6"/>
        <v>0</v>
      </c>
      <c r="N120" s="141" t="s">
        <v>871</v>
      </c>
      <c r="O120" s="142" t="s">
        <v>70</v>
      </c>
      <c r="P120" s="223"/>
    </row>
    <row r="121">
      <c r="A121" s="154" t="s">
        <v>16</v>
      </c>
      <c r="B121" s="141" t="s">
        <v>973</v>
      </c>
      <c r="C121" s="141" t="s">
        <v>974</v>
      </c>
      <c r="D121" s="141" t="s">
        <v>35</v>
      </c>
      <c r="E121" s="141" t="s">
        <v>19</v>
      </c>
      <c r="F121" s="142">
        <v>8.0</v>
      </c>
      <c r="G121" s="142" t="s">
        <v>92</v>
      </c>
      <c r="H121" s="151"/>
      <c r="I121" s="151"/>
      <c r="J121" s="141">
        <v>8.0</v>
      </c>
      <c r="K121" s="141">
        <v>0.0</v>
      </c>
      <c r="L121" s="142">
        <v>8.0</v>
      </c>
      <c r="M121" s="141">
        <f t="shared" si="6"/>
        <v>0</v>
      </c>
      <c r="N121" s="141" t="s">
        <v>871</v>
      </c>
      <c r="O121" s="142" t="s">
        <v>70</v>
      </c>
      <c r="P121" s="223"/>
    </row>
    <row r="122">
      <c r="A122" s="154" t="s">
        <v>16</v>
      </c>
      <c r="B122" s="141" t="s">
        <v>685</v>
      </c>
      <c r="C122" s="141" t="s">
        <v>923</v>
      </c>
      <c r="D122" s="141" t="s">
        <v>35</v>
      </c>
      <c r="E122" s="141" t="s">
        <v>20</v>
      </c>
      <c r="F122" s="141">
        <v>8.0</v>
      </c>
      <c r="G122" s="141" t="s">
        <v>92</v>
      </c>
      <c r="H122" s="151"/>
      <c r="I122" s="151"/>
      <c r="J122" s="141">
        <v>8.0</v>
      </c>
      <c r="K122" s="141">
        <v>0.0</v>
      </c>
      <c r="L122" s="142">
        <v>8.0</v>
      </c>
      <c r="M122" s="140">
        <f t="shared" si="6"/>
        <v>0</v>
      </c>
      <c r="N122" s="141" t="s">
        <v>975</v>
      </c>
      <c r="O122" s="142" t="s">
        <v>70</v>
      </c>
      <c r="P122" s="380"/>
    </row>
    <row r="123">
      <c r="A123" s="154" t="s">
        <v>16</v>
      </c>
      <c r="B123" s="144" t="s">
        <v>685</v>
      </c>
      <c r="C123" s="144" t="s">
        <v>925</v>
      </c>
      <c r="D123" s="144" t="s">
        <v>35</v>
      </c>
      <c r="E123" s="144" t="s">
        <v>19</v>
      </c>
      <c r="F123" s="144">
        <v>11.0</v>
      </c>
      <c r="G123" s="144" t="s">
        <v>92</v>
      </c>
      <c r="H123" s="151"/>
      <c r="I123" s="151"/>
      <c r="J123" s="144">
        <v>13.0</v>
      </c>
      <c r="K123" s="144">
        <v>0.0</v>
      </c>
      <c r="L123" s="182">
        <v>13.0</v>
      </c>
      <c r="M123" s="140">
        <f t="shared" si="6"/>
        <v>0</v>
      </c>
      <c r="N123" s="141" t="s">
        <v>824</v>
      </c>
      <c r="O123" s="182" t="s">
        <v>70</v>
      </c>
      <c r="P123" s="311"/>
    </row>
    <row r="124">
      <c r="A124" s="139" t="s">
        <v>16</v>
      </c>
      <c r="B124" s="370" t="s">
        <v>685</v>
      </c>
      <c r="C124" s="370" t="s">
        <v>976</v>
      </c>
      <c r="D124" s="144" t="s">
        <v>35</v>
      </c>
      <c r="E124" s="370" t="s">
        <v>19</v>
      </c>
      <c r="F124" s="370">
        <v>10.0</v>
      </c>
      <c r="G124" s="144" t="s">
        <v>92</v>
      </c>
      <c r="H124" s="151"/>
      <c r="I124" s="151"/>
      <c r="J124" s="370">
        <v>10.0</v>
      </c>
      <c r="K124" s="375">
        <v>0.0</v>
      </c>
      <c r="L124" s="370">
        <v>10.0</v>
      </c>
      <c r="M124" s="376">
        <f t="shared" si="6"/>
        <v>0</v>
      </c>
      <c r="N124" s="377" t="s">
        <v>851</v>
      </c>
      <c r="O124" s="144" t="s">
        <v>70</v>
      </c>
      <c r="P124" s="311"/>
    </row>
    <row r="125">
      <c r="A125" s="154" t="s">
        <v>16</v>
      </c>
      <c r="B125" s="141" t="s">
        <v>977</v>
      </c>
      <c r="C125" s="141" t="s">
        <v>978</v>
      </c>
      <c r="D125" s="141" t="s">
        <v>34</v>
      </c>
      <c r="E125" s="141" t="s">
        <v>23</v>
      </c>
      <c r="F125" s="142">
        <v>20.0</v>
      </c>
      <c r="G125" s="142" t="s">
        <v>92</v>
      </c>
      <c r="H125" s="146">
        <v>45877.0</v>
      </c>
      <c r="I125" s="146">
        <v>45891.0</v>
      </c>
      <c r="J125" s="141">
        <v>40.0</v>
      </c>
      <c r="K125" s="141">
        <v>0.0</v>
      </c>
      <c r="L125" s="142">
        <v>40.0</v>
      </c>
      <c r="M125" s="140">
        <f t="shared" si="6"/>
        <v>0</v>
      </c>
      <c r="N125" s="141" t="s">
        <v>884</v>
      </c>
      <c r="O125" s="142" t="s">
        <v>70</v>
      </c>
      <c r="P125" s="311"/>
    </row>
    <row r="126">
      <c r="A126" s="154" t="s">
        <v>16</v>
      </c>
      <c r="B126" s="370" t="s">
        <v>979</v>
      </c>
      <c r="C126" s="370" t="s">
        <v>940</v>
      </c>
      <c r="D126" s="144" t="s">
        <v>34</v>
      </c>
      <c r="E126" s="370" t="s">
        <v>23</v>
      </c>
      <c r="F126" s="370">
        <v>20.0</v>
      </c>
      <c r="G126" s="144" t="s">
        <v>76</v>
      </c>
      <c r="H126" s="368">
        <v>46044.0</v>
      </c>
      <c r="I126" s="368">
        <v>46058.0</v>
      </c>
      <c r="J126" s="370">
        <v>40.0</v>
      </c>
      <c r="K126" s="370">
        <v>0.0</v>
      </c>
      <c r="L126" s="370">
        <v>40.0</v>
      </c>
      <c r="M126" s="376">
        <f t="shared" si="6"/>
        <v>0</v>
      </c>
      <c r="N126" s="377" t="s">
        <v>181</v>
      </c>
      <c r="O126" s="144" t="s">
        <v>70</v>
      </c>
      <c r="P126" s="311"/>
    </row>
    <row r="127">
      <c r="A127" s="154" t="s">
        <v>16</v>
      </c>
      <c r="B127" s="141" t="s">
        <v>980</v>
      </c>
      <c r="C127" s="141" t="s">
        <v>974</v>
      </c>
      <c r="D127" s="141" t="s">
        <v>35</v>
      </c>
      <c r="E127" s="141" t="s">
        <v>19</v>
      </c>
      <c r="F127" s="142">
        <v>8.0</v>
      </c>
      <c r="G127" s="142" t="s">
        <v>92</v>
      </c>
      <c r="H127" s="151"/>
      <c r="I127" s="151"/>
      <c r="J127" s="141">
        <v>8.0</v>
      </c>
      <c r="K127" s="141">
        <v>0.0</v>
      </c>
      <c r="L127" s="142">
        <v>8.0</v>
      </c>
      <c r="M127" s="140">
        <f t="shared" si="6"/>
        <v>0</v>
      </c>
      <c r="N127" s="141" t="s">
        <v>871</v>
      </c>
      <c r="O127" s="142" t="s">
        <v>70</v>
      </c>
      <c r="P127" s="380"/>
    </row>
    <row r="128" ht="30.0" customHeight="1">
      <c r="A128" s="154" t="s">
        <v>16</v>
      </c>
      <c r="B128" s="141" t="s">
        <v>980</v>
      </c>
      <c r="C128" s="141" t="s">
        <v>974</v>
      </c>
      <c r="D128" s="141" t="s">
        <v>35</v>
      </c>
      <c r="E128" s="141" t="s">
        <v>19</v>
      </c>
      <c r="F128" s="142">
        <v>8.0</v>
      </c>
      <c r="G128" s="142" t="s">
        <v>92</v>
      </c>
      <c r="H128" s="151"/>
      <c r="I128" s="151"/>
      <c r="J128" s="141">
        <v>8.0</v>
      </c>
      <c r="K128" s="141">
        <v>0.0</v>
      </c>
      <c r="L128" s="142">
        <v>8.0</v>
      </c>
      <c r="M128" s="140">
        <f t="shared" si="6"/>
        <v>0</v>
      </c>
      <c r="N128" s="141" t="s">
        <v>871</v>
      </c>
      <c r="O128" s="142" t="s">
        <v>70</v>
      </c>
      <c r="P128" s="382"/>
    </row>
    <row r="129" ht="30.0" customHeight="1">
      <c r="A129" s="154" t="s">
        <v>16</v>
      </c>
      <c r="B129" s="182" t="s">
        <v>981</v>
      </c>
      <c r="C129" s="182" t="s">
        <v>955</v>
      </c>
      <c r="D129" s="182" t="s">
        <v>35</v>
      </c>
      <c r="E129" s="182" t="s">
        <v>23</v>
      </c>
      <c r="F129" s="182">
        <v>10.0</v>
      </c>
      <c r="G129" s="182" t="s">
        <v>92</v>
      </c>
      <c r="H129" s="372"/>
      <c r="I129" s="372"/>
      <c r="J129" s="182">
        <v>10.0</v>
      </c>
      <c r="K129" s="182"/>
      <c r="L129" s="182">
        <v>10.0</v>
      </c>
      <c r="M129" s="140">
        <f t="shared" si="6"/>
        <v>0</v>
      </c>
      <c r="N129" s="186" t="s">
        <v>837</v>
      </c>
      <c r="O129" s="182" t="s">
        <v>70</v>
      </c>
      <c r="P129" s="147"/>
    </row>
    <row r="130">
      <c r="A130" s="154" t="s">
        <v>16</v>
      </c>
      <c r="B130" s="370" t="s">
        <v>982</v>
      </c>
      <c r="C130" s="370" t="s">
        <v>983</v>
      </c>
      <c r="D130" s="144" t="s">
        <v>34</v>
      </c>
      <c r="E130" s="370" t="s">
        <v>22</v>
      </c>
      <c r="F130" s="370">
        <v>20.0</v>
      </c>
      <c r="G130" s="144" t="s">
        <v>76</v>
      </c>
      <c r="H130" s="368">
        <v>45987.0</v>
      </c>
      <c r="I130" s="368">
        <v>46001.0</v>
      </c>
      <c r="J130" s="370">
        <v>40.0</v>
      </c>
      <c r="K130" s="375">
        <v>0.0</v>
      </c>
      <c r="L130" s="370">
        <v>40.0</v>
      </c>
      <c r="M130" s="376">
        <f t="shared" si="6"/>
        <v>0</v>
      </c>
      <c r="N130" s="376" t="s">
        <v>984</v>
      </c>
      <c r="O130" s="144" t="s">
        <v>70</v>
      </c>
      <c r="P130" s="311"/>
    </row>
    <row r="131" ht="39.75" customHeight="1">
      <c r="A131" s="154" t="s">
        <v>16</v>
      </c>
      <c r="B131" s="370" t="s">
        <v>985</v>
      </c>
      <c r="C131" s="370" t="s">
        <v>986</v>
      </c>
      <c r="D131" s="144" t="s">
        <v>34</v>
      </c>
      <c r="E131" s="370" t="s">
        <v>23</v>
      </c>
      <c r="F131" s="370">
        <v>30.0</v>
      </c>
      <c r="G131" s="144" t="s">
        <v>76</v>
      </c>
      <c r="H131" s="368">
        <v>45978.0</v>
      </c>
      <c r="I131" s="368">
        <v>46007.0</v>
      </c>
      <c r="J131" s="370">
        <v>50.0</v>
      </c>
      <c r="K131" s="370">
        <v>0.0</v>
      </c>
      <c r="L131" s="370">
        <v>50.0</v>
      </c>
      <c r="M131" s="378">
        <f t="shared" si="6"/>
        <v>0</v>
      </c>
      <c r="N131" s="141" t="s">
        <v>949</v>
      </c>
      <c r="O131" s="144" t="s">
        <v>70</v>
      </c>
      <c r="P131" s="380"/>
    </row>
    <row r="132" ht="39.75" customHeight="1">
      <c r="A132" s="154" t="s">
        <v>16</v>
      </c>
      <c r="B132" s="370" t="s">
        <v>985</v>
      </c>
      <c r="C132" s="370" t="s">
        <v>987</v>
      </c>
      <c r="D132" s="144" t="s">
        <v>34</v>
      </c>
      <c r="E132" s="370" t="s">
        <v>23</v>
      </c>
      <c r="F132" s="370">
        <v>20.0</v>
      </c>
      <c r="G132" s="144" t="s">
        <v>76</v>
      </c>
      <c r="H132" s="368">
        <v>45663.0</v>
      </c>
      <c r="I132" s="368">
        <v>45677.0</v>
      </c>
      <c r="J132" s="370">
        <v>40.0</v>
      </c>
      <c r="K132" s="370">
        <v>0.0</v>
      </c>
      <c r="L132" s="370">
        <v>40.0</v>
      </c>
      <c r="M132" s="378">
        <f t="shared" si="6"/>
        <v>0</v>
      </c>
      <c r="N132" s="181" t="s">
        <v>988</v>
      </c>
      <c r="O132" s="144" t="s">
        <v>70</v>
      </c>
      <c r="P132" s="380"/>
    </row>
    <row r="133" ht="33.0" customHeight="1">
      <c r="A133" s="154" t="s">
        <v>16</v>
      </c>
      <c r="B133" s="182" t="s">
        <v>989</v>
      </c>
      <c r="C133" s="182" t="s">
        <v>990</v>
      </c>
      <c r="D133" s="182" t="s">
        <v>35</v>
      </c>
      <c r="E133" s="182" t="s">
        <v>22</v>
      </c>
      <c r="F133" s="182">
        <v>19.0</v>
      </c>
      <c r="G133" s="182" t="s">
        <v>92</v>
      </c>
      <c r="H133" s="143"/>
      <c r="I133" s="143"/>
      <c r="J133" s="182">
        <v>39.0</v>
      </c>
      <c r="K133" s="182">
        <v>0.0</v>
      </c>
      <c r="L133" s="182">
        <v>39.0</v>
      </c>
      <c r="M133" s="140">
        <f t="shared" si="6"/>
        <v>0</v>
      </c>
      <c r="N133" s="186" t="s">
        <v>828</v>
      </c>
      <c r="O133" s="182" t="s">
        <v>70</v>
      </c>
      <c r="P133" s="147"/>
    </row>
    <row r="134">
      <c r="A134" s="270" t="s">
        <v>16</v>
      </c>
      <c r="B134" s="141" t="s">
        <v>989</v>
      </c>
      <c r="C134" s="141" t="s">
        <v>991</v>
      </c>
      <c r="D134" s="141" t="s">
        <v>34</v>
      </c>
      <c r="E134" s="141" t="s">
        <v>19</v>
      </c>
      <c r="F134" s="142">
        <v>20.0</v>
      </c>
      <c r="G134" s="142" t="s">
        <v>92</v>
      </c>
      <c r="H134" s="146">
        <v>45882.0</v>
      </c>
      <c r="I134" s="146">
        <v>45896.0</v>
      </c>
      <c r="J134" s="141">
        <v>40.0</v>
      </c>
      <c r="K134" s="141">
        <v>0.0</v>
      </c>
      <c r="L134" s="142">
        <v>40.0</v>
      </c>
      <c r="M134" s="140">
        <f t="shared" si="6"/>
        <v>0</v>
      </c>
      <c r="N134" s="141" t="s">
        <v>884</v>
      </c>
      <c r="O134" s="142" t="s">
        <v>70</v>
      </c>
      <c r="P134" s="223"/>
    </row>
    <row r="135">
      <c r="A135" s="139" t="s">
        <v>17</v>
      </c>
      <c r="B135" s="144" t="s">
        <v>992</v>
      </c>
      <c r="C135" s="144" t="s">
        <v>993</v>
      </c>
      <c r="D135" s="144" t="s">
        <v>35</v>
      </c>
      <c r="E135" s="144" t="s">
        <v>20</v>
      </c>
      <c r="F135" s="144">
        <v>8.0</v>
      </c>
      <c r="G135" s="144" t="s">
        <v>92</v>
      </c>
      <c r="H135" s="151"/>
      <c r="I135" s="151"/>
      <c r="J135" s="144">
        <v>8.0</v>
      </c>
      <c r="K135" s="144">
        <v>0.0</v>
      </c>
      <c r="L135" s="144">
        <v>8.0</v>
      </c>
      <c r="M135" s="140">
        <f t="shared" si="6"/>
        <v>0</v>
      </c>
      <c r="N135" s="141" t="s">
        <v>826</v>
      </c>
      <c r="O135" s="144" t="s">
        <v>70</v>
      </c>
      <c r="P135" s="147"/>
    </row>
    <row r="136">
      <c r="A136" s="154" t="s">
        <v>16</v>
      </c>
      <c r="B136" s="182" t="s">
        <v>994</v>
      </c>
      <c r="C136" s="182" t="s">
        <v>995</v>
      </c>
      <c r="D136" s="144" t="s">
        <v>35</v>
      </c>
      <c r="E136" s="370" t="s">
        <v>23</v>
      </c>
      <c r="F136" s="370">
        <v>19.0</v>
      </c>
      <c r="G136" s="144" t="s">
        <v>92</v>
      </c>
      <c r="H136" s="151"/>
      <c r="I136" s="151"/>
      <c r="J136" s="370">
        <v>39.0</v>
      </c>
      <c r="K136" s="157"/>
      <c r="L136" s="263">
        <v>39.0</v>
      </c>
      <c r="M136" s="140">
        <f t="shared" si="6"/>
        <v>0</v>
      </c>
      <c r="N136" s="376" t="s">
        <v>913</v>
      </c>
      <c r="O136" s="182" t="s">
        <v>70</v>
      </c>
      <c r="P136" s="311"/>
    </row>
    <row r="137" ht="33.0" customHeight="1">
      <c r="A137" s="270" t="s">
        <v>17</v>
      </c>
      <c r="B137" s="182" t="s">
        <v>996</v>
      </c>
      <c r="C137" s="182" t="s">
        <v>997</v>
      </c>
      <c r="D137" s="182" t="s">
        <v>35</v>
      </c>
      <c r="E137" s="182" t="s">
        <v>23</v>
      </c>
      <c r="F137" s="182">
        <v>14.0</v>
      </c>
      <c r="G137" s="182" t="s">
        <v>92</v>
      </c>
      <c r="H137" s="373"/>
      <c r="I137" s="373"/>
      <c r="J137" s="182">
        <v>22.0</v>
      </c>
      <c r="K137" s="182"/>
      <c r="L137" s="182">
        <v>22.0</v>
      </c>
      <c r="M137" s="140">
        <f t="shared" si="6"/>
        <v>0</v>
      </c>
      <c r="N137" s="186" t="s">
        <v>837</v>
      </c>
      <c r="O137" s="182" t="s">
        <v>70</v>
      </c>
      <c r="P137" s="380"/>
    </row>
    <row r="138" ht="33.0" customHeight="1">
      <c r="A138" s="270" t="s">
        <v>17</v>
      </c>
      <c r="B138" s="182" t="s">
        <v>996</v>
      </c>
      <c r="C138" s="182" t="s">
        <v>998</v>
      </c>
      <c r="D138" s="182" t="s">
        <v>34</v>
      </c>
      <c r="E138" s="182" t="s">
        <v>19</v>
      </c>
      <c r="F138" s="182">
        <v>30.0</v>
      </c>
      <c r="G138" s="182" t="s">
        <v>76</v>
      </c>
      <c r="H138" s="373">
        <v>46044.0</v>
      </c>
      <c r="I138" s="373">
        <v>46093.0</v>
      </c>
      <c r="J138" s="182">
        <v>65.0</v>
      </c>
      <c r="K138" s="182">
        <v>0.0</v>
      </c>
      <c r="L138" s="182">
        <v>65.0</v>
      </c>
      <c r="M138" s="140">
        <f t="shared" si="6"/>
        <v>0</v>
      </c>
      <c r="N138" s="186" t="s">
        <v>181</v>
      </c>
      <c r="O138" s="154" t="s">
        <v>70</v>
      </c>
      <c r="P138" s="380"/>
    </row>
    <row r="139" ht="33.0" customHeight="1">
      <c r="A139" s="270" t="s">
        <v>17</v>
      </c>
      <c r="B139" s="182" t="s">
        <v>992</v>
      </c>
      <c r="C139" s="182" t="s">
        <v>999</v>
      </c>
      <c r="D139" s="182" t="s">
        <v>35</v>
      </c>
      <c r="E139" s="182" t="s">
        <v>20</v>
      </c>
      <c r="F139" s="182">
        <v>8.0</v>
      </c>
      <c r="G139" s="182" t="s">
        <v>92</v>
      </c>
      <c r="H139" s="373"/>
      <c r="I139" s="373"/>
      <c r="J139" s="182">
        <v>8.0</v>
      </c>
      <c r="K139" s="182"/>
      <c r="L139" s="182">
        <v>8.0</v>
      </c>
      <c r="M139" s="140">
        <f t="shared" si="6"/>
        <v>0</v>
      </c>
      <c r="N139" s="186" t="s">
        <v>1000</v>
      </c>
      <c r="O139" s="182" t="s">
        <v>70</v>
      </c>
      <c r="P139" s="380"/>
    </row>
    <row r="140" ht="33.0" customHeight="1">
      <c r="A140" s="154" t="s">
        <v>17</v>
      </c>
      <c r="B140" s="182" t="s">
        <v>992</v>
      </c>
      <c r="C140" s="182" t="s">
        <v>997</v>
      </c>
      <c r="D140" s="182" t="s">
        <v>35</v>
      </c>
      <c r="E140" s="182" t="s">
        <v>23</v>
      </c>
      <c r="F140" s="182">
        <v>14.0</v>
      </c>
      <c r="G140" s="182" t="s">
        <v>92</v>
      </c>
      <c r="H140" s="373"/>
      <c r="I140" s="373"/>
      <c r="J140" s="182">
        <v>22.0</v>
      </c>
      <c r="K140" s="182"/>
      <c r="L140" s="182">
        <v>22.0</v>
      </c>
      <c r="M140" s="140">
        <f t="shared" si="6"/>
        <v>0</v>
      </c>
      <c r="N140" s="186" t="s">
        <v>837</v>
      </c>
      <c r="O140" s="182" t="s">
        <v>70</v>
      </c>
      <c r="P140" s="380"/>
    </row>
    <row r="141" ht="33.0" customHeight="1">
      <c r="A141" s="154" t="s">
        <v>17</v>
      </c>
      <c r="B141" s="186" t="s">
        <v>1001</v>
      </c>
      <c r="C141" s="186" t="s">
        <v>993</v>
      </c>
      <c r="D141" s="186" t="s">
        <v>35</v>
      </c>
      <c r="E141" s="186" t="s">
        <v>20</v>
      </c>
      <c r="F141" s="186">
        <v>10.0</v>
      </c>
      <c r="G141" s="182" t="s">
        <v>92</v>
      </c>
      <c r="H141" s="188"/>
      <c r="I141" s="188"/>
      <c r="J141" s="186">
        <v>10.0</v>
      </c>
      <c r="K141" s="186">
        <v>0.0</v>
      </c>
      <c r="L141" s="186">
        <v>10.0</v>
      </c>
      <c r="M141" s="140">
        <f t="shared" si="6"/>
        <v>0</v>
      </c>
      <c r="N141" s="186" t="s">
        <v>1002</v>
      </c>
      <c r="O141" s="182" t="s">
        <v>70</v>
      </c>
      <c r="P141" s="380"/>
    </row>
    <row r="142" ht="33.0" customHeight="1">
      <c r="A142" s="139" t="s">
        <v>17</v>
      </c>
      <c r="B142" s="141" t="s">
        <v>1003</v>
      </c>
      <c r="C142" s="141" t="s">
        <v>1004</v>
      </c>
      <c r="D142" s="141" t="s">
        <v>35</v>
      </c>
      <c r="E142" s="141" t="s">
        <v>20</v>
      </c>
      <c r="F142" s="142">
        <v>8.0</v>
      </c>
      <c r="G142" s="141" t="s">
        <v>92</v>
      </c>
      <c r="H142" s="151"/>
      <c r="I142" s="151"/>
      <c r="J142" s="141">
        <v>8.0</v>
      </c>
      <c r="K142" s="141">
        <v>0.0</v>
      </c>
      <c r="L142" s="142">
        <v>8.0</v>
      </c>
      <c r="M142" s="140">
        <f t="shared" si="6"/>
        <v>0</v>
      </c>
      <c r="N142" s="141" t="s">
        <v>1005</v>
      </c>
      <c r="O142" s="142" t="s">
        <v>70</v>
      </c>
      <c r="P142" s="147"/>
    </row>
    <row r="143" ht="33.0" customHeight="1">
      <c r="A143" s="139" t="s">
        <v>17</v>
      </c>
      <c r="B143" s="144" t="s">
        <v>1006</v>
      </c>
      <c r="C143" s="144" t="s">
        <v>993</v>
      </c>
      <c r="D143" s="144" t="s">
        <v>35</v>
      </c>
      <c r="E143" s="144" t="s">
        <v>20</v>
      </c>
      <c r="F143" s="144">
        <v>8.0</v>
      </c>
      <c r="G143" s="144" t="s">
        <v>92</v>
      </c>
      <c r="H143" s="151"/>
      <c r="I143" s="151"/>
      <c r="J143" s="144">
        <v>8.0</v>
      </c>
      <c r="K143" s="166">
        <v>0.0</v>
      </c>
      <c r="L143" s="144">
        <v>8.0</v>
      </c>
      <c r="M143" s="141">
        <f t="shared" si="6"/>
        <v>0</v>
      </c>
      <c r="N143" s="141" t="s">
        <v>826</v>
      </c>
      <c r="O143" s="144" t="s">
        <v>70</v>
      </c>
      <c r="P143" s="311"/>
    </row>
    <row r="144" ht="33.0" customHeight="1">
      <c r="A144" s="154" t="s">
        <v>17</v>
      </c>
      <c r="B144" s="144" t="s">
        <v>1007</v>
      </c>
      <c r="C144" s="144" t="s">
        <v>993</v>
      </c>
      <c r="D144" s="144" t="s">
        <v>35</v>
      </c>
      <c r="E144" s="144" t="s">
        <v>20</v>
      </c>
      <c r="F144" s="144">
        <v>8.0</v>
      </c>
      <c r="G144" s="144" t="s">
        <v>92</v>
      </c>
      <c r="H144" s="151"/>
      <c r="I144" s="151"/>
      <c r="J144" s="144">
        <v>8.0</v>
      </c>
      <c r="K144" s="144">
        <v>0.0</v>
      </c>
      <c r="L144" s="144">
        <v>8.0</v>
      </c>
      <c r="M144" s="140">
        <f t="shared" si="6"/>
        <v>0</v>
      </c>
      <c r="N144" s="141" t="s">
        <v>826</v>
      </c>
      <c r="O144" s="144" t="s">
        <v>70</v>
      </c>
      <c r="P144" s="147"/>
    </row>
    <row r="145" ht="33.0" customHeight="1">
      <c r="A145" s="154" t="s">
        <v>17</v>
      </c>
      <c r="B145" s="186" t="s">
        <v>1007</v>
      </c>
      <c r="C145" s="186" t="s">
        <v>1008</v>
      </c>
      <c r="D145" s="186" t="s">
        <v>35</v>
      </c>
      <c r="E145" s="186" t="s">
        <v>20</v>
      </c>
      <c r="F145" s="186">
        <v>10.0</v>
      </c>
      <c r="G145" s="182" t="s">
        <v>92</v>
      </c>
      <c r="H145" s="188"/>
      <c r="I145" s="188"/>
      <c r="J145" s="186">
        <v>10.0</v>
      </c>
      <c r="K145" s="186">
        <v>0.0</v>
      </c>
      <c r="L145" s="186">
        <v>10.0</v>
      </c>
      <c r="M145" s="140">
        <f t="shared" si="6"/>
        <v>0</v>
      </c>
      <c r="N145" s="186" t="s">
        <v>1002</v>
      </c>
      <c r="O145" s="182" t="s">
        <v>70</v>
      </c>
      <c r="P145" s="380"/>
    </row>
    <row r="146" ht="25.5" customHeight="1">
      <c r="A146" s="154" t="s">
        <v>17</v>
      </c>
      <c r="B146" s="182" t="s">
        <v>1007</v>
      </c>
      <c r="C146" s="182" t="s">
        <v>999</v>
      </c>
      <c r="D146" s="182" t="s">
        <v>35</v>
      </c>
      <c r="E146" s="182" t="s">
        <v>20</v>
      </c>
      <c r="F146" s="182">
        <v>8.0</v>
      </c>
      <c r="G146" s="182" t="s">
        <v>92</v>
      </c>
      <c r="H146" s="373"/>
      <c r="I146" s="373"/>
      <c r="J146" s="182">
        <v>8.0</v>
      </c>
      <c r="K146" s="182"/>
      <c r="L146" s="182">
        <v>8.0</v>
      </c>
      <c r="M146" s="140">
        <f t="shared" si="6"/>
        <v>0</v>
      </c>
      <c r="N146" s="186" t="s">
        <v>1000</v>
      </c>
      <c r="O146" s="182" t="s">
        <v>70</v>
      </c>
      <c r="P146" s="380"/>
    </row>
    <row r="147">
      <c r="A147" s="154" t="s">
        <v>17</v>
      </c>
      <c r="B147" s="186" t="s">
        <v>1009</v>
      </c>
      <c r="C147" s="186" t="s">
        <v>1010</v>
      </c>
      <c r="D147" s="186" t="s">
        <v>35</v>
      </c>
      <c r="E147" s="186" t="s">
        <v>20</v>
      </c>
      <c r="F147" s="186">
        <v>10.0</v>
      </c>
      <c r="G147" s="182" t="s">
        <v>92</v>
      </c>
      <c r="H147" s="188"/>
      <c r="I147" s="188"/>
      <c r="J147" s="186">
        <v>10.0</v>
      </c>
      <c r="K147" s="186">
        <v>0.0</v>
      </c>
      <c r="L147" s="186">
        <v>10.0</v>
      </c>
      <c r="M147" s="140">
        <f t="shared" si="6"/>
        <v>0</v>
      </c>
      <c r="N147" s="186" t="s">
        <v>1002</v>
      </c>
      <c r="O147" s="182" t="s">
        <v>70</v>
      </c>
      <c r="P147" s="311"/>
    </row>
    <row r="148">
      <c r="A148" s="154" t="s">
        <v>17</v>
      </c>
      <c r="B148" s="182" t="s">
        <v>1009</v>
      </c>
      <c r="C148" s="182" t="s">
        <v>999</v>
      </c>
      <c r="D148" s="182" t="s">
        <v>35</v>
      </c>
      <c r="E148" s="182" t="s">
        <v>20</v>
      </c>
      <c r="F148" s="182">
        <v>8.0</v>
      </c>
      <c r="G148" s="182" t="s">
        <v>92</v>
      </c>
      <c r="H148" s="373"/>
      <c r="I148" s="373"/>
      <c r="J148" s="182">
        <v>8.0</v>
      </c>
      <c r="K148" s="182"/>
      <c r="L148" s="182">
        <v>8.0</v>
      </c>
      <c r="M148" s="140">
        <f t="shared" si="6"/>
        <v>0</v>
      </c>
      <c r="N148" s="186" t="s">
        <v>1000</v>
      </c>
      <c r="O148" s="182" t="s">
        <v>70</v>
      </c>
      <c r="P148" s="311"/>
    </row>
    <row r="149">
      <c r="A149" s="154" t="s">
        <v>17</v>
      </c>
      <c r="B149" s="182" t="s">
        <v>1011</v>
      </c>
      <c r="C149" s="182" t="s">
        <v>998</v>
      </c>
      <c r="D149" s="182" t="s">
        <v>34</v>
      </c>
      <c r="E149" s="182" t="s">
        <v>19</v>
      </c>
      <c r="F149" s="182">
        <v>30.0</v>
      </c>
      <c r="G149" s="182" t="s">
        <v>76</v>
      </c>
      <c r="H149" s="373">
        <v>46044.0</v>
      </c>
      <c r="I149" s="373">
        <v>46093.0</v>
      </c>
      <c r="J149" s="182">
        <v>65.0</v>
      </c>
      <c r="K149" s="182">
        <v>0.0</v>
      </c>
      <c r="L149" s="182">
        <v>65.0</v>
      </c>
      <c r="M149" s="140">
        <f t="shared" si="6"/>
        <v>0</v>
      </c>
      <c r="N149" s="186" t="s">
        <v>181</v>
      </c>
      <c r="O149" s="182" t="s">
        <v>70</v>
      </c>
      <c r="P149" s="380"/>
    </row>
    <row r="150">
      <c r="A150" s="154" t="s">
        <v>17</v>
      </c>
      <c r="B150" s="186" t="s">
        <v>996</v>
      </c>
      <c r="C150" s="186" t="s">
        <v>1012</v>
      </c>
      <c r="D150" s="186" t="s">
        <v>35</v>
      </c>
      <c r="E150" s="186" t="s">
        <v>20</v>
      </c>
      <c r="F150" s="186">
        <v>10.0</v>
      </c>
      <c r="G150" s="182" t="s">
        <v>92</v>
      </c>
      <c r="H150" s="188"/>
      <c r="I150" s="188"/>
      <c r="J150" s="186">
        <v>10.0</v>
      </c>
      <c r="K150" s="186">
        <v>0.0</v>
      </c>
      <c r="L150" s="186">
        <v>10.0</v>
      </c>
      <c r="M150" s="140">
        <f t="shared" si="6"/>
        <v>0</v>
      </c>
      <c r="N150" s="186" t="s">
        <v>1013</v>
      </c>
      <c r="O150" s="182" t="s">
        <v>70</v>
      </c>
      <c r="P150" s="311"/>
    </row>
    <row r="151">
      <c r="A151" s="154" t="s">
        <v>17</v>
      </c>
      <c r="B151" s="186" t="s">
        <v>1014</v>
      </c>
      <c r="C151" s="186" t="s">
        <v>1015</v>
      </c>
      <c r="D151" s="186" t="s">
        <v>35</v>
      </c>
      <c r="E151" s="186" t="s">
        <v>20</v>
      </c>
      <c r="F151" s="186">
        <v>10.0</v>
      </c>
      <c r="G151" s="182" t="s">
        <v>92</v>
      </c>
      <c r="H151" s="188"/>
      <c r="I151" s="188"/>
      <c r="J151" s="186">
        <v>10.0</v>
      </c>
      <c r="K151" s="186">
        <v>0.0</v>
      </c>
      <c r="L151" s="186">
        <v>10.0</v>
      </c>
      <c r="M151" s="140">
        <f t="shared" si="6"/>
        <v>0</v>
      </c>
      <c r="N151" s="186" t="s">
        <v>1002</v>
      </c>
      <c r="O151" s="182" t="s">
        <v>70</v>
      </c>
      <c r="P151" s="147"/>
    </row>
    <row r="152">
      <c r="A152" s="154" t="s">
        <v>17</v>
      </c>
      <c r="B152" s="144" t="s">
        <v>1016</v>
      </c>
      <c r="C152" s="144" t="s">
        <v>993</v>
      </c>
      <c r="D152" s="144" t="s">
        <v>35</v>
      </c>
      <c r="E152" s="144" t="s">
        <v>20</v>
      </c>
      <c r="F152" s="144">
        <v>8.0</v>
      </c>
      <c r="G152" s="144" t="s">
        <v>92</v>
      </c>
      <c r="H152" s="151"/>
      <c r="I152" s="151"/>
      <c r="J152" s="144">
        <v>8.0</v>
      </c>
      <c r="K152" s="144">
        <v>0.0</v>
      </c>
      <c r="L152" s="144">
        <v>8.0</v>
      </c>
      <c r="M152" s="140">
        <f t="shared" si="6"/>
        <v>0</v>
      </c>
      <c r="N152" s="141" t="s">
        <v>826</v>
      </c>
      <c r="O152" s="144" t="s">
        <v>70</v>
      </c>
      <c r="P152" s="311"/>
    </row>
    <row r="153">
      <c r="A153" s="154" t="s">
        <v>17</v>
      </c>
      <c r="B153" s="186" t="s">
        <v>1016</v>
      </c>
      <c r="C153" s="186" t="s">
        <v>1017</v>
      </c>
      <c r="D153" s="186" t="s">
        <v>35</v>
      </c>
      <c r="E153" s="186" t="s">
        <v>20</v>
      </c>
      <c r="F153" s="186">
        <v>10.0</v>
      </c>
      <c r="G153" s="182" t="s">
        <v>92</v>
      </c>
      <c r="H153" s="188"/>
      <c r="I153" s="188"/>
      <c r="J153" s="186">
        <v>10.0</v>
      </c>
      <c r="K153" s="186">
        <v>0.0</v>
      </c>
      <c r="L153" s="186">
        <v>10.0</v>
      </c>
      <c r="M153" s="140">
        <f t="shared" si="6"/>
        <v>0</v>
      </c>
      <c r="N153" s="186" t="s">
        <v>1002</v>
      </c>
      <c r="O153" s="182" t="s">
        <v>70</v>
      </c>
      <c r="P153" s="380"/>
    </row>
    <row r="154">
      <c r="A154" s="154" t="s">
        <v>17</v>
      </c>
      <c r="B154" s="144" t="s">
        <v>1018</v>
      </c>
      <c r="C154" s="144" t="s">
        <v>993</v>
      </c>
      <c r="D154" s="144" t="s">
        <v>35</v>
      </c>
      <c r="E154" s="144" t="s">
        <v>20</v>
      </c>
      <c r="F154" s="144">
        <v>8.0</v>
      </c>
      <c r="G154" s="144" t="s">
        <v>92</v>
      </c>
      <c r="H154" s="151"/>
      <c r="I154" s="151"/>
      <c r="J154" s="144">
        <v>8.0</v>
      </c>
      <c r="K154" s="144">
        <v>0.0</v>
      </c>
      <c r="L154" s="144">
        <v>8.0</v>
      </c>
      <c r="M154" s="140">
        <f t="shared" si="6"/>
        <v>0</v>
      </c>
      <c r="N154" s="141" t="s">
        <v>826</v>
      </c>
      <c r="O154" s="144" t="s">
        <v>70</v>
      </c>
      <c r="P154" s="380"/>
    </row>
    <row r="155">
      <c r="A155" s="154" t="s">
        <v>17</v>
      </c>
      <c r="B155" s="186" t="s">
        <v>1019</v>
      </c>
      <c r="C155" s="186" t="s">
        <v>993</v>
      </c>
      <c r="D155" s="186" t="s">
        <v>35</v>
      </c>
      <c r="E155" s="186" t="s">
        <v>20</v>
      </c>
      <c r="F155" s="186">
        <v>10.0</v>
      </c>
      <c r="G155" s="182" t="s">
        <v>92</v>
      </c>
      <c r="H155" s="188"/>
      <c r="I155" s="188"/>
      <c r="J155" s="186">
        <v>10.0</v>
      </c>
      <c r="K155" s="186">
        <v>0.0</v>
      </c>
      <c r="L155" s="186">
        <v>10.0</v>
      </c>
      <c r="M155" s="140">
        <f t="shared" si="6"/>
        <v>0</v>
      </c>
      <c r="N155" s="186" t="s">
        <v>1002</v>
      </c>
      <c r="O155" s="182" t="s">
        <v>70</v>
      </c>
      <c r="P155" s="380"/>
    </row>
    <row r="156">
      <c r="A156" s="154" t="s">
        <v>17</v>
      </c>
      <c r="B156" s="370" t="s">
        <v>1019</v>
      </c>
      <c r="C156" s="370" t="s">
        <v>998</v>
      </c>
      <c r="D156" s="144" t="s">
        <v>34</v>
      </c>
      <c r="E156" s="370" t="s">
        <v>19</v>
      </c>
      <c r="F156" s="370">
        <v>30.0</v>
      </c>
      <c r="G156" s="144" t="s">
        <v>76</v>
      </c>
      <c r="H156" s="368">
        <v>46044.0</v>
      </c>
      <c r="I156" s="368">
        <v>46093.0</v>
      </c>
      <c r="J156" s="370">
        <v>65.0</v>
      </c>
      <c r="K156" s="370">
        <v>0.0</v>
      </c>
      <c r="L156" s="370">
        <v>65.0</v>
      </c>
      <c r="M156" s="378">
        <f t="shared" si="6"/>
        <v>0</v>
      </c>
      <c r="N156" s="377" t="s">
        <v>181</v>
      </c>
      <c r="O156" s="144" t="s">
        <v>70</v>
      </c>
      <c r="P156" s="380"/>
    </row>
    <row r="157">
      <c r="A157" s="154" t="s">
        <v>17</v>
      </c>
      <c r="B157" s="144" t="s">
        <v>1020</v>
      </c>
      <c r="C157" s="144" t="s">
        <v>993</v>
      </c>
      <c r="D157" s="144" t="s">
        <v>35</v>
      </c>
      <c r="E157" s="144" t="s">
        <v>20</v>
      </c>
      <c r="F157" s="144">
        <v>8.0</v>
      </c>
      <c r="G157" s="144" t="s">
        <v>92</v>
      </c>
      <c r="H157" s="151"/>
      <c r="I157" s="151"/>
      <c r="J157" s="144">
        <v>8.0</v>
      </c>
      <c r="K157" s="144">
        <v>0.0</v>
      </c>
      <c r="L157" s="144">
        <v>8.0</v>
      </c>
      <c r="M157" s="140">
        <f t="shared" si="6"/>
        <v>0</v>
      </c>
      <c r="N157" s="141" t="s">
        <v>826</v>
      </c>
      <c r="O157" s="144" t="s">
        <v>70</v>
      </c>
      <c r="P157" s="223"/>
    </row>
    <row r="158">
      <c r="A158" s="154" t="s">
        <v>17</v>
      </c>
      <c r="B158" s="186" t="s">
        <v>1020</v>
      </c>
      <c r="C158" s="186" t="s">
        <v>1021</v>
      </c>
      <c r="D158" s="186" t="s">
        <v>35</v>
      </c>
      <c r="E158" s="186" t="s">
        <v>20</v>
      </c>
      <c r="F158" s="186">
        <v>10.0</v>
      </c>
      <c r="G158" s="182" t="s">
        <v>92</v>
      </c>
      <c r="H158" s="188"/>
      <c r="I158" s="188"/>
      <c r="J158" s="186">
        <v>10.0</v>
      </c>
      <c r="K158" s="186">
        <v>0.0</v>
      </c>
      <c r="L158" s="186">
        <v>10.0</v>
      </c>
      <c r="M158" s="140">
        <f t="shared" si="6"/>
        <v>0</v>
      </c>
      <c r="N158" s="186" t="s">
        <v>1002</v>
      </c>
      <c r="O158" s="182" t="s">
        <v>70</v>
      </c>
      <c r="P158" s="311"/>
    </row>
    <row r="159">
      <c r="A159" s="154" t="s">
        <v>17</v>
      </c>
      <c r="B159" s="186" t="s">
        <v>1020</v>
      </c>
      <c r="C159" s="186" t="s">
        <v>1015</v>
      </c>
      <c r="D159" s="186" t="s">
        <v>35</v>
      </c>
      <c r="E159" s="186" t="s">
        <v>19</v>
      </c>
      <c r="F159" s="186">
        <v>10.0</v>
      </c>
      <c r="G159" s="182" t="s">
        <v>92</v>
      </c>
      <c r="H159" s="348"/>
      <c r="I159" s="348"/>
      <c r="J159" s="186">
        <v>10.0</v>
      </c>
      <c r="K159" s="186">
        <v>0.0</v>
      </c>
      <c r="L159" s="186">
        <v>10.0</v>
      </c>
      <c r="M159" s="140">
        <f t="shared" si="6"/>
        <v>0</v>
      </c>
      <c r="N159" s="186" t="s">
        <v>1002</v>
      </c>
      <c r="O159" s="182" t="s">
        <v>70</v>
      </c>
      <c r="P159" s="380"/>
    </row>
    <row r="160">
      <c r="A160" s="154" t="s">
        <v>17</v>
      </c>
      <c r="B160" s="182" t="s">
        <v>1020</v>
      </c>
      <c r="C160" s="182" t="s">
        <v>998</v>
      </c>
      <c r="D160" s="182" t="s">
        <v>34</v>
      </c>
      <c r="E160" s="182" t="s">
        <v>19</v>
      </c>
      <c r="F160" s="182">
        <v>30.0</v>
      </c>
      <c r="G160" s="182" t="s">
        <v>76</v>
      </c>
      <c r="H160" s="373">
        <v>46044.0</v>
      </c>
      <c r="I160" s="373">
        <v>46093.0</v>
      </c>
      <c r="J160" s="182">
        <v>65.0</v>
      </c>
      <c r="K160" s="182">
        <v>0.0</v>
      </c>
      <c r="L160" s="182">
        <v>65.0</v>
      </c>
      <c r="M160" s="140">
        <f t="shared" si="6"/>
        <v>0</v>
      </c>
      <c r="N160" s="186" t="s">
        <v>181</v>
      </c>
      <c r="O160" s="182" t="s">
        <v>70</v>
      </c>
      <c r="P160" s="380"/>
    </row>
    <row r="161">
      <c r="A161" s="154" t="s">
        <v>17</v>
      </c>
      <c r="B161" s="144" t="s">
        <v>1022</v>
      </c>
      <c r="C161" s="144" t="s">
        <v>993</v>
      </c>
      <c r="D161" s="144" t="s">
        <v>35</v>
      </c>
      <c r="E161" s="144" t="s">
        <v>20</v>
      </c>
      <c r="F161" s="144">
        <v>8.0</v>
      </c>
      <c r="G161" s="144" t="s">
        <v>92</v>
      </c>
      <c r="H161" s="151"/>
      <c r="I161" s="151"/>
      <c r="J161" s="144">
        <v>8.0</v>
      </c>
      <c r="K161" s="144">
        <v>0.0</v>
      </c>
      <c r="L161" s="144">
        <v>8.0</v>
      </c>
      <c r="M161" s="140">
        <f t="shared" si="6"/>
        <v>0</v>
      </c>
      <c r="N161" s="141" t="s">
        <v>826</v>
      </c>
      <c r="O161" s="144" t="s">
        <v>70</v>
      </c>
      <c r="P161" s="311"/>
    </row>
    <row r="162">
      <c r="A162" s="154" t="s">
        <v>17</v>
      </c>
      <c r="B162" s="186" t="s">
        <v>1023</v>
      </c>
      <c r="C162" s="186" t="s">
        <v>1015</v>
      </c>
      <c r="D162" s="186" t="s">
        <v>35</v>
      </c>
      <c r="E162" s="186" t="s">
        <v>19</v>
      </c>
      <c r="F162" s="186">
        <v>10.0</v>
      </c>
      <c r="G162" s="182" t="s">
        <v>92</v>
      </c>
      <c r="H162" s="188"/>
      <c r="I162" s="188"/>
      <c r="J162" s="186">
        <v>10.0</v>
      </c>
      <c r="K162" s="186">
        <v>0.0</v>
      </c>
      <c r="L162" s="186">
        <v>10.0</v>
      </c>
      <c r="M162" s="140">
        <f t="shared" si="6"/>
        <v>0</v>
      </c>
      <c r="N162" s="186" t="s">
        <v>1002</v>
      </c>
      <c r="O162" s="182" t="s">
        <v>70</v>
      </c>
      <c r="P162" s="147"/>
    </row>
    <row r="163">
      <c r="A163" s="154" t="s">
        <v>17</v>
      </c>
      <c r="B163" s="186" t="s">
        <v>1024</v>
      </c>
      <c r="C163" s="186" t="s">
        <v>1025</v>
      </c>
      <c r="D163" s="186" t="s">
        <v>35</v>
      </c>
      <c r="E163" s="186" t="s">
        <v>19</v>
      </c>
      <c r="F163" s="186">
        <v>10.0</v>
      </c>
      <c r="G163" s="182" t="s">
        <v>92</v>
      </c>
      <c r="H163" s="188"/>
      <c r="I163" s="188"/>
      <c r="J163" s="186">
        <v>10.0</v>
      </c>
      <c r="K163" s="186">
        <v>0.0</v>
      </c>
      <c r="L163" s="186">
        <v>10.0</v>
      </c>
      <c r="M163" s="140">
        <f t="shared" si="6"/>
        <v>0</v>
      </c>
      <c r="N163" s="186" t="s">
        <v>851</v>
      </c>
      <c r="O163" s="182" t="s">
        <v>70</v>
      </c>
      <c r="P163" s="311"/>
    </row>
    <row r="164" ht="30.0" customHeight="1">
      <c r="A164" s="384" t="s">
        <v>17</v>
      </c>
      <c r="B164" s="144" t="s">
        <v>1026</v>
      </c>
      <c r="C164" s="144" t="s">
        <v>993</v>
      </c>
      <c r="D164" s="144" t="s">
        <v>35</v>
      </c>
      <c r="E164" s="144" t="s">
        <v>20</v>
      </c>
      <c r="F164" s="144">
        <v>8.0</v>
      </c>
      <c r="G164" s="144" t="s">
        <v>92</v>
      </c>
      <c r="H164" s="151"/>
      <c r="I164" s="151"/>
      <c r="J164" s="144">
        <v>8.0</v>
      </c>
      <c r="K164" s="144">
        <v>0.0</v>
      </c>
      <c r="L164" s="144">
        <v>8.0</v>
      </c>
      <c r="M164" s="140">
        <f t="shared" si="6"/>
        <v>0</v>
      </c>
      <c r="N164" s="141" t="s">
        <v>826</v>
      </c>
      <c r="O164" s="144" t="s">
        <v>70</v>
      </c>
      <c r="P164" s="380"/>
    </row>
    <row r="165" ht="30.0" customHeight="1">
      <c r="A165" s="384" t="s">
        <v>17</v>
      </c>
      <c r="B165" s="186" t="s">
        <v>1026</v>
      </c>
      <c r="C165" s="186" t="s">
        <v>1027</v>
      </c>
      <c r="D165" s="186" t="s">
        <v>35</v>
      </c>
      <c r="E165" s="186" t="s">
        <v>23</v>
      </c>
      <c r="F165" s="186">
        <v>10.0</v>
      </c>
      <c r="G165" s="182" t="s">
        <v>92</v>
      </c>
      <c r="H165" s="188"/>
      <c r="I165" s="188"/>
      <c r="J165" s="186">
        <v>10.0</v>
      </c>
      <c r="K165" s="186">
        <v>0.0</v>
      </c>
      <c r="L165" s="186">
        <v>10.0</v>
      </c>
      <c r="M165" s="140">
        <f t="shared" si="6"/>
        <v>0</v>
      </c>
      <c r="N165" s="186" t="s">
        <v>1002</v>
      </c>
      <c r="O165" s="182" t="s">
        <v>70</v>
      </c>
      <c r="P165" s="147"/>
    </row>
    <row r="166">
      <c r="A166" s="384" t="s">
        <v>17</v>
      </c>
      <c r="B166" s="182" t="s">
        <v>1028</v>
      </c>
      <c r="C166" s="182" t="s">
        <v>998</v>
      </c>
      <c r="D166" s="182" t="s">
        <v>34</v>
      </c>
      <c r="E166" s="182" t="s">
        <v>19</v>
      </c>
      <c r="F166" s="182">
        <v>30.0</v>
      </c>
      <c r="G166" s="182" t="s">
        <v>76</v>
      </c>
      <c r="H166" s="373">
        <v>46044.0</v>
      </c>
      <c r="I166" s="373">
        <v>46093.0</v>
      </c>
      <c r="J166" s="182">
        <v>65.0</v>
      </c>
      <c r="K166" s="182">
        <v>0.0</v>
      </c>
      <c r="L166" s="182">
        <v>65.0</v>
      </c>
      <c r="M166" s="140">
        <f t="shared" si="6"/>
        <v>0</v>
      </c>
      <c r="N166" s="186" t="s">
        <v>181</v>
      </c>
      <c r="O166" s="182" t="s">
        <v>70</v>
      </c>
      <c r="P166" s="223"/>
    </row>
    <row r="167">
      <c r="A167" s="384" t="s">
        <v>17</v>
      </c>
      <c r="B167" s="186" t="s">
        <v>1029</v>
      </c>
      <c r="C167" s="186" t="s">
        <v>1030</v>
      </c>
      <c r="D167" s="186" t="s">
        <v>35</v>
      </c>
      <c r="E167" s="186" t="s">
        <v>20</v>
      </c>
      <c r="F167" s="186">
        <v>10.0</v>
      </c>
      <c r="G167" s="182" t="s">
        <v>92</v>
      </c>
      <c r="H167" s="348"/>
      <c r="I167" s="348"/>
      <c r="J167" s="186">
        <v>10.0</v>
      </c>
      <c r="K167" s="186">
        <v>0.0</v>
      </c>
      <c r="L167" s="186">
        <v>10.0</v>
      </c>
      <c r="M167" s="140">
        <f t="shared" si="6"/>
        <v>0</v>
      </c>
      <c r="N167" s="186" t="s">
        <v>1002</v>
      </c>
      <c r="O167" s="182" t="s">
        <v>70</v>
      </c>
      <c r="P167" s="380"/>
    </row>
    <row r="168">
      <c r="A168" s="270" t="s">
        <v>17</v>
      </c>
      <c r="B168" s="182" t="s">
        <v>1031</v>
      </c>
      <c r="C168" s="182" t="s">
        <v>1032</v>
      </c>
      <c r="D168" s="182" t="s">
        <v>34</v>
      </c>
      <c r="E168" s="182" t="s">
        <v>23</v>
      </c>
      <c r="F168" s="182">
        <v>20.0</v>
      </c>
      <c r="G168" s="182" t="s">
        <v>76</v>
      </c>
      <c r="H168" s="372">
        <v>46078.0</v>
      </c>
      <c r="I168" s="372">
        <v>46092.0</v>
      </c>
      <c r="J168" s="182">
        <v>40.0</v>
      </c>
      <c r="K168" s="182"/>
      <c r="L168" s="182">
        <v>40.0</v>
      </c>
      <c r="M168" s="140">
        <f t="shared" si="6"/>
        <v>0</v>
      </c>
      <c r="N168" s="186" t="s">
        <v>1033</v>
      </c>
      <c r="O168" s="182" t="s">
        <v>70</v>
      </c>
      <c r="P168" s="380"/>
    </row>
    <row r="169">
      <c r="A169" s="384" t="s">
        <v>17</v>
      </c>
      <c r="B169" s="144" t="s">
        <v>1031</v>
      </c>
      <c r="C169" s="144" t="s">
        <v>993</v>
      </c>
      <c r="D169" s="144" t="s">
        <v>35</v>
      </c>
      <c r="E169" s="144" t="s">
        <v>20</v>
      </c>
      <c r="F169" s="144">
        <v>8.0</v>
      </c>
      <c r="G169" s="144" t="s">
        <v>92</v>
      </c>
      <c r="H169" s="151"/>
      <c r="I169" s="151"/>
      <c r="J169" s="144">
        <v>8.0</v>
      </c>
      <c r="K169" s="144">
        <v>0.0</v>
      </c>
      <c r="L169" s="144">
        <v>8.0</v>
      </c>
      <c r="M169" s="140">
        <f t="shared" si="6"/>
        <v>0</v>
      </c>
      <c r="N169" s="141" t="s">
        <v>826</v>
      </c>
      <c r="O169" s="144" t="s">
        <v>70</v>
      </c>
      <c r="P169" s="311"/>
    </row>
    <row r="170">
      <c r="A170" s="384" t="s">
        <v>17</v>
      </c>
      <c r="B170" s="144" t="s">
        <v>1034</v>
      </c>
      <c r="C170" s="144" t="s">
        <v>993</v>
      </c>
      <c r="D170" s="144" t="s">
        <v>35</v>
      </c>
      <c r="E170" s="144" t="s">
        <v>20</v>
      </c>
      <c r="F170" s="144">
        <v>8.0</v>
      </c>
      <c r="G170" s="144" t="s">
        <v>92</v>
      </c>
      <c r="H170" s="151"/>
      <c r="I170" s="151"/>
      <c r="J170" s="144">
        <v>8.0</v>
      </c>
      <c r="K170" s="144">
        <v>0.0</v>
      </c>
      <c r="L170" s="144">
        <v>8.0</v>
      </c>
      <c r="M170" s="140">
        <f t="shared" si="6"/>
        <v>0</v>
      </c>
      <c r="N170" s="141" t="s">
        <v>826</v>
      </c>
      <c r="O170" s="144" t="s">
        <v>70</v>
      </c>
      <c r="P170" s="380"/>
    </row>
    <row r="171">
      <c r="A171" s="384" t="s">
        <v>17</v>
      </c>
      <c r="B171" s="186" t="s">
        <v>1034</v>
      </c>
      <c r="C171" s="186" t="s">
        <v>1035</v>
      </c>
      <c r="D171" s="186" t="s">
        <v>35</v>
      </c>
      <c r="E171" s="186" t="s">
        <v>22</v>
      </c>
      <c r="F171" s="186">
        <v>10.0</v>
      </c>
      <c r="G171" s="182" t="s">
        <v>92</v>
      </c>
      <c r="H171" s="188"/>
      <c r="I171" s="188"/>
      <c r="J171" s="186">
        <v>10.0</v>
      </c>
      <c r="K171" s="186">
        <v>0.0</v>
      </c>
      <c r="L171" s="186">
        <v>10.0</v>
      </c>
      <c r="M171" s="140">
        <f t="shared" si="6"/>
        <v>0</v>
      </c>
      <c r="N171" s="186" t="s">
        <v>1002</v>
      </c>
      <c r="O171" s="182" t="s">
        <v>70</v>
      </c>
      <c r="P171" s="380"/>
    </row>
    <row r="172">
      <c r="A172" s="384" t="s">
        <v>17</v>
      </c>
      <c r="B172" s="370" t="s">
        <v>1034</v>
      </c>
      <c r="C172" s="370" t="s">
        <v>998</v>
      </c>
      <c r="D172" s="144" t="s">
        <v>34</v>
      </c>
      <c r="E172" s="370" t="s">
        <v>19</v>
      </c>
      <c r="F172" s="370">
        <v>30.0</v>
      </c>
      <c r="G172" s="144" t="s">
        <v>76</v>
      </c>
      <c r="H172" s="368">
        <v>46044.0</v>
      </c>
      <c r="I172" s="368">
        <v>46093.0</v>
      </c>
      <c r="J172" s="370">
        <v>65.0</v>
      </c>
      <c r="K172" s="370">
        <v>0.0</v>
      </c>
      <c r="L172" s="370">
        <v>65.0</v>
      </c>
      <c r="M172" s="376">
        <f t="shared" si="6"/>
        <v>0</v>
      </c>
      <c r="N172" s="377" t="s">
        <v>181</v>
      </c>
      <c r="O172" s="144" t="s">
        <v>70</v>
      </c>
      <c r="P172" s="380"/>
    </row>
    <row r="173">
      <c r="A173" s="384" t="s">
        <v>17</v>
      </c>
      <c r="B173" s="182" t="s">
        <v>1034</v>
      </c>
      <c r="C173" s="182" t="s">
        <v>1036</v>
      </c>
      <c r="D173" s="182" t="s">
        <v>35</v>
      </c>
      <c r="E173" s="182" t="s">
        <v>23</v>
      </c>
      <c r="F173" s="182">
        <v>11.0</v>
      </c>
      <c r="G173" s="182" t="s">
        <v>92</v>
      </c>
      <c r="H173" s="373"/>
      <c r="I173" s="373"/>
      <c r="J173" s="182">
        <v>13.0</v>
      </c>
      <c r="K173" s="182"/>
      <c r="L173" s="182">
        <v>13.0</v>
      </c>
      <c r="M173" s="140">
        <f t="shared" si="6"/>
        <v>0</v>
      </c>
      <c r="N173" s="186" t="s">
        <v>1000</v>
      </c>
      <c r="O173" s="182" t="s">
        <v>70</v>
      </c>
      <c r="P173" s="311"/>
    </row>
    <row r="174">
      <c r="A174" s="384" t="s">
        <v>17</v>
      </c>
      <c r="B174" s="186" t="s">
        <v>1037</v>
      </c>
      <c r="C174" s="186" t="s">
        <v>1030</v>
      </c>
      <c r="D174" s="186" t="s">
        <v>35</v>
      </c>
      <c r="E174" s="186" t="s">
        <v>20</v>
      </c>
      <c r="F174" s="186">
        <v>10.0</v>
      </c>
      <c r="G174" s="182" t="s">
        <v>92</v>
      </c>
      <c r="H174" s="188"/>
      <c r="I174" s="188"/>
      <c r="J174" s="186">
        <v>10.0</v>
      </c>
      <c r="K174" s="186">
        <v>0.0</v>
      </c>
      <c r="L174" s="186">
        <v>10.0</v>
      </c>
      <c r="M174" s="140">
        <f t="shared" si="6"/>
        <v>0</v>
      </c>
      <c r="N174" s="186" t="s">
        <v>1002</v>
      </c>
      <c r="O174" s="182" t="s">
        <v>70</v>
      </c>
      <c r="P174" s="147"/>
    </row>
    <row r="175" ht="30.0" customHeight="1">
      <c r="A175" s="384" t="s">
        <v>17</v>
      </c>
      <c r="B175" s="182" t="s">
        <v>1037</v>
      </c>
      <c r="C175" s="182" t="s">
        <v>998</v>
      </c>
      <c r="D175" s="182" t="s">
        <v>34</v>
      </c>
      <c r="E175" s="182" t="s">
        <v>19</v>
      </c>
      <c r="F175" s="182">
        <v>30.0</v>
      </c>
      <c r="G175" s="182" t="s">
        <v>76</v>
      </c>
      <c r="H175" s="373">
        <v>46044.0</v>
      </c>
      <c r="I175" s="373">
        <v>46093.0</v>
      </c>
      <c r="J175" s="182">
        <v>65.0</v>
      </c>
      <c r="K175" s="182">
        <v>0.0</v>
      </c>
      <c r="L175" s="182">
        <v>65.0</v>
      </c>
      <c r="M175" s="140">
        <f t="shared" si="6"/>
        <v>0</v>
      </c>
      <c r="N175" s="186" t="s">
        <v>181</v>
      </c>
      <c r="O175" s="182" t="s">
        <v>70</v>
      </c>
      <c r="P175" s="380"/>
    </row>
    <row r="176" ht="30.0" customHeight="1">
      <c r="A176" s="384" t="s">
        <v>17</v>
      </c>
      <c r="B176" s="370" t="s">
        <v>1037</v>
      </c>
      <c r="C176" s="370" t="s">
        <v>999</v>
      </c>
      <c r="D176" s="166" t="s">
        <v>35</v>
      </c>
      <c r="E176" s="370" t="s">
        <v>20</v>
      </c>
      <c r="F176" s="370">
        <v>8.0</v>
      </c>
      <c r="G176" s="144" t="s">
        <v>92</v>
      </c>
      <c r="H176" s="151"/>
      <c r="I176" s="151"/>
      <c r="J176" s="370">
        <v>8.0</v>
      </c>
      <c r="K176" s="164"/>
      <c r="L176" s="370">
        <v>8.0</v>
      </c>
      <c r="M176" s="378">
        <f t="shared" si="6"/>
        <v>0</v>
      </c>
      <c r="N176" s="385" t="s">
        <v>1000</v>
      </c>
      <c r="O176" s="144" t="s">
        <v>70</v>
      </c>
      <c r="P176" s="380"/>
    </row>
    <row r="177" ht="30.0" customHeight="1">
      <c r="A177" s="384" t="s">
        <v>17</v>
      </c>
      <c r="B177" s="144" t="s">
        <v>1038</v>
      </c>
      <c r="C177" s="144" t="s">
        <v>993</v>
      </c>
      <c r="D177" s="144" t="s">
        <v>35</v>
      </c>
      <c r="E177" s="144" t="s">
        <v>20</v>
      </c>
      <c r="F177" s="144">
        <v>8.0</v>
      </c>
      <c r="G177" s="144" t="s">
        <v>92</v>
      </c>
      <c r="H177" s="151"/>
      <c r="I177" s="151"/>
      <c r="J177" s="144">
        <v>8.0</v>
      </c>
      <c r="K177" s="144">
        <v>0.0</v>
      </c>
      <c r="L177" s="144">
        <v>8.0</v>
      </c>
      <c r="M177" s="140">
        <f t="shared" si="6"/>
        <v>0</v>
      </c>
      <c r="N177" s="141" t="s">
        <v>826</v>
      </c>
      <c r="O177" s="144" t="s">
        <v>70</v>
      </c>
      <c r="P177" s="147"/>
    </row>
    <row r="178" ht="30.0" customHeight="1">
      <c r="A178" s="384" t="s">
        <v>17</v>
      </c>
      <c r="B178" s="144" t="s">
        <v>1039</v>
      </c>
      <c r="C178" s="144" t="s">
        <v>993</v>
      </c>
      <c r="D178" s="144" t="s">
        <v>35</v>
      </c>
      <c r="E178" s="144" t="s">
        <v>20</v>
      </c>
      <c r="F178" s="144">
        <v>8.0</v>
      </c>
      <c r="G178" s="144" t="s">
        <v>92</v>
      </c>
      <c r="H178" s="151"/>
      <c r="I178" s="151"/>
      <c r="J178" s="144">
        <v>8.0</v>
      </c>
      <c r="K178" s="144">
        <v>0.0</v>
      </c>
      <c r="L178" s="144">
        <v>8.0</v>
      </c>
      <c r="M178" s="140">
        <f t="shared" si="6"/>
        <v>0</v>
      </c>
      <c r="N178" s="141" t="s">
        <v>826</v>
      </c>
      <c r="O178" s="144" t="s">
        <v>70</v>
      </c>
      <c r="P178" s="380"/>
    </row>
    <row r="179" ht="30.0" customHeight="1">
      <c r="A179" s="384" t="s">
        <v>17</v>
      </c>
      <c r="B179" s="186" t="s">
        <v>1039</v>
      </c>
      <c r="C179" s="186" t="s">
        <v>1027</v>
      </c>
      <c r="D179" s="186" t="s">
        <v>35</v>
      </c>
      <c r="E179" s="186" t="s">
        <v>23</v>
      </c>
      <c r="F179" s="186">
        <v>10.0</v>
      </c>
      <c r="G179" s="182" t="s">
        <v>92</v>
      </c>
      <c r="H179" s="188"/>
      <c r="I179" s="188"/>
      <c r="J179" s="186">
        <v>10.0</v>
      </c>
      <c r="K179" s="186">
        <v>0.0</v>
      </c>
      <c r="L179" s="186">
        <v>10.0</v>
      </c>
      <c r="M179" s="140">
        <f t="shared" si="6"/>
        <v>0</v>
      </c>
      <c r="N179" s="186" t="s">
        <v>1002</v>
      </c>
      <c r="O179" s="182" t="s">
        <v>70</v>
      </c>
      <c r="P179" s="380"/>
    </row>
    <row r="180">
      <c r="A180" s="384" t="s">
        <v>17</v>
      </c>
      <c r="B180" s="186" t="s">
        <v>1039</v>
      </c>
      <c r="C180" s="186" t="s">
        <v>1027</v>
      </c>
      <c r="D180" s="186" t="s">
        <v>35</v>
      </c>
      <c r="E180" s="186" t="s">
        <v>23</v>
      </c>
      <c r="F180" s="186">
        <v>10.0</v>
      </c>
      <c r="G180" s="182" t="s">
        <v>92</v>
      </c>
      <c r="H180" s="188"/>
      <c r="I180" s="188"/>
      <c r="J180" s="186">
        <v>10.0</v>
      </c>
      <c r="K180" s="186">
        <v>0.0</v>
      </c>
      <c r="L180" s="186">
        <v>10.0</v>
      </c>
      <c r="M180" s="140">
        <f t="shared" si="6"/>
        <v>0</v>
      </c>
      <c r="N180" s="186" t="s">
        <v>1002</v>
      </c>
      <c r="O180" s="182" t="s">
        <v>70</v>
      </c>
      <c r="P180" s="311"/>
    </row>
    <row r="181" ht="30.0" customHeight="1">
      <c r="A181" s="384" t="s">
        <v>17</v>
      </c>
      <c r="B181" s="141" t="s">
        <v>1040</v>
      </c>
      <c r="C181" s="141" t="s">
        <v>1041</v>
      </c>
      <c r="D181" s="141" t="s">
        <v>35</v>
      </c>
      <c r="E181" s="141" t="s">
        <v>19</v>
      </c>
      <c r="F181" s="142">
        <v>10.0</v>
      </c>
      <c r="G181" s="142" t="s">
        <v>92</v>
      </c>
      <c r="H181" s="151"/>
      <c r="I181" s="151"/>
      <c r="J181" s="141">
        <v>10.0</v>
      </c>
      <c r="K181" s="141">
        <v>0.0</v>
      </c>
      <c r="L181" s="142">
        <v>10.0</v>
      </c>
      <c r="M181" s="140">
        <f t="shared" si="6"/>
        <v>0</v>
      </c>
      <c r="N181" s="141" t="s">
        <v>871</v>
      </c>
      <c r="O181" s="142" t="s">
        <v>70</v>
      </c>
      <c r="P181" s="147"/>
    </row>
    <row r="182" ht="30.0" customHeight="1">
      <c r="A182" s="384" t="s">
        <v>17</v>
      </c>
      <c r="B182" s="141" t="s">
        <v>1040</v>
      </c>
      <c r="C182" s="141" t="s">
        <v>1041</v>
      </c>
      <c r="D182" s="141" t="s">
        <v>35</v>
      </c>
      <c r="E182" s="141" t="s">
        <v>19</v>
      </c>
      <c r="F182" s="142">
        <v>10.0</v>
      </c>
      <c r="G182" s="142" t="s">
        <v>92</v>
      </c>
      <c r="H182" s="151"/>
      <c r="I182" s="151"/>
      <c r="J182" s="141">
        <v>10.0</v>
      </c>
      <c r="K182" s="141">
        <v>0.0</v>
      </c>
      <c r="L182" s="142">
        <v>10.0</v>
      </c>
      <c r="M182" s="140">
        <f t="shared" si="6"/>
        <v>0</v>
      </c>
      <c r="N182" s="141" t="s">
        <v>871</v>
      </c>
      <c r="O182" s="142" t="s">
        <v>70</v>
      </c>
      <c r="P182" s="147"/>
    </row>
    <row r="183" ht="30.0" customHeight="1">
      <c r="A183" s="384" t="s">
        <v>17</v>
      </c>
      <c r="B183" s="144" t="s">
        <v>1040</v>
      </c>
      <c r="C183" s="144" t="s">
        <v>993</v>
      </c>
      <c r="D183" s="144" t="s">
        <v>35</v>
      </c>
      <c r="E183" s="144" t="s">
        <v>20</v>
      </c>
      <c r="F183" s="144">
        <v>8.0</v>
      </c>
      <c r="G183" s="144" t="s">
        <v>92</v>
      </c>
      <c r="H183" s="151"/>
      <c r="I183" s="151"/>
      <c r="J183" s="144">
        <v>8.0</v>
      </c>
      <c r="K183" s="144">
        <v>0.0</v>
      </c>
      <c r="L183" s="144">
        <v>8.0</v>
      </c>
      <c r="M183" s="140">
        <f t="shared" si="6"/>
        <v>0</v>
      </c>
      <c r="N183" s="141" t="s">
        <v>826</v>
      </c>
      <c r="O183" s="144" t="s">
        <v>70</v>
      </c>
      <c r="P183" s="147"/>
    </row>
    <row r="184">
      <c r="A184" s="384" t="s">
        <v>17</v>
      </c>
      <c r="B184" s="186" t="s">
        <v>1042</v>
      </c>
      <c r="C184" s="186" t="s">
        <v>993</v>
      </c>
      <c r="D184" s="186" t="s">
        <v>35</v>
      </c>
      <c r="E184" s="186" t="s">
        <v>20</v>
      </c>
      <c r="F184" s="186">
        <v>10.0</v>
      </c>
      <c r="G184" s="182" t="s">
        <v>92</v>
      </c>
      <c r="H184" s="188"/>
      <c r="I184" s="188"/>
      <c r="J184" s="186">
        <v>10.0</v>
      </c>
      <c r="K184" s="186">
        <v>0.0</v>
      </c>
      <c r="L184" s="186">
        <v>10.0</v>
      </c>
      <c r="M184" s="140">
        <f t="shared" si="6"/>
        <v>0</v>
      </c>
      <c r="N184" s="186" t="s">
        <v>1002</v>
      </c>
      <c r="O184" s="182" t="s">
        <v>70</v>
      </c>
      <c r="P184" s="223"/>
    </row>
    <row r="185">
      <c r="A185" s="384" t="s">
        <v>17</v>
      </c>
      <c r="B185" s="144" t="s">
        <v>1043</v>
      </c>
      <c r="C185" s="144" t="s">
        <v>993</v>
      </c>
      <c r="D185" s="144" t="s">
        <v>35</v>
      </c>
      <c r="E185" s="144" t="s">
        <v>20</v>
      </c>
      <c r="F185" s="144">
        <v>8.0</v>
      </c>
      <c r="G185" s="144" t="s">
        <v>92</v>
      </c>
      <c r="H185" s="151"/>
      <c r="I185" s="151"/>
      <c r="J185" s="144">
        <v>8.0</v>
      </c>
      <c r="K185" s="144">
        <v>0.0</v>
      </c>
      <c r="L185" s="144">
        <v>8.0</v>
      </c>
      <c r="M185" s="140">
        <f t="shared" si="6"/>
        <v>0</v>
      </c>
      <c r="N185" s="141" t="s">
        <v>826</v>
      </c>
      <c r="O185" s="144" t="s">
        <v>70</v>
      </c>
      <c r="P185" s="311"/>
    </row>
    <row r="186" ht="30.0" customHeight="1">
      <c r="A186" s="384" t="s">
        <v>17</v>
      </c>
      <c r="B186" s="186" t="s">
        <v>1043</v>
      </c>
      <c r="C186" s="186" t="s">
        <v>1044</v>
      </c>
      <c r="D186" s="186" t="s">
        <v>35</v>
      </c>
      <c r="E186" s="186" t="s">
        <v>20</v>
      </c>
      <c r="F186" s="186">
        <v>10.0</v>
      </c>
      <c r="G186" s="182" t="s">
        <v>92</v>
      </c>
      <c r="H186" s="188"/>
      <c r="I186" s="188"/>
      <c r="J186" s="186">
        <v>10.0</v>
      </c>
      <c r="K186" s="186">
        <v>0.0</v>
      </c>
      <c r="L186" s="186">
        <v>10.0</v>
      </c>
      <c r="M186" s="140">
        <f t="shared" si="6"/>
        <v>0</v>
      </c>
      <c r="N186" s="186" t="s">
        <v>1002</v>
      </c>
      <c r="O186" s="182" t="s">
        <v>70</v>
      </c>
      <c r="P186" s="311"/>
    </row>
    <row r="187" ht="30.0" customHeight="1">
      <c r="A187" s="384" t="s">
        <v>17</v>
      </c>
      <c r="B187" s="182" t="s">
        <v>1045</v>
      </c>
      <c r="C187" s="182" t="s">
        <v>1046</v>
      </c>
      <c r="D187" s="182" t="s">
        <v>35</v>
      </c>
      <c r="E187" s="182" t="s">
        <v>19</v>
      </c>
      <c r="F187" s="182">
        <v>10.0</v>
      </c>
      <c r="G187" s="142" t="s">
        <v>92</v>
      </c>
      <c r="H187" s="143"/>
      <c r="I187" s="143"/>
      <c r="J187" s="182">
        <v>10.0</v>
      </c>
      <c r="K187" s="144"/>
      <c r="L187" s="182">
        <v>10.0</v>
      </c>
      <c r="M187" s="182">
        <v>0.0</v>
      </c>
      <c r="N187" s="181" t="s">
        <v>1047</v>
      </c>
      <c r="O187" s="182" t="s">
        <v>70</v>
      </c>
      <c r="P187" s="380"/>
    </row>
    <row r="188" ht="30.0" customHeight="1">
      <c r="A188" s="154" t="s">
        <v>17</v>
      </c>
      <c r="B188" s="186" t="s">
        <v>1048</v>
      </c>
      <c r="C188" s="186" t="s">
        <v>1010</v>
      </c>
      <c r="D188" s="186" t="s">
        <v>35</v>
      </c>
      <c r="E188" s="186" t="s">
        <v>20</v>
      </c>
      <c r="F188" s="186">
        <v>10.0</v>
      </c>
      <c r="G188" s="182" t="s">
        <v>92</v>
      </c>
      <c r="H188" s="188"/>
      <c r="I188" s="188"/>
      <c r="J188" s="186">
        <v>10.0</v>
      </c>
      <c r="K188" s="186">
        <v>0.0</v>
      </c>
      <c r="L188" s="186">
        <v>10.0</v>
      </c>
      <c r="M188" s="140">
        <f t="shared" ref="M188:M201" si="7">J188-L188-K188</f>
        <v>0</v>
      </c>
      <c r="N188" s="186" t="s">
        <v>851</v>
      </c>
      <c r="O188" s="182" t="s">
        <v>70</v>
      </c>
      <c r="P188" s="147"/>
    </row>
    <row r="189">
      <c r="A189" s="270" t="s">
        <v>17</v>
      </c>
      <c r="B189" s="186" t="s">
        <v>1049</v>
      </c>
      <c r="C189" s="186" t="s">
        <v>1030</v>
      </c>
      <c r="D189" s="186" t="s">
        <v>35</v>
      </c>
      <c r="E189" s="186" t="s">
        <v>20</v>
      </c>
      <c r="F189" s="186">
        <v>10.0</v>
      </c>
      <c r="G189" s="182" t="s">
        <v>92</v>
      </c>
      <c r="H189" s="188"/>
      <c r="I189" s="188"/>
      <c r="J189" s="186">
        <v>10.0</v>
      </c>
      <c r="K189" s="186">
        <v>0.0</v>
      </c>
      <c r="L189" s="186">
        <v>10.0</v>
      </c>
      <c r="M189" s="140">
        <f t="shared" si="7"/>
        <v>0</v>
      </c>
      <c r="N189" s="186" t="s">
        <v>851</v>
      </c>
      <c r="O189" s="182" t="s">
        <v>70</v>
      </c>
      <c r="P189" s="311"/>
    </row>
    <row r="190">
      <c r="A190" s="270" t="s">
        <v>17</v>
      </c>
      <c r="B190" s="182" t="s">
        <v>1049</v>
      </c>
      <c r="C190" s="182" t="s">
        <v>998</v>
      </c>
      <c r="D190" s="182" t="s">
        <v>34</v>
      </c>
      <c r="E190" s="182" t="s">
        <v>19</v>
      </c>
      <c r="F190" s="182">
        <v>30.0</v>
      </c>
      <c r="G190" s="182" t="s">
        <v>76</v>
      </c>
      <c r="H190" s="373">
        <v>46044.0</v>
      </c>
      <c r="I190" s="373">
        <v>46093.0</v>
      </c>
      <c r="J190" s="182">
        <v>65.0</v>
      </c>
      <c r="K190" s="182">
        <v>0.0</v>
      </c>
      <c r="L190" s="182">
        <v>65.0</v>
      </c>
      <c r="M190" s="140">
        <f t="shared" si="7"/>
        <v>0</v>
      </c>
      <c r="N190" s="186" t="s">
        <v>181</v>
      </c>
      <c r="O190" s="182" t="s">
        <v>70</v>
      </c>
      <c r="P190" s="311"/>
    </row>
    <row r="191">
      <c r="A191" s="270" t="s">
        <v>17</v>
      </c>
      <c r="B191" s="144" t="s">
        <v>1050</v>
      </c>
      <c r="C191" s="144" t="s">
        <v>993</v>
      </c>
      <c r="D191" s="144" t="s">
        <v>35</v>
      </c>
      <c r="E191" s="144" t="s">
        <v>20</v>
      </c>
      <c r="F191" s="144">
        <v>8.0</v>
      </c>
      <c r="G191" s="144" t="s">
        <v>92</v>
      </c>
      <c r="H191" s="151"/>
      <c r="I191" s="151"/>
      <c r="J191" s="144">
        <v>8.0</v>
      </c>
      <c r="K191" s="144">
        <v>0.0</v>
      </c>
      <c r="L191" s="144">
        <v>8.0</v>
      </c>
      <c r="M191" s="140">
        <f t="shared" si="7"/>
        <v>0</v>
      </c>
      <c r="N191" s="141" t="s">
        <v>826</v>
      </c>
      <c r="O191" s="144" t="s">
        <v>70</v>
      </c>
      <c r="P191" s="311"/>
    </row>
    <row r="192" ht="30.0" customHeight="1">
      <c r="A192" s="270" t="s">
        <v>17</v>
      </c>
      <c r="B192" s="186" t="s">
        <v>1050</v>
      </c>
      <c r="C192" s="186" t="s">
        <v>1051</v>
      </c>
      <c r="D192" s="186" t="s">
        <v>35</v>
      </c>
      <c r="E192" s="186" t="s">
        <v>20</v>
      </c>
      <c r="F192" s="186">
        <v>10.0</v>
      </c>
      <c r="G192" s="182" t="s">
        <v>92</v>
      </c>
      <c r="H192" s="188"/>
      <c r="I192" s="188"/>
      <c r="J192" s="186">
        <v>10.0</v>
      </c>
      <c r="K192" s="186">
        <v>0.0</v>
      </c>
      <c r="L192" s="186">
        <v>10.0</v>
      </c>
      <c r="M192" s="140">
        <f t="shared" si="7"/>
        <v>0</v>
      </c>
      <c r="N192" s="186" t="s">
        <v>851</v>
      </c>
      <c r="O192" s="182" t="s">
        <v>70</v>
      </c>
      <c r="P192" s="380"/>
    </row>
    <row r="193" ht="30.0" customHeight="1">
      <c r="A193" s="270" t="s">
        <v>17</v>
      </c>
      <c r="B193" s="370" t="s">
        <v>1050</v>
      </c>
      <c r="C193" s="370" t="s">
        <v>998</v>
      </c>
      <c r="D193" s="144" t="s">
        <v>34</v>
      </c>
      <c r="E193" s="370" t="s">
        <v>19</v>
      </c>
      <c r="F193" s="370">
        <v>30.0</v>
      </c>
      <c r="G193" s="144" t="s">
        <v>76</v>
      </c>
      <c r="H193" s="368">
        <v>46044.0</v>
      </c>
      <c r="I193" s="368">
        <v>46093.0</v>
      </c>
      <c r="J193" s="370">
        <v>65.0</v>
      </c>
      <c r="K193" s="375">
        <v>0.0</v>
      </c>
      <c r="L193" s="375">
        <v>65.0</v>
      </c>
      <c r="M193" s="378">
        <f t="shared" si="7"/>
        <v>0</v>
      </c>
      <c r="N193" s="385" t="s">
        <v>181</v>
      </c>
      <c r="O193" s="144" t="s">
        <v>70</v>
      </c>
      <c r="P193" s="147"/>
    </row>
    <row r="194" ht="30.0" customHeight="1">
      <c r="A194" s="270" t="s">
        <v>17</v>
      </c>
      <c r="B194" s="314" t="s">
        <v>1052</v>
      </c>
      <c r="C194" s="144" t="s">
        <v>993</v>
      </c>
      <c r="D194" s="144" t="s">
        <v>35</v>
      </c>
      <c r="E194" s="144" t="s">
        <v>20</v>
      </c>
      <c r="F194" s="144">
        <v>8.0</v>
      </c>
      <c r="G194" s="144" t="s">
        <v>92</v>
      </c>
      <c r="H194" s="151"/>
      <c r="I194" s="151"/>
      <c r="J194" s="144">
        <v>8.0</v>
      </c>
      <c r="K194" s="144">
        <v>0.0</v>
      </c>
      <c r="L194" s="144">
        <v>8.0</v>
      </c>
      <c r="M194" s="140">
        <f t="shared" si="7"/>
        <v>0</v>
      </c>
      <c r="N194" s="141" t="s">
        <v>826</v>
      </c>
      <c r="O194" s="144" t="s">
        <v>70</v>
      </c>
      <c r="P194" s="147"/>
    </row>
    <row r="195" ht="30.0" customHeight="1">
      <c r="A195" s="270" t="s">
        <v>17</v>
      </c>
      <c r="B195" s="314" t="s">
        <v>1053</v>
      </c>
      <c r="C195" s="314" t="s">
        <v>993</v>
      </c>
      <c r="D195" s="314" t="s">
        <v>35</v>
      </c>
      <c r="E195" s="314" t="s">
        <v>20</v>
      </c>
      <c r="F195" s="314">
        <v>8.0</v>
      </c>
      <c r="G195" s="314" t="s">
        <v>92</v>
      </c>
      <c r="H195" s="336"/>
      <c r="I195" s="336"/>
      <c r="J195" s="314">
        <v>8.0</v>
      </c>
      <c r="K195" s="314">
        <v>0.0</v>
      </c>
      <c r="L195" s="314">
        <v>8.0</v>
      </c>
      <c r="M195" s="140">
        <f t="shared" si="7"/>
        <v>0</v>
      </c>
      <c r="N195" s="141" t="s">
        <v>826</v>
      </c>
      <c r="O195" s="144" t="s">
        <v>70</v>
      </c>
      <c r="P195" s="311"/>
    </row>
    <row r="196" ht="30.0" customHeight="1">
      <c r="A196" s="270" t="s">
        <v>17</v>
      </c>
      <c r="B196" s="386" t="s">
        <v>1054</v>
      </c>
      <c r="C196" s="386" t="s">
        <v>993</v>
      </c>
      <c r="D196" s="314" t="s">
        <v>35</v>
      </c>
      <c r="E196" s="386" t="s">
        <v>20</v>
      </c>
      <c r="F196" s="386">
        <v>8.0</v>
      </c>
      <c r="G196" s="314" t="s">
        <v>92</v>
      </c>
      <c r="H196" s="336"/>
      <c r="I196" s="336"/>
      <c r="J196" s="386">
        <v>8.0</v>
      </c>
      <c r="K196" s="386">
        <v>0.0</v>
      </c>
      <c r="L196" s="387">
        <v>8.0</v>
      </c>
      <c r="M196" s="378">
        <f t="shared" si="7"/>
        <v>0</v>
      </c>
      <c r="N196" s="376" t="s">
        <v>826</v>
      </c>
      <c r="O196" s="144" t="s">
        <v>70</v>
      </c>
      <c r="P196" s="311"/>
    </row>
    <row r="197" ht="30.0" customHeight="1">
      <c r="A197" s="270" t="s">
        <v>17</v>
      </c>
      <c r="B197" s="386" t="s">
        <v>1054</v>
      </c>
      <c r="C197" s="370" t="s">
        <v>1036</v>
      </c>
      <c r="D197" s="144" t="s">
        <v>35</v>
      </c>
      <c r="E197" s="370" t="s">
        <v>23</v>
      </c>
      <c r="F197" s="370">
        <v>11.0</v>
      </c>
      <c r="G197" s="144" t="s">
        <v>92</v>
      </c>
      <c r="H197" s="151"/>
      <c r="I197" s="151"/>
      <c r="J197" s="370">
        <v>13.0</v>
      </c>
      <c r="K197" s="164"/>
      <c r="L197" s="370">
        <v>13.0</v>
      </c>
      <c r="M197" s="378">
        <f t="shared" si="7"/>
        <v>0</v>
      </c>
      <c r="N197" s="385" t="s">
        <v>1000</v>
      </c>
      <c r="O197" s="144" t="s">
        <v>70</v>
      </c>
      <c r="P197" s="311"/>
    </row>
    <row r="198" ht="30.0" customHeight="1">
      <c r="A198" s="270" t="s">
        <v>17</v>
      </c>
      <c r="B198" s="386" t="s">
        <v>1055</v>
      </c>
      <c r="C198" s="370" t="s">
        <v>999</v>
      </c>
      <c r="D198" s="144" t="s">
        <v>35</v>
      </c>
      <c r="E198" s="370" t="s">
        <v>20</v>
      </c>
      <c r="F198" s="370">
        <v>8.0</v>
      </c>
      <c r="G198" s="144" t="s">
        <v>92</v>
      </c>
      <c r="H198" s="151"/>
      <c r="I198" s="151"/>
      <c r="J198" s="370">
        <v>8.0</v>
      </c>
      <c r="K198" s="164"/>
      <c r="L198" s="370">
        <v>8.0</v>
      </c>
      <c r="M198" s="378">
        <f t="shared" si="7"/>
        <v>0</v>
      </c>
      <c r="N198" s="385" t="s">
        <v>1000</v>
      </c>
      <c r="O198" s="144" t="s">
        <v>70</v>
      </c>
      <c r="P198" s="311"/>
    </row>
    <row r="199" ht="30.0" customHeight="1">
      <c r="A199" s="270" t="s">
        <v>17</v>
      </c>
      <c r="B199" s="186" t="s">
        <v>721</v>
      </c>
      <c r="C199" s="186" t="s">
        <v>1027</v>
      </c>
      <c r="D199" s="186" t="s">
        <v>35</v>
      </c>
      <c r="E199" s="186" t="s">
        <v>23</v>
      </c>
      <c r="F199" s="186">
        <v>10.0</v>
      </c>
      <c r="G199" s="182" t="s">
        <v>92</v>
      </c>
      <c r="H199" s="188"/>
      <c r="I199" s="188"/>
      <c r="J199" s="186">
        <v>10.0</v>
      </c>
      <c r="K199" s="186">
        <v>0.0</v>
      </c>
      <c r="L199" s="186">
        <v>10.0</v>
      </c>
      <c r="M199" s="140">
        <f t="shared" si="7"/>
        <v>0</v>
      </c>
      <c r="N199" s="186" t="s">
        <v>851</v>
      </c>
      <c r="O199" s="182" t="s">
        <v>70</v>
      </c>
      <c r="P199" s="311"/>
    </row>
    <row r="200" ht="30.0" customHeight="1">
      <c r="A200" s="270" t="s">
        <v>17</v>
      </c>
      <c r="B200" s="386" t="s">
        <v>721</v>
      </c>
      <c r="C200" s="386" t="s">
        <v>999</v>
      </c>
      <c r="D200" s="314" t="s">
        <v>35</v>
      </c>
      <c r="E200" s="386" t="s">
        <v>20</v>
      </c>
      <c r="F200" s="386">
        <v>8.0</v>
      </c>
      <c r="G200" s="314" t="s">
        <v>92</v>
      </c>
      <c r="H200" s="336"/>
      <c r="I200" s="336"/>
      <c r="J200" s="386">
        <v>8.0</v>
      </c>
      <c r="K200" s="388"/>
      <c r="L200" s="386">
        <v>8.0</v>
      </c>
      <c r="M200" s="376">
        <f t="shared" si="7"/>
        <v>0</v>
      </c>
      <c r="N200" s="377" t="s">
        <v>1000</v>
      </c>
      <c r="O200" s="144" t="s">
        <v>70</v>
      </c>
      <c r="P200" s="311"/>
    </row>
    <row r="201" ht="39.75" customHeight="1">
      <c r="A201" s="270" t="s">
        <v>17</v>
      </c>
      <c r="B201" s="314" t="s">
        <v>1056</v>
      </c>
      <c r="C201" s="314" t="s">
        <v>993</v>
      </c>
      <c r="D201" s="314" t="s">
        <v>35</v>
      </c>
      <c r="E201" s="314" t="s">
        <v>20</v>
      </c>
      <c r="F201" s="314">
        <v>8.0</v>
      </c>
      <c r="G201" s="314" t="s">
        <v>92</v>
      </c>
      <c r="H201" s="336"/>
      <c r="I201" s="336"/>
      <c r="J201" s="314">
        <v>8.0</v>
      </c>
      <c r="K201" s="314">
        <v>0.0</v>
      </c>
      <c r="L201" s="314">
        <v>8.0</v>
      </c>
      <c r="M201" s="140">
        <f t="shared" si="7"/>
        <v>0</v>
      </c>
      <c r="N201" s="141" t="s">
        <v>826</v>
      </c>
      <c r="O201" s="144" t="s">
        <v>70</v>
      </c>
      <c r="P201" s="311"/>
    </row>
    <row r="202" ht="33.0" customHeight="1">
      <c r="A202" s="186"/>
      <c r="B202" s="186"/>
      <c r="C202" s="186"/>
      <c r="D202" s="186"/>
      <c r="E202" s="186"/>
      <c r="F202" s="186"/>
      <c r="G202" s="186"/>
      <c r="H202" s="191"/>
      <c r="I202" s="191"/>
      <c r="J202" s="186"/>
      <c r="K202" s="189"/>
      <c r="L202" s="186"/>
      <c r="M202" s="189"/>
      <c r="N202" s="189"/>
      <c r="O202" s="201"/>
      <c r="P202" s="147"/>
    </row>
    <row r="203" ht="39.75" customHeight="1">
      <c r="A203" s="186"/>
      <c r="B203" s="186"/>
      <c r="C203" s="186"/>
      <c r="D203" s="186"/>
      <c r="E203" s="186"/>
      <c r="F203" s="186"/>
      <c r="G203" s="186"/>
      <c r="H203" s="191"/>
      <c r="I203" s="191"/>
      <c r="J203" s="186"/>
      <c r="K203" s="189"/>
      <c r="L203" s="186"/>
      <c r="M203" s="189"/>
      <c r="N203" s="189"/>
      <c r="O203" s="201"/>
      <c r="P203" s="311"/>
    </row>
    <row r="204" ht="30.0" customHeight="1">
      <c r="A204" s="186"/>
      <c r="B204" s="186"/>
      <c r="C204" s="186"/>
      <c r="D204" s="186"/>
      <c r="E204" s="186"/>
      <c r="F204" s="186"/>
      <c r="G204" s="186"/>
      <c r="H204" s="188"/>
      <c r="I204" s="188"/>
      <c r="J204" s="186"/>
      <c r="K204" s="186"/>
      <c r="L204" s="186"/>
      <c r="M204" s="189"/>
      <c r="N204" s="186"/>
      <c r="O204" s="186"/>
      <c r="P204" s="147"/>
    </row>
    <row r="205" ht="30.0" customHeight="1">
      <c r="A205" s="186"/>
      <c r="B205" s="186"/>
      <c r="C205" s="186"/>
      <c r="D205" s="186"/>
      <c r="E205" s="186"/>
      <c r="F205" s="186"/>
      <c r="G205" s="186"/>
      <c r="H205" s="191"/>
      <c r="I205" s="191"/>
      <c r="J205" s="186"/>
      <c r="K205" s="189"/>
      <c r="L205" s="186"/>
      <c r="M205" s="189"/>
      <c r="N205" s="189"/>
      <c r="O205" s="201"/>
      <c r="P205" s="311"/>
    </row>
    <row r="206" ht="30.0" customHeight="1">
      <c r="A206" s="187"/>
      <c r="B206" s="186"/>
      <c r="C206" s="186"/>
      <c r="D206" s="186"/>
      <c r="E206" s="186"/>
      <c r="F206" s="186"/>
      <c r="G206" s="186"/>
      <c r="H206" s="188"/>
      <c r="I206" s="188"/>
      <c r="J206" s="186"/>
      <c r="K206" s="190"/>
      <c r="L206" s="186"/>
      <c r="M206" s="189"/>
      <c r="N206" s="186"/>
      <c r="O206" s="201"/>
      <c r="P206" s="147"/>
    </row>
    <row r="207">
      <c r="A207" s="187"/>
      <c r="B207" s="186"/>
      <c r="C207" s="186"/>
      <c r="D207" s="186"/>
      <c r="E207" s="186"/>
      <c r="F207" s="186"/>
      <c r="G207" s="186"/>
      <c r="H207" s="188"/>
      <c r="I207" s="188"/>
      <c r="J207" s="186"/>
      <c r="K207" s="190"/>
      <c r="L207" s="186"/>
      <c r="M207" s="189"/>
      <c r="N207" s="186"/>
      <c r="O207" s="201"/>
      <c r="P207" s="147"/>
    </row>
    <row r="208" ht="39.75" customHeight="1">
      <c r="A208" s="187"/>
      <c r="B208" s="186"/>
      <c r="C208" s="186"/>
      <c r="D208" s="186"/>
      <c r="E208" s="186"/>
      <c r="F208" s="186"/>
      <c r="G208" s="186"/>
      <c r="H208" s="188"/>
      <c r="I208" s="188"/>
      <c r="J208" s="186"/>
      <c r="K208" s="190"/>
      <c r="L208" s="186"/>
      <c r="M208" s="189"/>
      <c r="N208" s="186"/>
      <c r="O208" s="201"/>
      <c r="P208" s="311"/>
    </row>
    <row r="209" ht="39.75" customHeight="1">
      <c r="A209" s="186"/>
      <c r="B209" s="186"/>
      <c r="C209" s="186"/>
      <c r="D209" s="186"/>
      <c r="E209" s="186"/>
      <c r="F209" s="186"/>
      <c r="G209" s="186"/>
      <c r="H209" s="191"/>
      <c r="I209" s="191"/>
      <c r="J209" s="186"/>
      <c r="K209" s="189"/>
      <c r="L209" s="186"/>
      <c r="M209" s="189"/>
      <c r="N209" s="189"/>
      <c r="O209" s="201"/>
      <c r="P209" s="311"/>
    </row>
    <row r="210" ht="33.0" customHeight="1">
      <c r="A210" s="186"/>
      <c r="B210" s="186"/>
      <c r="C210" s="186"/>
      <c r="D210" s="186"/>
      <c r="E210" s="186"/>
      <c r="F210" s="186"/>
      <c r="G210" s="186"/>
      <c r="H210" s="188"/>
      <c r="I210" s="188"/>
      <c r="J210" s="186"/>
      <c r="K210" s="190"/>
      <c r="L210" s="186"/>
      <c r="M210" s="190"/>
      <c r="N210" s="186"/>
      <c r="O210" s="186"/>
      <c r="P210" s="311"/>
    </row>
    <row r="211" ht="39.75" customHeight="1">
      <c r="A211" s="187"/>
      <c r="B211" s="186"/>
      <c r="C211" s="186"/>
      <c r="D211" s="186"/>
      <c r="E211" s="186"/>
      <c r="F211" s="186"/>
      <c r="G211" s="186"/>
      <c r="H211" s="188"/>
      <c r="I211" s="188"/>
      <c r="J211" s="186"/>
      <c r="K211" s="186"/>
      <c r="L211" s="186"/>
      <c r="M211" s="189"/>
      <c r="N211" s="186"/>
      <c r="O211" s="186"/>
      <c r="P211" s="147"/>
    </row>
    <row r="212" ht="30.0" customHeight="1">
      <c r="A212" s="186"/>
      <c r="B212" s="186"/>
      <c r="C212" s="186"/>
      <c r="D212" s="186"/>
      <c r="E212" s="186"/>
      <c r="F212" s="186"/>
      <c r="G212" s="186"/>
      <c r="H212" s="188"/>
      <c r="I212" s="188"/>
      <c r="J212" s="186"/>
      <c r="K212" s="190"/>
      <c r="L212" s="186"/>
      <c r="M212" s="190"/>
      <c r="N212" s="186"/>
      <c r="O212" s="201"/>
      <c r="P212" s="311"/>
    </row>
    <row r="213" ht="30.0" customHeight="1">
      <c r="A213" s="187"/>
      <c r="B213" s="186"/>
      <c r="C213" s="186"/>
      <c r="D213" s="186"/>
      <c r="E213" s="186"/>
      <c r="F213" s="186"/>
      <c r="G213" s="186"/>
      <c r="H213" s="188"/>
      <c r="I213" s="188"/>
      <c r="J213" s="186"/>
      <c r="K213" s="190"/>
      <c r="L213" s="186"/>
      <c r="M213" s="189"/>
      <c r="N213" s="186"/>
      <c r="O213" s="186"/>
      <c r="P213" s="311"/>
    </row>
    <row r="214" ht="30.0" customHeight="1">
      <c r="A214" s="389"/>
      <c r="B214" s="186"/>
      <c r="C214" s="390"/>
      <c r="D214" s="186"/>
      <c r="E214" s="186"/>
      <c r="F214" s="186"/>
      <c r="G214" s="186"/>
      <c r="H214" s="391"/>
      <c r="I214" s="188"/>
      <c r="J214" s="186"/>
      <c r="K214" s="186"/>
      <c r="L214" s="186"/>
      <c r="M214" s="189"/>
      <c r="N214" s="186"/>
      <c r="O214" s="201"/>
      <c r="P214" s="147"/>
    </row>
    <row r="215" ht="30.0" customHeight="1">
      <c r="A215" s="186"/>
      <c r="B215" s="186"/>
      <c r="C215" s="186"/>
      <c r="D215" s="186"/>
      <c r="E215" s="186"/>
      <c r="F215" s="186"/>
      <c r="G215" s="186"/>
      <c r="H215" s="188"/>
      <c r="I215" s="188"/>
      <c r="J215" s="186"/>
      <c r="K215" s="189"/>
      <c r="L215" s="186"/>
      <c r="M215" s="189"/>
      <c r="N215" s="186"/>
      <c r="O215" s="186"/>
      <c r="P215" s="311"/>
    </row>
    <row r="216" ht="33.0" customHeight="1">
      <c r="A216" s="187"/>
      <c r="B216" s="186"/>
      <c r="C216" s="186"/>
      <c r="D216" s="186"/>
      <c r="E216" s="186"/>
      <c r="F216" s="186"/>
      <c r="G216" s="186"/>
      <c r="H216" s="188"/>
      <c r="I216" s="188"/>
      <c r="J216" s="186"/>
      <c r="K216" s="186"/>
      <c r="L216" s="186"/>
      <c r="M216" s="189"/>
      <c r="N216" s="186"/>
      <c r="O216" s="186"/>
      <c r="P216" s="311"/>
    </row>
    <row r="217" ht="33.0" customHeight="1">
      <c r="A217" s="186"/>
      <c r="B217" s="186"/>
      <c r="C217" s="186"/>
      <c r="D217" s="186"/>
      <c r="E217" s="186"/>
      <c r="F217" s="186"/>
      <c r="G217" s="186"/>
      <c r="H217" s="191"/>
      <c r="I217" s="191"/>
      <c r="J217" s="186"/>
      <c r="K217" s="189"/>
      <c r="L217" s="186"/>
      <c r="M217" s="189"/>
      <c r="N217" s="189"/>
      <c r="O217" s="201"/>
      <c r="P217" s="311"/>
    </row>
    <row r="218">
      <c r="A218" s="186"/>
      <c r="B218" s="186"/>
      <c r="C218" s="186"/>
      <c r="D218" s="186"/>
      <c r="E218" s="186"/>
      <c r="F218" s="186"/>
      <c r="G218" s="186"/>
      <c r="H218" s="188"/>
      <c r="I218" s="188"/>
      <c r="J218" s="186"/>
      <c r="K218" s="190"/>
      <c r="L218" s="186"/>
      <c r="M218" s="189"/>
      <c r="N218" s="186"/>
      <c r="O218" s="186"/>
      <c r="P218" s="311"/>
    </row>
    <row r="219" ht="30.0" customHeight="1">
      <c r="A219" s="187"/>
      <c r="B219" s="186"/>
      <c r="C219" s="186"/>
      <c r="D219" s="186"/>
      <c r="E219" s="186"/>
      <c r="F219" s="186"/>
      <c r="G219" s="186"/>
      <c r="H219" s="188"/>
      <c r="I219" s="188"/>
      <c r="J219" s="186"/>
      <c r="K219" s="190"/>
      <c r="L219" s="186"/>
      <c r="M219" s="189"/>
      <c r="N219" s="186"/>
      <c r="O219" s="186"/>
      <c r="P219" s="147"/>
    </row>
    <row r="220" ht="30.0" customHeight="1">
      <c r="A220" s="186"/>
      <c r="B220" s="186"/>
      <c r="C220" s="186"/>
      <c r="D220" s="186"/>
      <c r="E220" s="186"/>
      <c r="F220" s="186"/>
      <c r="G220" s="186"/>
      <c r="H220" s="188"/>
      <c r="I220" s="188"/>
      <c r="J220" s="186"/>
      <c r="K220" s="190"/>
      <c r="L220" s="186"/>
      <c r="M220" s="189"/>
      <c r="N220" s="186"/>
      <c r="O220" s="186"/>
      <c r="P220" s="147"/>
    </row>
    <row r="221" ht="33.0" customHeight="1">
      <c r="A221" s="187"/>
      <c r="B221" s="186"/>
      <c r="C221" s="186"/>
      <c r="D221" s="186"/>
      <c r="E221" s="186"/>
      <c r="F221" s="186"/>
      <c r="G221" s="186"/>
      <c r="H221" s="188"/>
      <c r="I221" s="188"/>
      <c r="J221" s="186"/>
      <c r="K221" s="190"/>
      <c r="L221" s="186"/>
      <c r="M221" s="189"/>
      <c r="N221" s="186"/>
      <c r="O221" s="186"/>
      <c r="P221" s="311"/>
    </row>
    <row r="222" ht="30.0" customHeight="1">
      <c r="A222" s="187"/>
      <c r="B222" s="186"/>
      <c r="C222" s="186"/>
      <c r="D222" s="186"/>
      <c r="E222" s="186"/>
      <c r="F222" s="186"/>
      <c r="G222" s="186"/>
      <c r="H222" s="188"/>
      <c r="I222" s="188"/>
      <c r="J222" s="186"/>
      <c r="K222" s="190"/>
      <c r="L222" s="186"/>
      <c r="M222" s="189"/>
      <c r="N222" s="186"/>
      <c r="O222" s="186"/>
      <c r="P222" s="147"/>
    </row>
    <row r="223" ht="33.0" customHeight="1">
      <c r="A223" s="186"/>
      <c r="B223" s="186"/>
      <c r="C223" s="186"/>
      <c r="D223" s="186"/>
      <c r="E223" s="186"/>
      <c r="F223" s="186"/>
      <c r="G223" s="186"/>
      <c r="H223" s="191"/>
      <c r="I223" s="191"/>
      <c r="J223" s="186"/>
      <c r="K223" s="189"/>
      <c r="L223" s="186"/>
      <c r="M223" s="189"/>
      <c r="N223" s="189"/>
      <c r="O223" s="186"/>
      <c r="P223" s="311"/>
    </row>
    <row r="224" ht="33.0" customHeight="1">
      <c r="A224" s="186"/>
      <c r="B224" s="186"/>
      <c r="C224" s="186"/>
      <c r="D224" s="186"/>
      <c r="E224" s="186"/>
      <c r="F224" s="186"/>
      <c r="G224" s="186"/>
      <c r="H224" s="191"/>
      <c r="I224" s="191"/>
      <c r="J224" s="186"/>
      <c r="K224" s="189"/>
      <c r="L224" s="189"/>
      <c r="M224" s="189"/>
      <c r="N224" s="189"/>
      <c r="O224" s="186"/>
      <c r="P224" s="311"/>
    </row>
    <row r="225" ht="30.0" customHeight="1">
      <c r="A225" s="186"/>
      <c r="B225" s="186"/>
      <c r="C225" s="186"/>
      <c r="D225" s="186"/>
      <c r="E225" s="186"/>
      <c r="F225" s="186"/>
      <c r="G225" s="186"/>
      <c r="H225" s="188"/>
      <c r="I225" s="188"/>
      <c r="J225" s="186"/>
      <c r="K225" s="190"/>
      <c r="L225" s="190"/>
      <c r="M225" s="190"/>
      <c r="N225" s="186"/>
      <c r="O225" s="186"/>
      <c r="P225" s="311"/>
    </row>
    <row r="226" ht="30.0" customHeight="1">
      <c r="A226" s="389"/>
      <c r="B226" s="186"/>
      <c r="C226" s="390"/>
      <c r="D226" s="186"/>
      <c r="E226" s="186"/>
      <c r="F226" s="186"/>
      <c r="G226" s="186"/>
      <c r="H226" s="391"/>
      <c r="I226" s="188"/>
      <c r="J226" s="186"/>
      <c r="K226" s="186"/>
      <c r="L226" s="186"/>
      <c r="M226" s="189"/>
      <c r="N226" s="186"/>
      <c r="O226" s="186"/>
      <c r="P226" s="147"/>
    </row>
    <row r="227" ht="30.0" customHeight="1">
      <c r="A227" s="186"/>
      <c r="B227" s="186"/>
      <c r="C227" s="186"/>
      <c r="D227" s="186"/>
      <c r="E227" s="186"/>
      <c r="F227" s="186"/>
      <c r="G227" s="186"/>
      <c r="H227" s="188"/>
      <c r="I227" s="188"/>
      <c r="J227" s="186"/>
      <c r="K227" s="190"/>
      <c r="L227" s="186"/>
      <c r="M227" s="190"/>
      <c r="N227" s="186"/>
      <c r="O227" s="186"/>
      <c r="P227" s="147"/>
    </row>
    <row r="228" ht="30.0" customHeight="1">
      <c r="A228" s="186"/>
      <c r="B228" s="186"/>
      <c r="C228" s="186"/>
      <c r="D228" s="186"/>
      <c r="E228" s="186"/>
      <c r="F228" s="186"/>
      <c r="G228" s="186"/>
      <c r="H228" s="191"/>
      <c r="I228" s="191"/>
      <c r="J228" s="186"/>
      <c r="K228" s="189"/>
      <c r="L228" s="186"/>
      <c r="M228" s="189"/>
      <c r="N228" s="189"/>
      <c r="O228" s="201"/>
      <c r="P228" s="147"/>
    </row>
    <row r="229" ht="30.0" customHeight="1">
      <c r="A229" s="389"/>
      <c r="B229" s="186"/>
      <c r="C229" s="390"/>
      <c r="D229" s="186"/>
      <c r="E229" s="186"/>
      <c r="F229" s="186"/>
      <c r="G229" s="186"/>
      <c r="H229" s="391"/>
      <c r="I229" s="188"/>
      <c r="J229" s="186"/>
      <c r="K229" s="186"/>
      <c r="L229" s="186"/>
      <c r="M229" s="189"/>
      <c r="N229" s="186"/>
      <c r="O229" s="201"/>
      <c r="P229" s="311"/>
    </row>
    <row r="230">
      <c r="A230" s="187"/>
      <c r="B230" s="186"/>
      <c r="C230" s="186"/>
      <c r="D230" s="186"/>
      <c r="E230" s="186"/>
      <c r="F230" s="186"/>
      <c r="G230" s="186"/>
      <c r="H230" s="188"/>
      <c r="I230" s="188"/>
      <c r="J230" s="186"/>
      <c r="K230" s="190"/>
      <c r="L230" s="186"/>
      <c r="M230" s="189"/>
      <c r="N230" s="186"/>
      <c r="O230" s="186"/>
      <c r="P230" s="311"/>
    </row>
    <row r="231" ht="30.0" customHeight="1">
      <c r="A231" s="187"/>
      <c r="B231" s="186"/>
      <c r="C231" s="186"/>
      <c r="D231" s="186"/>
      <c r="E231" s="186"/>
      <c r="F231" s="186"/>
      <c r="G231" s="186"/>
      <c r="H231" s="188"/>
      <c r="I231" s="188"/>
      <c r="J231" s="186"/>
      <c r="K231" s="190"/>
      <c r="L231" s="186"/>
      <c r="M231" s="189"/>
      <c r="N231" s="186"/>
      <c r="O231" s="186"/>
      <c r="P231" s="380"/>
    </row>
    <row r="232" ht="30.0" customHeight="1">
      <c r="A232" s="187"/>
      <c r="B232" s="186"/>
      <c r="C232" s="186"/>
      <c r="D232" s="186"/>
      <c r="E232" s="186"/>
      <c r="F232" s="186"/>
      <c r="G232" s="186"/>
      <c r="H232" s="188"/>
      <c r="I232" s="188"/>
      <c r="J232" s="186"/>
      <c r="K232" s="190"/>
      <c r="L232" s="186"/>
      <c r="M232" s="189"/>
      <c r="N232" s="186"/>
      <c r="O232" s="186"/>
      <c r="P232" s="380"/>
    </row>
    <row r="233" ht="30.0" customHeight="1">
      <c r="A233" s="187"/>
      <c r="B233" s="186"/>
      <c r="C233" s="186"/>
      <c r="D233" s="186"/>
      <c r="E233" s="186"/>
      <c r="F233" s="186"/>
      <c r="G233" s="186"/>
      <c r="H233" s="188"/>
      <c r="I233" s="188"/>
      <c r="J233" s="186"/>
      <c r="K233" s="190"/>
      <c r="L233" s="186"/>
      <c r="M233" s="189"/>
      <c r="N233" s="186"/>
      <c r="O233" s="186"/>
      <c r="P233" s="147"/>
    </row>
    <row r="234" ht="30.0" customHeight="1">
      <c r="A234" s="389"/>
      <c r="B234" s="186"/>
      <c r="C234" s="390"/>
      <c r="D234" s="186"/>
      <c r="E234" s="186"/>
      <c r="F234" s="186"/>
      <c r="G234" s="186"/>
      <c r="H234" s="391"/>
      <c r="I234" s="188"/>
      <c r="J234" s="186"/>
      <c r="K234" s="186"/>
      <c r="L234" s="186"/>
      <c r="M234" s="189"/>
      <c r="N234" s="186"/>
      <c r="O234" s="201"/>
      <c r="P234" s="311"/>
    </row>
    <row r="235" ht="30.0" customHeight="1">
      <c r="A235" s="187"/>
      <c r="B235" s="186"/>
      <c r="C235" s="186"/>
      <c r="D235" s="186"/>
      <c r="E235" s="186"/>
      <c r="F235" s="186"/>
      <c r="G235" s="186"/>
      <c r="H235" s="188"/>
      <c r="I235" s="188"/>
      <c r="J235" s="186"/>
      <c r="K235" s="190"/>
      <c r="L235" s="186"/>
      <c r="M235" s="189"/>
      <c r="N235" s="186"/>
      <c r="O235" s="186"/>
      <c r="P235" s="147"/>
    </row>
    <row r="236" ht="33.0" customHeight="1">
      <c r="A236" s="187"/>
      <c r="B236" s="186"/>
      <c r="C236" s="186"/>
      <c r="D236" s="186"/>
      <c r="E236" s="186"/>
      <c r="F236" s="186"/>
      <c r="G236" s="186"/>
      <c r="H236" s="188"/>
      <c r="I236" s="188"/>
      <c r="J236" s="186"/>
      <c r="K236" s="190"/>
      <c r="L236" s="186"/>
      <c r="M236" s="189"/>
      <c r="N236" s="186"/>
      <c r="O236" s="186"/>
      <c r="P236" s="311"/>
    </row>
    <row r="237" ht="30.0" customHeight="1">
      <c r="A237" s="187"/>
      <c r="B237" s="186"/>
      <c r="C237" s="186"/>
      <c r="D237" s="186"/>
      <c r="E237" s="186"/>
      <c r="F237" s="186"/>
      <c r="G237" s="186"/>
      <c r="H237" s="188"/>
      <c r="I237" s="188"/>
      <c r="J237" s="186"/>
      <c r="K237" s="190"/>
      <c r="L237" s="186"/>
      <c r="M237" s="189"/>
      <c r="N237" s="186"/>
      <c r="O237" s="186"/>
      <c r="P237" s="311"/>
    </row>
    <row r="238">
      <c r="A238" s="187"/>
      <c r="B238" s="186"/>
      <c r="C238" s="186"/>
      <c r="D238" s="186"/>
      <c r="E238" s="186"/>
      <c r="F238" s="186"/>
      <c r="G238" s="186"/>
      <c r="H238" s="188"/>
      <c r="I238" s="188"/>
      <c r="J238" s="186"/>
      <c r="K238" s="190"/>
      <c r="L238" s="186"/>
      <c r="M238" s="189"/>
      <c r="N238" s="186"/>
      <c r="O238" s="186"/>
      <c r="P238" s="311"/>
    </row>
    <row r="239">
      <c r="A239" s="187"/>
      <c r="B239" s="186"/>
      <c r="C239" s="186"/>
      <c r="D239" s="186"/>
      <c r="E239" s="186"/>
      <c r="F239" s="186"/>
      <c r="G239" s="186"/>
      <c r="H239" s="188"/>
      <c r="I239" s="188"/>
      <c r="J239" s="186"/>
      <c r="K239" s="190"/>
      <c r="L239" s="186"/>
      <c r="M239" s="189"/>
      <c r="N239" s="186"/>
      <c r="O239" s="186"/>
      <c r="P239" s="311"/>
    </row>
    <row r="240">
      <c r="A240" s="187"/>
      <c r="B240" s="186"/>
      <c r="C240" s="186"/>
      <c r="D240" s="186"/>
      <c r="E240" s="186"/>
      <c r="F240" s="186"/>
      <c r="G240" s="186"/>
      <c r="H240" s="188"/>
      <c r="I240" s="188"/>
      <c r="J240" s="186"/>
      <c r="K240" s="190"/>
      <c r="L240" s="186"/>
      <c r="M240" s="189"/>
      <c r="N240" s="186"/>
      <c r="O240" s="186"/>
      <c r="P240" s="311"/>
    </row>
    <row r="241">
      <c r="A241" s="187"/>
      <c r="B241" s="186"/>
      <c r="C241" s="186"/>
      <c r="D241" s="186"/>
      <c r="E241" s="186"/>
      <c r="F241" s="186"/>
      <c r="G241" s="186"/>
      <c r="H241" s="188"/>
      <c r="I241" s="188"/>
      <c r="J241" s="186"/>
      <c r="K241" s="190"/>
      <c r="L241" s="186"/>
      <c r="M241" s="189"/>
      <c r="N241" s="186"/>
      <c r="O241" s="186"/>
      <c r="P241" s="147"/>
    </row>
    <row r="242" ht="30.0" customHeight="1">
      <c r="A242" s="187"/>
      <c r="B242" s="186"/>
      <c r="C242" s="186"/>
      <c r="D242" s="186"/>
      <c r="E242" s="186"/>
      <c r="F242" s="186"/>
      <c r="G242" s="186"/>
      <c r="H242" s="188"/>
      <c r="I242" s="188"/>
      <c r="J242" s="186"/>
      <c r="K242" s="190"/>
      <c r="L242" s="186"/>
      <c r="M242" s="189"/>
      <c r="N242" s="186"/>
      <c r="O242" s="186"/>
      <c r="P242" s="311"/>
    </row>
    <row r="243" ht="30.0" customHeight="1">
      <c r="A243" s="187"/>
      <c r="B243" s="186"/>
      <c r="C243" s="186"/>
      <c r="D243" s="186"/>
      <c r="E243" s="186"/>
      <c r="F243" s="186"/>
      <c r="G243" s="186"/>
      <c r="H243" s="188"/>
      <c r="I243" s="188"/>
      <c r="J243" s="186"/>
      <c r="K243" s="190"/>
      <c r="L243" s="186"/>
      <c r="M243" s="189"/>
      <c r="N243" s="186"/>
      <c r="O243" s="186"/>
      <c r="P243" s="147"/>
    </row>
    <row r="244" ht="30.0" customHeight="1">
      <c r="A244" s="187"/>
      <c r="B244" s="186"/>
      <c r="C244" s="186"/>
      <c r="D244" s="186"/>
      <c r="E244" s="186"/>
      <c r="F244" s="186"/>
      <c r="G244" s="186"/>
      <c r="H244" s="188"/>
      <c r="I244" s="188"/>
      <c r="J244" s="186"/>
      <c r="K244" s="190"/>
      <c r="L244" s="186"/>
      <c r="M244" s="189"/>
      <c r="N244" s="186"/>
      <c r="O244" s="186"/>
      <c r="P244" s="147"/>
    </row>
    <row r="245" ht="30.0" customHeight="1">
      <c r="A245" s="187"/>
      <c r="B245" s="186"/>
      <c r="C245" s="186"/>
      <c r="D245" s="186"/>
      <c r="E245" s="186"/>
      <c r="F245" s="186"/>
      <c r="G245" s="186"/>
      <c r="H245" s="188"/>
      <c r="I245" s="188"/>
      <c r="J245" s="186"/>
      <c r="K245" s="190"/>
      <c r="L245" s="186"/>
      <c r="M245" s="189"/>
      <c r="N245" s="186"/>
      <c r="O245" s="186"/>
      <c r="P245" s="147"/>
    </row>
    <row r="246" ht="30.0" customHeight="1">
      <c r="A246" s="389"/>
      <c r="B246" s="186"/>
      <c r="C246" s="390"/>
      <c r="D246" s="186"/>
      <c r="E246" s="186"/>
      <c r="F246" s="186"/>
      <c r="G246" s="186"/>
      <c r="H246" s="391"/>
      <c r="I246" s="188"/>
      <c r="J246" s="186"/>
      <c r="K246" s="186"/>
      <c r="L246" s="186"/>
      <c r="M246" s="189"/>
      <c r="N246" s="186"/>
      <c r="O246" s="201"/>
      <c r="P246" s="147"/>
    </row>
    <row r="247" ht="30.0" customHeight="1">
      <c r="A247" s="187"/>
      <c r="B247" s="186"/>
      <c r="C247" s="186"/>
      <c r="D247" s="186"/>
      <c r="E247" s="186"/>
      <c r="F247" s="186"/>
      <c r="G247" s="186"/>
      <c r="H247" s="188"/>
      <c r="I247" s="188"/>
      <c r="J247" s="186"/>
      <c r="K247" s="190"/>
      <c r="L247" s="186"/>
      <c r="M247" s="189"/>
      <c r="N247" s="186"/>
      <c r="O247" s="186"/>
      <c r="P247" s="147"/>
    </row>
    <row r="248" ht="30.0" customHeight="1">
      <c r="A248" s="187"/>
      <c r="B248" s="186"/>
      <c r="C248" s="186"/>
      <c r="D248" s="186"/>
      <c r="E248" s="186"/>
      <c r="F248" s="186"/>
      <c r="G248" s="186"/>
      <c r="H248" s="188"/>
      <c r="I248" s="188"/>
      <c r="J248" s="186"/>
      <c r="K248" s="190"/>
      <c r="L248" s="186"/>
      <c r="M248" s="189"/>
      <c r="N248" s="186"/>
      <c r="O248" s="186"/>
      <c r="P248" s="147"/>
    </row>
    <row r="249">
      <c r="A249" s="187"/>
      <c r="B249" s="186"/>
      <c r="C249" s="186"/>
      <c r="D249" s="186"/>
      <c r="E249" s="186"/>
      <c r="F249" s="186"/>
      <c r="G249" s="186"/>
      <c r="H249" s="188"/>
      <c r="I249" s="188"/>
      <c r="J249" s="186"/>
      <c r="K249" s="190"/>
      <c r="L249" s="186"/>
      <c r="M249" s="189"/>
      <c r="N249" s="186"/>
      <c r="O249" s="186"/>
      <c r="P249" s="311"/>
    </row>
    <row r="250">
      <c r="A250" s="187"/>
      <c r="B250" s="186"/>
      <c r="C250" s="186"/>
      <c r="D250" s="186"/>
      <c r="E250" s="186"/>
      <c r="F250" s="186"/>
      <c r="G250" s="186"/>
      <c r="H250" s="188"/>
      <c r="I250" s="188"/>
      <c r="J250" s="186"/>
      <c r="K250" s="190"/>
      <c r="L250" s="186"/>
      <c r="M250" s="189"/>
      <c r="N250" s="186"/>
      <c r="O250" s="186"/>
      <c r="P250" s="147"/>
    </row>
    <row r="251">
      <c r="A251" s="187"/>
      <c r="B251" s="186"/>
      <c r="C251" s="186"/>
      <c r="D251" s="186"/>
      <c r="E251" s="186"/>
      <c r="F251" s="186"/>
      <c r="G251" s="186"/>
      <c r="H251" s="188"/>
      <c r="I251" s="188"/>
      <c r="J251" s="186"/>
      <c r="K251" s="190"/>
      <c r="L251" s="186"/>
      <c r="M251" s="189"/>
      <c r="N251" s="186"/>
      <c r="O251" s="186"/>
      <c r="P251" s="147"/>
    </row>
    <row r="252" ht="30.0" customHeight="1">
      <c r="A252" s="187"/>
      <c r="B252" s="186"/>
      <c r="C252" s="186"/>
      <c r="D252" s="186"/>
      <c r="E252" s="186"/>
      <c r="F252" s="186"/>
      <c r="G252" s="186"/>
      <c r="H252" s="188"/>
      <c r="I252" s="188"/>
      <c r="J252" s="186"/>
      <c r="K252" s="190"/>
      <c r="L252" s="186"/>
      <c r="M252" s="189"/>
      <c r="N252" s="186"/>
      <c r="O252" s="186"/>
      <c r="P252" s="148"/>
    </row>
    <row r="253" ht="30.0" customHeight="1">
      <c r="A253" s="187"/>
      <c r="B253" s="186"/>
      <c r="C253" s="186"/>
      <c r="D253" s="186"/>
      <c r="E253" s="186"/>
      <c r="F253" s="186"/>
      <c r="G253" s="186"/>
      <c r="H253" s="188"/>
      <c r="I253" s="188"/>
      <c r="J253" s="186"/>
      <c r="K253" s="190"/>
      <c r="L253" s="186"/>
      <c r="M253" s="189"/>
      <c r="N253" s="186"/>
      <c r="O253" s="186"/>
      <c r="P253" s="148"/>
    </row>
    <row r="254" ht="31.5" customHeight="1">
      <c r="A254" s="187"/>
      <c r="B254" s="186"/>
      <c r="C254" s="186"/>
      <c r="D254" s="186"/>
      <c r="E254" s="186"/>
      <c r="F254" s="186"/>
      <c r="G254" s="186"/>
      <c r="H254" s="188"/>
      <c r="I254" s="188"/>
      <c r="J254" s="186"/>
      <c r="K254" s="186"/>
      <c r="L254" s="186"/>
      <c r="M254" s="189"/>
      <c r="N254" s="186"/>
      <c r="O254" s="186"/>
      <c r="P254" s="168"/>
    </row>
    <row r="255" ht="30.0" customHeight="1">
      <c r="A255" s="187"/>
      <c r="B255" s="186"/>
      <c r="C255" s="186"/>
      <c r="D255" s="186"/>
      <c r="E255" s="186"/>
      <c r="F255" s="186"/>
      <c r="G255" s="186"/>
      <c r="H255" s="188"/>
      <c r="I255" s="188"/>
      <c r="J255" s="186"/>
      <c r="K255" s="190"/>
      <c r="L255" s="186"/>
      <c r="M255" s="189"/>
      <c r="N255" s="186"/>
      <c r="O255" s="186"/>
      <c r="P255" s="148"/>
    </row>
    <row r="256" ht="33.0" customHeight="1">
      <c r="A256" s="187"/>
      <c r="B256" s="186"/>
      <c r="C256" s="186"/>
      <c r="D256" s="186"/>
      <c r="E256" s="186"/>
      <c r="F256" s="186"/>
      <c r="G256" s="186"/>
      <c r="H256" s="188"/>
      <c r="I256" s="188"/>
      <c r="J256" s="186"/>
      <c r="K256" s="190"/>
      <c r="L256" s="186"/>
      <c r="M256" s="189"/>
      <c r="N256" s="186"/>
      <c r="O256" s="186"/>
      <c r="P256" s="148"/>
    </row>
    <row r="257" ht="33.0" customHeight="1">
      <c r="A257" s="187"/>
      <c r="B257" s="186"/>
      <c r="C257" s="186"/>
      <c r="D257" s="186"/>
      <c r="E257" s="186"/>
      <c r="F257" s="186"/>
      <c r="G257" s="186"/>
      <c r="H257" s="188"/>
      <c r="I257" s="188"/>
      <c r="J257" s="186"/>
      <c r="K257" s="190"/>
      <c r="L257" s="186"/>
      <c r="M257" s="189"/>
      <c r="N257" s="186"/>
      <c r="O257" s="186"/>
      <c r="P257" s="148"/>
    </row>
    <row r="258" ht="33.0" customHeight="1">
      <c r="A258" s="187"/>
      <c r="B258" s="186"/>
      <c r="C258" s="186"/>
      <c r="D258" s="186"/>
      <c r="E258" s="186"/>
      <c r="F258" s="186"/>
      <c r="G258" s="186"/>
      <c r="H258" s="188"/>
      <c r="I258" s="188"/>
      <c r="J258" s="186"/>
      <c r="K258" s="190"/>
      <c r="L258" s="186"/>
      <c r="M258" s="189"/>
      <c r="N258" s="186"/>
      <c r="O258" s="186"/>
      <c r="P258" s="148"/>
    </row>
    <row r="259" ht="30.0" customHeight="1">
      <c r="A259" s="186"/>
      <c r="B259" s="186"/>
      <c r="C259" s="186"/>
      <c r="D259" s="186"/>
      <c r="E259" s="186"/>
      <c r="F259" s="186"/>
      <c r="G259" s="186"/>
      <c r="H259" s="188"/>
      <c r="I259" s="188"/>
      <c r="J259" s="186"/>
      <c r="K259" s="190"/>
      <c r="L259" s="186"/>
      <c r="M259" s="189"/>
      <c r="N259" s="186"/>
      <c r="O259" s="186"/>
      <c r="P259" s="148"/>
    </row>
    <row r="260" ht="30.0" customHeight="1">
      <c r="A260" s="187"/>
      <c r="B260" s="186"/>
      <c r="C260" s="186"/>
      <c r="D260" s="186"/>
      <c r="E260" s="186"/>
      <c r="F260" s="186"/>
      <c r="G260" s="186"/>
      <c r="H260" s="188"/>
      <c r="I260" s="188"/>
      <c r="J260" s="186"/>
      <c r="K260" s="186"/>
      <c r="L260" s="186"/>
      <c r="M260" s="189"/>
      <c r="N260" s="186"/>
      <c r="O260" s="186"/>
      <c r="P260" s="168"/>
    </row>
    <row r="261" ht="30.0" customHeight="1">
      <c r="A261" s="187"/>
      <c r="B261" s="186"/>
      <c r="C261" s="186"/>
      <c r="D261" s="186"/>
      <c r="E261" s="186"/>
      <c r="F261" s="186"/>
      <c r="G261" s="186"/>
      <c r="H261" s="188"/>
      <c r="I261" s="188"/>
      <c r="J261" s="186"/>
      <c r="K261" s="190"/>
      <c r="L261" s="186"/>
      <c r="M261" s="189"/>
      <c r="N261" s="186"/>
      <c r="O261" s="186"/>
      <c r="P261" s="168"/>
    </row>
    <row r="262" ht="30.0" customHeight="1">
      <c r="A262" s="187"/>
      <c r="B262" s="186"/>
      <c r="C262" s="186"/>
      <c r="D262" s="186"/>
      <c r="E262" s="186"/>
      <c r="F262" s="186"/>
      <c r="G262" s="186"/>
      <c r="H262" s="188"/>
      <c r="I262" s="188"/>
      <c r="J262" s="186"/>
      <c r="K262" s="190"/>
      <c r="L262" s="186"/>
      <c r="M262" s="189"/>
      <c r="N262" s="186"/>
      <c r="O262" s="186"/>
      <c r="P262" s="148"/>
    </row>
    <row r="263" ht="33.0" customHeight="1">
      <c r="A263" s="187"/>
      <c r="B263" s="186"/>
      <c r="C263" s="186"/>
      <c r="D263" s="186"/>
      <c r="E263" s="186"/>
      <c r="F263" s="186"/>
      <c r="G263" s="186"/>
      <c r="H263" s="188"/>
      <c r="I263" s="188"/>
      <c r="J263" s="186"/>
      <c r="K263" s="190"/>
      <c r="L263" s="186"/>
      <c r="M263" s="189"/>
      <c r="N263" s="186"/>
      <c r="O263" s="186"/>
      <c r="P263" s="168"/>
    </row>
    <row r="264" ht="30.0" customHeight="1">
      <c r="A264" s="187"/>
      <c r="B264" s="186"/>
      <c r="C264" s="186"/>
      <c r="D264" s="186"/>
      <c r="E264" s="186"/>
      <c r="F264" s="186"/>
      <c r="G264" s="186"/>
      <c r="H264" s="188"/>
      <c r="I264" s="188"/>
      <c r="J264" s="186"/>
      <c r="K264" s="190"/>
      <c r="L264" s="186"/>
      <c r="M264" s="189"/>
      <c r="N264" s="186"/>
      <c r="O264" s="186"/>
      <c r="P264" s="148"/>
    </row>
    <row r="265" ht="30.0" customHeight="1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68"/>
    </row>
    <row r="266" ht="30.0" customHeight="1">
      <c r="A266" s="159"/>
      <c r="B266" s="159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68"/>
    </row>
    <row r="267" ht="30.0" customHeight="1">
      <c r="A267" s="159"/>
      <c r="B267" s="159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48"/>
    </row>
    <row r="268" ht="33.0" customHeight="1">
      <c r="A268" s="159"/>
      <c r="B268" s="159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68"/>
    </row>
    <row r="269" ht="33.0" customHeight="1">
      <c r="A269" s="159"/>
      <c r="B269" s="159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68"/>
    </row>
    <row r="270" ht="33.0" customHeight="1">
      <c r="A270" s="159"/>
      <c r="B270" s="159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68"/>
    </row>
    <row r="271" ht="33.0" customHeight="1">
      <c r="A271" s="159"/>
      <c r="B271" s="159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68"/>
    </row>
    <row r="272" ht="33.0" customHeight="1">
      <c r="A272" s="159"/>
      <c r="B272" s="159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68"/>
    </row>
    <row r="273" ht="30.0" customHeight="1">
      <c r="A273" s="159"/>
      <c r="B273" s="159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68"/>
    </row>
    <row r="274" ht="30.0" customHeight="1">
      <c r="A274" s="159"/>
      <c r="B274" s="159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68"/>
    </row>
    <row r="275" ht="30.0" customHeight="1">
      <c r="A275" s="159"/>
      <c r="B275" s="159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68"/>
    </row>
    <row r="276" ht="30.0" customHeight="1">
      <c r="A276" s="159"/>
      <c r="B276" s="159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68"/>
    </row>
    <row r="277" ht="30.0" customHeight="1">
      <c r="A277" s="159"/>
      <c r="B277" s="159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68"/>
    </row>
    <row r="278" ht="30.0" customHeight="1">
      <c r="A278" s="159"/>
      <c r="B278" s="159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48"/>
    </row>
    <row r="279" ht="30.0" customHeight="1">
      <c r="A279" s="159"/>
      <c r="B279" s="159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48"/>
    </row>
    <row r="280" ht="33.0" customHeight="1">
      <c r="A280" s="159"/>
      <c r="B280" s="159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68"/>
    </row>
    <row r="281" ht="33.0" customHeight="1">
      <c r="A281" s="159"/>
      <c r="B281" s="159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68"/>
    </row>
    <row r="282" ht="33.0" customHeight="1">
      <c r="A282" s="159"/>
      <c r="B282" s="159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68"/>
    </row>
    <row r="283" ht="33.0" customHeight="1">
      <c r="A283" s="159"/>
      <c r="B283" s="159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68"/>
    </row>
    <row r="284" ht="33.0" customHeight="1">
      <c r="A284" s="159"/>
      <c r="B284" s="159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48"/>
    </row>
    <row r="285" ht="33.0" customHeight="1">
      <c r="A285" s="159"/>
      <c r="B285" s="159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68"/>
    </row>
    <row r="286" ht="33.0" customHeight="1">
      <c r="A286" s="159"/>
      <c r="B286" s="159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68"/>
    </row>
    <row r="287" ht="33.0" customHeight="1">
      <c r="A287" s="159"/>
      <c r="B287" s="159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68"/>
    </row>
    <row r="288" ht="33.0" customHeight="1">
      <c r="A288" s="159"/>
      <c r="B288" s="159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68"/>
    </row>
    <row r="289" ht="33.0" customHeight="1">
      <c r="A289" s="159"/>
      <c r="B289" s="159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68"/>
    </row>
    <row r="290" ht="33.0" customHeight="1">
      <c r="A290" s="159"/>
      <c r="B290" s="159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68"/>
    </row>
    <row r="291" ht="33.0" customHeight="1">
      <c r="A291" s="159"/>
      <c r="B291" s="159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68"/>
    </row>
    <row r="292" ht="33.0" customHeight="1">
      <c r="A292" s="159"/>
      <c r="B292" s="159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68"/>
    </row>
    <row r="293" ht="33.0" customHeight="1">
      <c r="A293" s="159"/>
      <c r="B293" s="159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68"/>
    </row>
    <row r="294" ht="33.0" customHeight="1">
      <c r="A294" s="159"/>
      <c r="B294" s="159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68"/>
    </row>
    <row r="295" ht="33.0" customHeight="1">
      <c r="A295" s="159"/>
      <c r="B295" s="159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68"/>
    </row>
    <row r="296" ht="33.0" customHeight="1">
      <c r="A296" s="159"/>
      <c r="B296" s="159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48"/>
    </row>
    <row r="297" ht="33.0" customHeight="1">
      <c r="A297" s="159"/>
      <c r="B297" s="159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68"/>
    </row>
    <row r="298" ht="33.0" customHeight="1">
      <c r="A298" s="159"/>
      <c r="B298" s="159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68"/>
    </row>
    <row r="299" ht="33.0" customHeight="1">
      <c r="A299" s="159"/>
      <c r="B299" s="159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68"/>
    </row>
    <row r="300" ht="33.0" customHeight="1">
      <c r="A300" s="159"/>
      <c r="B300" s="159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68"/>
    </row>
    <row r="301" ht="33.0" customHeight="1">
      <c r="A301" s="159"/>
      <c r="B301" s="159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68"/>
    </row>
    <row r="302" ht="33.0" customHeight="1">
      <c r="A302" s="159"/>
      <c r="B302" s="159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68"/>
    </row>
    <row r="303" ht="33.0" customHeight="1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68"/>
    </row>
    <row r="304" ht="33.0" customHeight="1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68"/>
    </row>
    <row r="305" ht="33.0" customHeight="1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68"/>
    </row>
    <row r="306" ht="33.0" customHeight="1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68"/>
    </row>
    <row r="307" ht="33.0" customHeight="1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68"/>
    </row>
    <row r="308" ht="33.0" customHeight="1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68"/>
    </row>
    <row r="309" ht="33.0" customHeight="1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68"/>
    </row>
    <row r="310" ht="33.0" customHeight="1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68"/>
    </row>
    <row r="311" ht="33.0" customHeight="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68"/>
    </row>
    <row r="312" ht="33.0" customHeight="1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68"/>
    </row>
    <row r="313" ht="33.0" customHeight="1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68"/>
    </row>
    <row r="314" ht="33.0" customHeight="1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68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</row>
    <row r="1001">
      <c r="A1001" s="192"/>
      <c r="B1001" s="192"/>
      <c r="C1001" s="192"/>
      <c r="D1001" s="192"/>
      <c r="E1001" s="192"/>
      <c r="F1001" s="192"/>
      <c r="G1001" s="192"/>
      <c r="H1001" s="192"/>
      <c r="I1001" s="192"/>
      <c r="J1001" s="192"/>
      <c r="K1001" s="192"/>
      <c r="L1001" s="192"/>
      <c r="M1001" s="192"/>
      <c r="N1001" s="192"/>
      <c r="O1001" s="192"/>
      <c r="P1001" s="192"/>
    </row>
    <row r="1002">
      <c r="A1002" s="192"/>
      <c r="B1002" s="192"/>
      <c r="C1002" s="192"/>
      <c r="D1002" s="192"/>
      <c r="E1002" s="192"/>
      <c r="F1002" s="192"/>
      <c r="G1002" s="192"/>
      <c r="H1002" s="192"/>
      <c r="I1002" s="192"/>
      <c r="J1002" s="192"/>
      <c r="K1002" s="192"/>
      <c r="L1002" s="192"/>
      <c r="M1002" s="192"/>
      <c r="N1002" s="192"/>
      <c r="O1002" s="192"/>
      <c r="P1002" s="192"/>
    </row>
    <row r="1003">
      <c r="A1003" s="192"/>
      <c r="B1003" s="192"/>
      <c r="C1003" s="192"/>
      <c r="D1003" s="192"/>
      <c r="E1003" s="192"/>
      <c r="F1003" s="192"/>
      <c r="G1003" s="192"/>
      <c r="H1003" s="192"/>
      <c r="I1003" s="192"/>
      <c r="J1003" s="192"/>
      <c r="K1003" s="192"/>
      <c r="L1003" s="192"/>
      <c r="M1003" s="192"/>
      <c r="N1003" s="192"/>
      <c r="O1003" s="192"/>
      <c r="P1003" s="192"/>
    </row>
    <row r="1004">
      <c r="A1004" s="192"/>
      <c r="B1004" s="192"/>
      <c r="C1004" s="192"/>
      <c r="D1004" s="192"/>
      <c r="E1004" s="192"/>
      <c r="F1004" s="192"/>
      <c r="G1004" s="192"/>
      <c r="H1004" s="192"/>
      <c r="I1004" s="192"/>
      <c r="J1004" s="192"/>
      <c r="K1004" s="192"/>
      <c r="L1004" s="192"/>
      <c r="M1004" s="192"/>
      <c r="N1004" s="192"/>
      <c r="O1004" s="192"/>
      <c r="P1004" s="192"/>
    </row>
    <row r="1005">
      <c r="A1005" s="192"/>
      <c r="B1005" s="192"/>
      <c r="C1005" s="192"/>
      <c r="D1005" s="192"/>
      <c r="E1005" s="192"/>
      <c r="F1005" s="192"/>
      <c r="G1005" s="192"/>
      <c r="H1005" s="192"/>
      <c r="I1005" s="192"/>
      <c r="J1005" s="192"/>
      <c r="K1005" s="192"/>
      <c r="L1005" s="192"/>
      <c r="M1005" s="192"/>
      <c r="N1005" s="192"/>
      <c r="O1005" s="192"/>
      <c r="P1005" s="192"/>
    </row>
    <row r="1006">
      <c r="A1006" s="192"/>
      <c r="B1006" s="192"/>
      <c r="C1006" s="192"/>
      <c r="D1006" s="192"/>
      <c r="E1006" s="192"/>
      <c r="F1006" s="192"/>
      <c r="G1006" s="192"/>
      <c r="H1006" s="192"/>
      <c r="I1006" s="192"/>
      <c r="J1006" s="192"/>
      <c r="K1006" s="192"/>
      <c r="L1006" s="192"/>
      <c r="M1006" s="192"/>
      <c r="N1006" s="192"/>
      <c r="O1006" s="192"/>
      <c r="P1006" s="192"/>
    </row>
    <row r="1007">
      <c r="A1007" s="192"/>
      <c r="B1007" s="192"/>
      <c r="C1007" s="192"/>
      <c r="D1007" s="192"/>
      <c r="E1007" s="192"/>
      <c r="F1007" s="192"/>
      <c r="G1007" s="192"/>
      <c r="H1007" s="192"/>
      <c r="I1007" s="192"/>
      <c r="J1007" s="192"/>
      <c r="K1007" s="192"/>
      <c r="L1007" s="192"/>
      <c r="M1007" s="192"/>
      <c r="N1007" s="192"/>
      <c r="O1007" s="192"/>
      <c r="P1007" s="192"/>
    </row>
    <row r="1008">
      <c r="A1008" s="192"/>
      <c r="B1008" s="192"/>
      <c r="C1008" s="192"/>
      <c r="D1008" s="192"/>
      <c r="E1008" s="192"/>
      <c r="F1008" s="192"/>
      <c r="G1008" s="192"/>
      <c r="H1008" s="192"/>
      <c r="I1008" s="192"/>
      <c r="J1008" s="192"/>
      <c r="K1008" s="192"/>
      <c r="L1008" s="192"/>
      <c r="M1008" s="192"/>
      <c r="N1008" s="192"/>
      <c r="O1008" s="192"/>
      <c r="P1008" s="192"/>
    </row>
    <row r="1009">
      <c r="A1009" s="192"/>
      <c r="B1009" s="192"/>
      <c r="C1009" s="192"/>
      <c r="D1009" s="192"/>
      <c r="E1009" s="192"/>
      <c r="F1009" s="192"/>
      <c r="G1009" s="192"/>
      <c r="H1009" s="192"/>
      <c r="I1009" s="192"/>
      <c r="J1009" s="192"/>
      <c r="K1009" s="192"/>
      <c r="L1009" s="192"/>
      <c r="M1009" s="192"/>
      <c r="N1009" s="192"/>
      <c r="O1009" s="192"/>
      <c r="P1009" s="192"/>
    </row>
    <row r="1010">
      <c r="A1010" s="192"/>
      <c r="B1010" s="192"/>
      <c r="C1010" s="192"/>
      <c r="D1010" s="192"/>
      <c r="E1010" s="192"/>
      <c r="F1010" s="192"/>
      <c r="G1010" s="192"/>
      <c r="H1010" s="192"/>
      <c r="I1010" s="192"/>
      <c r="J1010" s="192"/>
      <c r="K1010" s="192"/>
      <c r="L1010" s="192"/>
      <c r="M1010" s="192"/>
      <c r="N1010" s="192"/>
      <c r="O1010" s="192"/>
      <c r="P1010" s="192"/>
    </row>
    <row r="1011">
      <c r="A1011" s="192"/>
      <c r="B1011" s="192"/>
      <c r="C1011" s="192"/>
      <c r="D1011" s="192"/>
      <c r="E1011" s="192"/>
      <c r="F1011" s="192"/>
      <c r="G1011" s="192"/>
      <c r="H1011" s="192"/>
      <c r="I1011" s="192"/>
      <c r="J1011" s="192"/>
      <c r="K1011" s="192"/>
      <c r="L1011" s="192"/>
      <c r="M1011" s="192"/>
      <c r="N1011" s="192"/>
      <c r="O1011" s="192"/>
      <c r="P1011" s="192"/>
    </row>
    <row r="1012">
      <c r="A1012" s="192"/>
      <c r="B1012" s="192"/>
      <c r="C1012" s="192"/>
      <c r="D1012" s="192"/>
      <c r="E1012" s="192"/>
      <c r="F1012" s="192"/>
      <c r="G1012" s="192"/>
      <c r="H1012" s="192"/>
      <c r="I1012" s="192"/>
      <c r="J1012" s="192"/>
      <c r="K1012" s="192"/>
      <c r="L1012" s="192"/>
      <c r="M1012" s="192"/>
      <c r="N1012" s="192"/>
      <c r="O1012" s="192"/>
      <c r="P1012" s="192"/>
    </row>
    <row r="1013">
      <c r="A1013" s="192"/>
      <c r="B1013" s="192"/>
      <c r="C1013" s="192"/>
      <c r="D1013" s="192"/>
      <c r="E1013" s="192"/>
      <c r="F1013" s="192"/>
      <c r="G1013" s="192"/>
      <c r="H1013" s="192"/>
      <c r="I1013" s="192"/>
      <c r="J1013" s="192"/>
      <c r="K1013" s="192"/>
      <c r="L1013" s="192"/>
      <c r="M1013" s="192"/>
      <c r="N1013" s="192"/>
      <c r="O1013" s="192"/>
      <c r="P1013" s="192"/>
    </row>
    <row r="1014">
      <c r="A1014" s="192"/>
      <c r="B1014" s="192"/>
      <c r="C1014" s="192"/>
      <c r="D1014" s="192"/>
      <c r="E1014" s="192"/>
      <c r="F1014" s="192"/>
      <c r="G1014" s="192"/>
      <c r="H1014" s="192"/>
      <c r="I1014" s="192"/>
      <c r="J1014" s="192"/>
      <c r="K1014" s="192"/>
      <c r="L1014" s="192"/>
      <c r="M1014" s="192"/>
      <c r="N1014" s="192"/>
      <c r="O1014" s="192"/>
      <c r="P1014" s="192"/>
    </row>
    <row r="1015">
      <c r="A1015" s="192"/>
      <c r="B1015" s="192"/>
      <c r="C1015" s="192"/>
      <c r="D1015" s="192"/>
      <c r="E1015" s="192"/>
      <c r="F1015" s="192"/>
      <c r="G1015" s="192"/>
      <c r="H1015" s="192"/>
      <c r="I1015" s="192"/>
      <c r="J1015" s="192"/>
      <c r="K1015" s="192"/>
      <c r="L1015" s="192"/>
      <c r="M1015" s="192"/>
      <c r="N1015" s="192"/>
      <c r="O1015" s="192"/>
      <c r="P1015" s="192"/>
    </row>
    <row r="1016">
      <c r="A1016" s="192"/>
      <c r="B1016" s="192"/>
      <c r="C1016" s="192"/>
      <c r="D1016" s="192"/>
      <c r="E1016" s="192"/>
      <c r="F1016" s="192"/>
      <c r="G1016" s="192"/>
      <c r="H1016" s="192"/>
      <c r="I1016" s="192"/>
      <c r="J1016" s="192"/>
      <c r="K1016" s="192"/>
      <c r="L1016" s="192"/>
      <c r="M1016" s="192"/>
      <c r="N1016" s="192"/>
      <c r="O1016" s="192"/>
      <c r="P1016" s="192"/>
    </row>
    <row r="1017">
      <c r="A1017" s="192"/>
      <c r="B1017" s="192"/>
      <c r="C1017" s="192"/>
      <c r="D1017" s="192"/>
      <c r="E1017" s="192"/>
      <c r="F1017" s="192"/>
      <c r="G1017" s="192"/>
      <c r="H1017" s="192"/>
      <c r="I1017" s="192"/>
      <c r="J1017" s="192"/>
      <c r="K1017" s="192"/>
      <c r="L1017" s="192"/>
      <c r="M1017" s="192"/>
      <c r="N1017" s="192"/>
      <c r="O1017" s="192"/>
      <c r="P1017" s="192"/>
    </row>
    <row r="1018">
      <c r="A1018" s="192"/>
      <c r="B1018" s="192"/>
      <c r="C1018" s="192"/>
      <c r="D1018" s="192"/>
      <c r="E1018" s="192"/>
      <c r="F1018" s="192"/>
      <c r="G1018" s="192"/>
      <c r="H1018" s="192"/>
      <c r="I1018" s="192"/>
      <c r="J1018" s="192"/>
      <c r="K1018" s="192"/>
      <c r="L1018" s="192"/>
      <c r="M1018" s="192"/>
      <c r="N1018" s="192"/>
      <c r="O1018" s="192"/>
      <c r="P1018" s="192"/>
    </row>
    <row r="1019">
      <c r="A1019" s="192"/>
      <c r="B1019" s="192"/>
      <c r="C1019" s="192"/>
      <c r="D1019" s="192"/>
      <c r="E1019" s="192"/>
      <c r="F1019" s="192"/>
      <c r="G1019" s="192"/>
      <c r="H1019" s="192"/>
      <c r="I1019" s="192"/>
      <c r="J1019" s="192"/>
      <c r="K1019" s="192"/>
      <c r="L1019" s="192"/>
      <c r="M1019" s="192"/>
      <c r="N1019" s="192"/>
      <c r="O1019" s="192"/>
      <c r="P1019" s="192"/>
    </row>
    <row r="1020">
      <c r="A1020" s="192"/>
      <c r="B1020" s="192"/>
      <c r="C1020" s="192"/>
      <c r="D1020" s="192"/>
      <c r="E1020" s="192"/>
      <c r="F1020" s="192"/>
      <c r="G1020" s="192"/>
      <c r="H1020" s="192"/>
      <c r="I1020" s="192"/>
      <c r="J1020" s="192"/>
      <c r="K1020" s="192"/>
      <c r="L1020" s="192"/>
      <c r="M1020" s="192"/>
      <c r="N1020" s="192"/>
      <c r="O1020" s="192"/>
      <c r="P1020" s="192"/>
    </row>
    <row r="1021">
      <c r="A1021" s="192"/>
      <c r="B1021" s="192"/>
      <c r="C1021" s="192"/>
      <c r="D1021" s="192"/>
      <c r="E1021" s="192"/>
      <c r="F1021" s="192"/>
      <c r="G1021" s="192"/>
      <c r="H1021" s="192"/>
      <c r="I1021" s="192"/>
      <c r="J1021" s="192"/>
      <c r="K1021" s="192"/>
      <c r="L1021" s="192"/>
      <c r="M1021" s="192"/>
      <c r="N1021" s="192"/>
      <c r="O1021" s="192"/>
      <c r="P1021" s="192"/>
    </row>
    <row r="1022">
      <c r="A1022" s="192"/>
      <c r="B1022" s="192"/>
      <c r="C1022" s="192"/>
      <c r="D1022" s="192"/>
      <c r="E1022" s="192"/>
      <c r="F1022" s="192"/>
      <c r="G1022" s="192"/>
      <c r="H1022" s="192"/>
      <c r="I1022" s="192"/>
      <c r="J1022" s="192"/>
      <c r="K1022" s="192"/>
      <c r="L1022" s="192"/>
      <c r="M1022" s="192"/>
      <c r="N1022" s="192"/>
      <c r="O1022" s="192"/>
      <c r="P1022" s="192"/>
    </row>
    <row r="1023">
      <c r="A1023" s="192"/>
      <c r="B1023" s="192"/>
      <c r="C1023" s="192"/>
      <c r="D1023" s="192"/>
      <c r="E1023" s="192"/>
      <c r="F1023" s="192"/>
      <c r="G1023" s="192"/>
      <c r="H1023" s="192"/>
      <c r="I1023" s="192"/>
      <c r="J1023" s="192"/>
      <c r="K1023" s="192"/>
      <c r="L1023" s="192"/>
      <c r="M1023" s="192"/>
      <c r="N1023" s="192"/>
      <c r="O1023" s="192"/>
      <c r="P1023" s="192"/>
    </row>
    <row r="1024">
      <c r="A1024" s="192"/>
      <c r="B1024" s="192"/>
      <c r="C1024" s="192"/>
      <c r="D1024" s="192"/>
      <c r="E1024" s="192"/>
      <c r="F1024" s="192"/>
      <c r="G1024" s="192"/>
      <c r="H1024" s="192"/>
      <c r="I1024" s="192"/>
      <c r="J1024" s="192"/>
      <c r="K1024" s="192"/>
      <c r="L1024" s="192"/>
      <c r="M1024" s="192"/>
      <c r="N1024" s="192"/>
      <c r="O1024" s="192"/>
      <c r="P1024" s="192"/>
    </row>
    <row r="1025">
      <c r="A1025" s="192"/>
      <c r="B1025" s="192"/>
      <c r="C1025" s="192"/>
      <c r="D1025" s="192"/>
      <c r="E1025" s="192"/>
      <c r="F1025" s="192"/>
      <c r="G1025" s="192"/>
      <c r="H1025" s="192"/>
      <c r="I1025" s="192"/>
      <c r="J1025" s="192"/>
      <c r="K1025" s="192"/>
      <c r="L1025" s="192"/>
      <c r="M1025" s="192"/>
      <c r="N1025" s="192"/>
      <c r="O1025" s="192"/>
      <c r="P1025" s="192"/>
    </row>
    <row r="1026">
      <c r="A1026" s="192"/>
      <c r="B1026" s="192"/>
      <c r="C1026" s="192"/>
      <c r="D1026" s="192"/>
      <c r="E1026" s="192"/>
      <c r="F1026" s="192"/>
      <c r="G1026" s="192"/>
      <c r="H1026" s="192"/>
      <c r="I1026" s="192"/>
      <c r="J1026" s="192"/>
      <c r="K1026" s="192"/>
      <c r="L1026" s="192"/>
      <c r="M1026" s="192"/>
      <c r="N1026" s="192"/>
      <c r="O1026" s="192"/>
      <c r="P1026" s="192"/>
    </row>
    <row r="1027">
      <c r="A1027" s="192"/>
      <c r="B1027" s="192"/>
      <c r="C1027" s="192"/>
      <c r="D1027" s="192"/>
      <c r="E1027" s="192"/>
      <c r="F1027" s="192"/>
      <c r="G1027" s="192"/>
      <c r="H1027" s="192"/>
      <c r="I1027" s="192"/>
      <c r="J1027" s="192"/>
      <c r="K1027" s="192"/>
      <c r="L1027" s="192"/>
      <c r="M1027" s="192"/>
      <c r="N1027" s="192"/>
      <c r="O1027" s="192"/>
      <c r="P1027" s="192"/>
    </row>
    <row r="1028">
      <c r="A1028" s="192"/>
      <c r="B1028" s="192"/>
      <c r="C1028" s="192"/>
      <c r="D1028" s="192"/>
      <c r="E1028" s="192"/>
      <c r="F1028" s="192"/>
      <c r="G1028" s="192"/>
      <c r="H1028" s="192"/>
      <c r="I1028" s="192"/>
      <c r="J1028" s="192"/>
      <c r="K1028" s="192"/>
      <c r="L1028" s="192"/>
      <c r="M1028" s="192"/>
      <c r="N1028" s="192"/>
      <c r="O1028" s="192"/>
      <c r="P1028" s="192"/>
    </row>
    <row r="1029">
      <c r="A1029" s="192"/>
      <c r="B1029" s="192"/>
      <c r="C1029" s="192"/>
      <c r="D1029" s="192"/>
      <c r="E1029" s="192"/>
      <c r="F1029" s="192"/>
      <c r="G1029" s="192"/>
      <c r="H1029" s="192"/>
      <c r="I1029" s="192"/>
      <c r="J1029" s="192"/>
      <c r="K1029" s="192"/>
      <c r="L1029" s="192"/>
      <c r="M1029" s="192"/>
      <c r="N1029" s="192"/>
      <c r="O1029" s="192"/>
      <c r="P1029" s="192"/>
    </row>
    <row r="1030">
      <c r="A1030" s="192"/>
      <c r="B1030" s="192"/>
      <c r="C1030" s="192"/>
      <c r="D1030" s="192"/>
      <c r="E1030" s="192"/>
      <c r="F1030" s="192"/>
      <c r="G1030" s="192"/>
      <c r="H1030" s="192"/>
      <c r="I1030" s="192"/>
      <c r="J1030" s="192"/>
      <c r="K1030" s="192"/>
      <c r="L1030" s="192"/>
      <c r="M1030" s="192"/>
      <c r="N1030" s="192"/>
      <c r="O1030" s="192"/>
      <c r="P1030" s="192"/>
    </row>
    <row r="1031">
      <c r="A1031" s="192"/>
      <c r="B1031" s="192"/>
      <c r="C1031" s="192"/>
      <c r="D1031" s="192"/>
      <c r="E1031" s="192"/>
      <c r="F1031" s="192"/>
      <c r="G1031" s="192"/>
      <c r="H1031" s="192"/>
      <c r="I1031" s="192"/>
      <c r="J1031" s="192"/>
      <c r="K1031" s="192"/>
      <c r="L1031" s="192"/>
      <c r="M1031" s="192"/>
      <c r="N1031" s="192"/>
      <c r="O1031" s="192"/>
      <c r="P1031" s="192"/>
    </row>
    <row r="1032">
      <c r="A1032" s="192"/>
      <c r="B1032" s="192"/>
      <c r="C1032" s="192"/>
      <c r="D1032" s="192"/>
      <c r="E1032" s="192"/>
      <c r="F1032" s="192"/>
      <c r="G1032" s="192"/>
      <c r="H1032" s="192"/>
      <c r="I1032" s="192"/>
      <c r="J1032" s="192"/>
      <c r="K1032" s="192"/>
      <c r="L1032" s="192"/>
      <c r="M1032" s="192"/>
      <c r="N1032" s="192"/>
      <c r="O1032" s="192"/>
      <c r="P1032" s="192"/>
    </row>
    <row r="1033">
      <c r="A1033" s="192"/>
      <c r="B1033" s="192"/>
      <c r="C1033" s="192"/>
      <c r="D1033" s="192"/>
      <c r="E1033" s="192"/>
      <c r="F1033" s="192"/>
      <c r="G1033" s="192"/>
      <c r="H1033" s="192"/>
      <c r="I1033" s="192"/>
      <c r="J1033" s="192"/>
      <c r="K1033" s="192"/>
      <c r="L1033" s="192"/>
      <c r="M1033" s="192"/>
      <c r="N1033" s="192"/>
      <c r="O1033" s="192"/>
      <c r="P1033" s="192"/>
    </row>
    <row r="1034">
      <c r="A1034" s="192"/>
      <c r="B1034" s="192"/>
      <c r="C1034" s="192"/>
      <c r="D1034" s="192"/>
      <c r="E1034" s="192"/>
      <c r="F1034" s="192"/>
      <c r="G1034" s="192"/>
      <c r="H1034" s="192"/>
      <c r="I1034" s="192"/>
      <c r="J1034" s="192"/>
      <c r="K1034" s="192"/>
      <c r="L1034" s="192"/>
      <c r="M1034" s="192"/>
      <c r="N1034" s="192"/>
      <c r="O1034" s="192"/>
      <c r="P1034" s="192"/>
    </row>
    <row r="1035">
      <c r="A1035" s="192"/>
      <c r="B1035" s="192"/>
      <c r="C1035" s="192"/>
      <c r="D1035" s="192"/>
      <c r="E1035" s="192"/>
      <c r="F1035" s="192"/>
      <c r="G1035" s="192"/>
      <c r="H1035" s="192"/>
      <c r="I1035" s="192"/>
      <c r="J1035" s="192"/>
      <c r="K1035" s="192"/>
      <c r="L1035" s="192"/>
      <c r="M1035" s="192"/>
      <c r="N1035" s="192"/>
      <c r="O1035" s="192"/>
      <c r="P1035" s="192"/>
    </row>
    <row r="1036">
      <c r="A1036" s="192"/>
      <c r="B1036" s="192"/>
      <c r="C1036" s="192"/>
      <c r="D1036" s="192"/>
      <c r="E1036" s="192"/>
      <c r="F1036" s="192"/>
      <c r="G1036" s="192"/>
      <c r="H1036" s="192"/>
      <c r="I1036" s="192"/>
      <c r="J1036" s="192"/>
      <c r="K1036" s="192"/>
      <c r="L1036" s="192"/>
      <c r="M1036" s="192"/>
      <c r="N1036" s="192"/>
      <c r="O1036" s="192"/>
      <c r="P1036" s="192"/>
    </row>
    <row r="1037">
      <c r="A1037" s="192"/>
      <c r="B1037" s="192"/>
      <c r="C1037" s="192"/>
      <c r="D1037" s="192"/>
      <c r="E1037" s="192"/>
      <c r="F1037" s="192"/>
      <c r="G1037" s="192"/>
      <c r="H1037" s="192"/>
      <c r="I1037" s="192"/>
      <c r="J1037" s="192"/>
      <c r="K1037" s="192"/>
      <c r="L1037" s="192"/>
      <c r="M1037" s="192"/>
      <c r="N1037" s="192"/>
      <c r="O1037" s="192"/>
      <c r="P1037" s="192"/>
    </row>
    <row r="1038">
      <c r="A1038" s="192"/>
      <c r="B1038" s="192"/>
      <c r="C1038" s="192"/>
      <c r="D1038" s="192"/>
      <c r="E1038" s="192"/>
      <c r="F1038" s="192"/>
      <c r="G1038" s="192"/>
      <c r="H1038" s="192"/>
      <c r="I1038" s="192"/>
      <c r="J1038" s="192"/>
      <c r="K1038" s="192"/>
      <c r="L1038" s="192"/>
      <c r="M1038" s="192"/>
      <c r="N1038" s="192"/>
      <c r="O1038" s="192"/>
      <c r="P1038" s="192"/>
    </row>
    <row r="1039">
      <c r="A1039" s="192"/>
      <c r="B1039" s="192"/>
      <c r="C1039" s="192"/>
      <c r="D1039" s="192"/>
      <c r="E1039" s="192"/>
      <c r="F1039" s="192"/>
      <c r="G1039" s="192"/>
      <c r="H1039" s="192"/>
      <c r="I1039" s="192"/>
      <c r="J1039" s="192"/>
      <c r="K1039" s="192"/>
      <c r="L1039" s="192"/>
      <c r="M1039" s="192"/>
      <c r="N1039" s="192"/>
      <c r="O1039" s="192"/>
      <c r="P1039" s="192"/>
    </row>
    <row r="1040">
      <c r="A1040" s="192"/>
      <c r="B1040" s="192"/>
      <c r="C1040" s="192"/>
      <c r="D1040" s="192"/>
      <c r="E1040" s="192"/>
      <c r="F1040" s="192"/>
      <c r="G1040" s="192"/>
      <c r="H1040" s="192"/>
      <c r="I1040" s="192"/>
      <c r="J1040" s="192"/>
      <c r="K1040" s="192"/>
      <c r="L1040" s="192"/>
      <c r="M1040" s="192"/>
      <c r="N1040" s="192"/>
      <c r="O1040" s="192"/>
      <c r="P1040" s="192"/>
    </row>
    <row r="1041">
      <c r="A1041" s="192"/>
      <c r="B1041" s="192"/>
      <c r="C1041" s="192"/>
      <c r="D1041" s="192"/>
      <c r="E1041" s="192"/>
      <c r="F1041" s="192"/>
      <c r="G1041" s="192"/>
      <c r="H1041" s="192"/>
      <c r="I1041" s="192"/>
      <c r="J1041" s="192"/>
      <c r="K1041" s="192"/>
      <c r="L1041" s="192"/>
      <c r="M1041" s="192"/>
      <c r="N1041" s="192"/>
      <c r="O1041" s="192"/>
      <c r="P1041" s="192"/>
    </row>
    <row r="1042">
      <c r="A1042" s="192"/>
      <c r="B1042" s="192"/>
      <c r="C1042" s="192"/>
      <c r="D1042" s="192"/>
      <c r="E1042" s="192"/>
      <c r="F1042" s="192"/>
      <c r="G1042" s="192"/>
      <c r="H1042" s="192"/>
      <c r="I1042" s="192"/>
      <c r="J1042" s="192"/>
      <c r="K1042" s="192"/>
      <c r="L1042" s="192"/>
      <c r="M1042" s="192"/>
      <c r="N1042" s="192"/>
      <c r="O1042" s="192"/>
      <c r="P1042" s="192"/>
    </row>
    <row r="1043">
      <c r="A1043" s="192"/>
      <c r="B1043" s="192"/>
      <c r="C1043" s="192"/>
      <c r="D1043" s="192"/>
      <c r="E1043" s="192"/>
      <c r="F1043" s="192"/>
      <c r="G1043" s="192"/>
      <c r="H1043" s="192"/>
      <c r="I1043" s="192"/>
      <c r="J1043" s="192"/>
      <c r="K1043" s="192"/>
      <c r="L1043" s="192"/>
      <c r="M1043" s="192"/>
      <c r="N1043" s="192"/>
      <c r="O1043" s="192"/>
      <c r="P1043" s="192"/>
    </row>
    <row r="1044">
      <c r="A1044" s="192"/>
      <c r="B1044" s="192"/>
      <c r="C1044" s="192"/>
      <c r="D1044" s="192"/>
      <c r="E1044" s="192"/>
      <c r="F1044" s="192"/>
      <c r="G1044" s="192"/>
      <c r="H1044" s="192"/>
      <c r="I1044" s="192"/>
      <c r="J1044" s="192"/>
      <c r="K1044" s="192"/>
      <c r="L1044" s="192"/>
      <c r="M1044" s="192"/>
      <c r="N1044" s="192"/>
      <c r="O1044" s="192"/>
      <c r="P1044" s="192"/>
    </row>
    <row r="1045">
      <c r="A1045" s="192"/>
      <c r="B1045" s="192"/>
      <c r="C1045" s="192"/>
      <c r="D1045" s="192"/>
      <c r="E1045" s="192"/>
      <c r="F1045" s="192"/>
      <c r="G1045" s="192"/>
      <c r="H1045" s="192"/>
      <c r="I1045" s="192"/>
      <c r="J1045" s="192"/>
      <c r="K1045" s="192"/>
      <c r="L1045" s="192"/>
      <c r="M1045" s="192"/>
      <c r="N1045" s="192"/>
      <c r="O1045" s="192"/>
      <c r="P1045" s="192"/>
    </row>
    <row r="1046">
      <c r="A1046" s="192"/>
      <c r="B1046" s="192"/>
      <c r="C1046" s="192"/>
      <c r="D1046" s="192"/>
      <c r="E1046" s="192"/>
      <c r="F1046" s="192"/>
      <c r="G1046" s="192"/>
      <c r="H1046" s="192"/>
      <c r="I1046" s="192"/>
      <c r="J1046" s="192"/>
      <c r="K1046" s="192"/>
      <c r="L1046" s="192"/>
      <c r="M1046" s="192"/>
      <c r="N1046" s="192"/>
      <c r="O1046" s="192"/>
      <c r="P1046" s="192"/>
    </row>
    <row r="1047">
      <c r="A1047" s="192"/>
      <c r="B1047" s="192"/>
      <c r="C1047" s="192"/>
      <c r="D1047" s="192"/>
      <c r="E1047" s="192"/>
      <c r="F1047" s="192"/>
      <c r="G1047" s="192"/>
      <c r="H1047" s="192"/>
      <c r="I1047" s="192"/>
      <c r="J1047" s="192"/>
      <c r="K1047" s="192"/>
      <c r="L1047" s="192"/>
      <c r="M1047" s="192"/>
      <c r="N1047" s="192"/>
      <c r="O1047" s="192"/>
      <c r="P1047" s="192"/>
    </row>
    <row r="1048">
      <c r="A1048" s="192"/>
      <c r="B1048" s="192"/>
      <c r="C1048" s="192"/>
      <c r="D1048" s="192"/>
      <c r="E1048" s="192"/>
      <c r="F1048" s="192"/>
      <c r="G1048" s="192"/>
      <c r="H1048" s="192"/>
      <c r="I1048" s="192"/>
      <c r="J1048" s="192"/>
      <c r="K1048" s="192"/>
      <c r="L1048" s="192"/>
      <c r="M1048" s="192"/>
      <c r="N1048" s="192"/>
      <c r="O1048" s="192"/>
      <c r="P1048" s="192"/>
    </row>
    <row r="1049">
      <c r="A1049" s="192"/>
      <c r="B1049" s="192"/>
      <c r="C1049" s="192"/>
      <c r="D1049" s="192"/>
      <c r="E1049" s="192"/>
      <c r="F1049" s="192"/>
      <c r="G1049" s="192"/>
      <c r="H1049" s="192"/>
      <c r="I1049" s="192"/>
      <c r="J1049" s="192"/>
      <c r="K1049" s="192"/>
      <c r="L1049" s="192"/>
      <c r="M1049" s="192"/>
      <c r="N1049" s="192"/>
      <c r="O1049" s="192"/>
      <c r="P1049" s="192"/>
    </row>
    <row r="1050">
      <c r="A1050" s="192"/>
      <c r="B1050" s="192"/>
      <c r="C1050" s="192"/>
      <c r="D1050" s="192"/>
      <c r="E1050" s="192"/>
      <c r="F1050" s="192"/>
      <c r="G1050" s="192"/>
      <c r="H1050" s="192"/>
      <c r="I1050" s="192"/>
      <c r="J1050" s="192"/>
      <c r="K1050" s="192"/>
      <c r="L1050" s="192"/>
      <c r="M1050" s="192"/>
      <c r="N1050" s="192"/>
      <c r="O1050" s="192"/>
      <c r="P1050" s="192"/>
    </row>
    <row r="1051">
      <c r="A1051" s="192"/>
      <c r="B1051" s="192"/>
      <c r="C1051" s="192"/>
      <c r="D1051" s="192"/>
      <c r="E1051" s="192"/>
      <c r="F1051" s="192"/>
      <c r="G1051" s="192"/>
      <c r="H1051" s="192"/>
      <c r="I1051" s="192"/>
      <c r="J1051" s="192"/>
      <c r="K1051" s="192"/>
      <c r="L1051" s="192"/>
      <c r="M1051" s="192"/>
      <c r="N1051" s="192"/>
      <c r="O1051" s="192"/>
      <c r="P1051" s="192"/>
    </row>
    <row r="1052">
      <c r="A1052" s="192"/>
      <c r="B1052" s="192"/>
      <c r="C1052" s="192"/>
      <c r="D1052" s="192"/>
      <c r="E1052" s="192"/>
      <c r="F1052" s="192"/>
      <c r="G1052" s="192"/>
      <c r="H1052" s="192"/>
      <c r="I1052" s="192"/>
      <c r="J1052" s="192"/>
      <c r="K1052" s="192"/>
      <c r="L1052" s="192"/>
      <c r="M1052" s="192"/>
      <c r="N1052" s="192"/>
      <c r="O1052" s="192"/>
      <c r="P1052" s="192"/>
    </row>
    <row r="1053">
      <c r="A1053" s="192"/>
      <c r="B1053" s="192"/>
      <c r="C1053" s="192"/>
      <c r="D1053" s="192"/>
      <c r="E1053" s="192"/>
      <c r="F1053" s="192"/>
      <c r="G1053" s="192"/>
      <c r="H1053" s="192"/>
      <c r="I1053" s="192"/>
      <c r="J1053" s="192"/>
      <c r="K1053" s="192"/>
      <c r="L1053" s="192"/>
      <c r="M1053" s="192"/>
      <c r="N1053" s="192"/>
      <c r="O1053" s="192"/>
      <c r="P1053" s="192"/>
    </row>
    <row r="1054">
      <c r="A1054" s="192"/>
      <c r="B1054" s="192"/>
      <c r="C1054" s="192"/>
      <c r="D1054" s="192"/>
      <c r="E1054" s="192"/>
      <c r="F1054" s="192"/>
      <c r="G1054" s="192"/>
      <c r="H1054" s="192"/>
      <c r="I1054" s="192"/>
      <c r="J1054" s="192"/>
      <c r="K1054" s="192"/>
      <c r="L1054" s="192"/>
      <c r="M1054" s="192"/>
      <c r="N1054" s="192"/>
      <c r="O1054" s="192"/>
      <c r="P1054" s="192"/>
    </row>
    <row r="1055">
      <c r="A1055" s="192"/>
      <c r="B1055" s="192"/>
      <c r="C1055" s="192"/>
      <c r="D1055" s="192"/>
      <c r="E1055" s="192"/>
      <c r="F1055" s="192"/>
      <c r="G1055" s="192"/>
      <c r="H1055" s="192"/>
      <c r="I1055" s="192"/>
      <c r="J1055" s="192"/>
      <c r="K1055" s="192"/>
      <c r="L1055" s="192"/>
      <c r="M1055" s="192"/>
      <c r="N1055" s="192"/>
      <c r="O1055" s="192"/>
      <c r="P1055" s="192"/>
    </row>
    <row r="1056">
      <c r="A1056" s="192"/>
      <c r="B1056" s="192"/>
      <c r="C1056" s="192"/>
      <c r="D1056" s="192"/>
      <c r="E1056" s="192"/>
      <c r="F1056" s="192"/>
      <c r="G1056" s="192"/>
      <c r="H1056" s="192"/>
      <c r="I1056" s="192"/>
      <c r="J1056" s="192"/>
      <c r="K1056" s="192"/>
      <c r="L1056" s="192"/>
      <c r="M1056" s="192"/>
      <c r="N1056" s="192"/>
      <c r="O1056" s="192"/>
      <c r="P1056" s="192"/>
    </row>
    <row r="1057">
      <c r="A1057" s="192"/>
      <c r="B1057" s="192"/>
      <c r="C1057" s="192"/>
      <c r="D1057" s="192"/>
      <c r="E1057" s="192"/>
      <c r="F1057" s="192"/>
      <c r="G1057" s="192"/>
      <c r="H1057" s="192"/>
      <c r="I1057" s="192"/>
      <c r="J1057" s="192"/>
      <c r="K1057" s="192"/>
      <c r="L1057" s="192"/>
      <c r="M1057" s="192"/>
      <c r="N1057" s="192"/>
      <c r="O1057" s="192"/>
      <c r="P1057" s="192"/>
    </row>
    <row r="1058">
      <c r="A1058" s="192"/>
      <c r="B1058" s="192"/>
      <c r="C1058" s="192"/>
      <c r="D1058" s="192"/>
      <c r="E1058" s="192"/>
      <c r="F1058" s="192"/>
      <c r="G1058" s="192"/>
      <c r="H1058" s="192"/>
      <c r="I1058" s="192"/>
      <c r="J1058" s="192"/>
      <c r="K1058" s="192"/>
      <c r="L1058" s="192"/>
      <c r="M1058" s="192"/>
      <c r="N1058" s="192"/>
      <c r="O1058" s="192"/>
      <c r="P1058" s="192"/>
    </row>
    <row r="1059">
      <c r="A1059" s="192"/>
      <c r="B1059" s="192"/>
      <c r="C1059" s="192"/>
      <c r="D1059" s="192"/>
      <c r="E1059" s="192"/>
      <c r="F1059" s="192"/>
      <c r="G1059" s="192"/>
      <c r="H1059" s="192"/>
      <c r="I1059" s="192"/>
      <c r="J1059" s="192"/>
      <c r="K1059" s="192"/>
      <c r="L1059" s="192"/>
      <c r="M1059" s="192"/>
      <c r="N1059" s="192"/>
      <c r="O1059" s="192"/>
      <c r="P1059" s="192"/>
    </row>
    <row r="1060">
      <c r="A1060" s="192"/>
      <c r="B1060" s="192"/>
      <c r="C1060" s="192"/>
      <c r="D1060" s="192"/>
      <c r="E1060" s="192"/>
      <c r="F1060" s="192"/>
      <c r="G1060" s="192"/>
      <c r="H1060" s="192"/>
      <c r="I1060" s="192"/>
      <c r="J1060" s="192"/>
      <c r="K1060" s="192"/>
      <c r="L1060" s="192"/>
      <c r="M1060" s="192"/>
      <c r="N1060" s="192"/>
      <c r="O1060" s="192"/>
      <c r="P1060" s="192"/>
    </row>
    <row r="1061">
      <c r="A1061" s="192"/>
      <c r="B1061" s="192"/>
      <c r="C1061" s="192"/>
      <c r="D1061" s="192"/>
      <c r="E1061" s="192"/>
      <c r="F1061" s="192"/>
      <c r="G1061" s="192"/>
      <c r="H1061" s="192"/>
      <c r="I1061" s="192"/>
      <c r="J1061" s="192"/>
      <c r="K1061" s="192"/>
      <c r="L1061" s="192"/>
      <c r="M1061" s="192"/>
      <c r="N1061" s="192"/>
      <c r="O1061" s="192"/>
      <c r="P1061" s="192"/>
    </row>
    <row r="1062">
      <c r="A1062" s="192"/>
      <c r="B1062" s="192"/>
      <c r="C1062" s="192"/>
      <c r="D1062" s="192"/>
      <c r="E1062" s="192"/>
      <c r="F1062" s="192"/>
      <c r="G1062" s="192"/>
      <c r="H1062" s="192"/>
      <c r="I1062" s="192"/>
      <c r="J1062" s="192"/>
      <c r="K1062" s="192"/>
      <c r="L1062" s="192"/>
      <c r="M1062" s="192"/>
      <c r="N1062" s="192"/>
      <c r="O1062" s="192"/>
      <c r="P1062" s="192"/>
    </row>
    <row r="1063">
      <c r="A1063" s="192"/>
      <c r="B1063" s="192"/>
      <c r="C1063" s="192"/>
      <c r="D1063" s="192"/>
      <c r="E1063" s="192"/>
      <c r="F1063" s="192"/>
      <c r="G1063" s="192"/>
      <c r="H1063" s="192"/>
      <c r="I1063" s="192"/>
      <c r="J1063" s="192"/>
      <c r="K1063" s="192"/>
      <c r="L1063" s="192"/>
      <c r="M1063" s="192"/>
      <c r="N1063" s="192"/>
      <c r="O1063" s="192"/>
      <c r="P1063" s="192"/>
    </row>
    <row r="1064">
      <c r="A1064" s="192"/>
      <c r="B1064" s="192"/>
      <c r="C1064" s="192"/>
      <c r="D1064" s="192"/>
      <c r="E1064" s="192"/>
      <c r="F1064" s="192"/>
      <c r="G1064" s="192"/>
      <c r="H1064" s="192"/>
      <c r="I1064" s="192"/>
      <c r="J1064" s="192"/>
      <c r="K1064" s="192"/>
      <c r="L1064" s="192"/>
      <c r="M1064" s="192"/>
      <c r="N1064" s="192"/>
      <c r="O1064" s="192"/>
      <c r="P1064" s="192"/>
    </row>
    <row r="1065">
      <c r="A1065" s="192"/>
      <c r="B1065" s="192"/>
      <c r="C1065" s="192"/>
      <c r="D1065" s="192"/>
      <c r="E1065" s="192"/>
      <c r="F1065" s="192"/>
      <c r="G1065" s="192"/>
      <c r="H1065" s="192"/>
      <c r="I1065" s="192"/>
      <c r="J1065" s="192"/>
      <c r="K1065" s="192"/>
      <c r="L1065" s="192"/>
      <c r="M1065" s="192"/>
      <c r="N1065" s="192"/>
      <c r="O1065" s="192"/>
      <c r="P1065" s="192"/>
    </row>
    <row r="1066">
      <c r="A1066" s="192"/>
      <c r="B1066" s="192"/>
      <c r="C1066" s="192"/>
      <c r="D1066" s="192"/>
      <c r="E1066" s="192"/>
      <c r="F1066" s="192"/>
      <c r="G1066" s="192"/>
      <c r="H1066" s="192"/>
      <c r="I1066" s="192"/>
      <c r="J1066" s="192"/>
      <c r="K1066" s="192"/>
      <c r="L1066" s="192"/>
      <c r="M1066" s="192"/>
      <c r="N1066" s="192"/>
      <c r="O1066" s="192"/>
      <c r="P1066" s="192"/>
    </row>
    <row r="1067">
      <c r="A1067" s="192"/>
      <c r="B1067" s="192"/>
      <c r="C1067" s="192"/>
      <c r="D1067" s="192"/>
      <c r="E1067" s="192"/>
      <c r="F1067" s="192"/>
      <c r="G1067" s="192"/>
      <c r="H1067" s="192"/>
      <c r="I1067" s="192"/>
      <c r="J1067" s="192"/>
      <c r="K1067" s="192"/>
      <c r="L1067" s="192"/>
      <c r="M1067" s="192"/>
      <c r="N1067" s="192"/>
      <c r="O1067" s="192"/>
      <c r="P1067" s="192"/>
    </row>
    <row r="1068">
      <c r="A1068" s="192"/>
      <c r="B1068" s="192"/>
      <c r="C1068" s="192"/>
      <c r="D1068" s="192"/>
      <c r="E1068" s="192"/>
      <c r="F1068" s="192"/>
      <c r="G1068" s="192"/>
      <c r="H1068" s="192"/>
      <c r="I1068" s="192"/>
      <c r="J1068" s="192"/>
      <c r="K1068" s="192"/>
      <c r="L1068" s="192"/>
      <c r="M1068" s="192"/>
      <c r="N1068" s="192"/>
      <c r="O1068" s="192"/>
      <c r="P1068" s="192"/>
    </row>
    <row r="1069">
      <c r="A1069" s="192"/>
      <c r="B1069" s="192"/>
      <c r="C1069" s="192"/>
      <c r="D1069" s="192"/>
      <c r="E1069" s="192"/>
      <c r="F1069" s="192"/>
      <c r="G1069" s="192"/>
      <c r="H1069" s="192"/>
      <c r="I1069" s="192"/>
      <c r="J1069" s="192"/>
      <c r="K1069" s="192"/>
      <c r="L1069" s="192"/>
      <c r="M1069" s="192"/>
      <c r="N1069" s="192"/>
      <c r="O1069" s="192"/>
      <c r="P1069" s="192"/>
    </row>
    <row r="1070">
      <c r="A1070" s="192"/>
      <c r="B1070" s="192"/>
      <c r="C1070" s="192"/>
      <c r="D1070" s="192"/>
      <c r="E1070" s="192"/>
      <c r="F1070" s="192"/>
      <c r="G1070" s="192"/>
      <c r="H1070" s="192"/>
      <c r="I1070" s="192"/>
      <c r="J1070" s="192"/>
      <c r="K1070" s="192"/>
      <c r="L1070" s="192"/>
      <c r="M1070" s="192"/>
      <c r="N1070" s="192"/>
      <c r="O1070" s="192"/>
      <c r="P1070" s="192"/>
    </row>
    <row r="1071">
      <c r="A1071" s="192"/>
      <c r="B1071" s="192"/>
      <c r="C1071" s="192"/>
      <c r="D1071" s="192"/>
      <c r="E1071" s="192"/>
      <c r="F1071" s="192"/>
      <c r="G1071" s="192"/>
      <c r="H1071" s="192"/>
      <c r="I1071" s="192"/>
      <c r="J1071" s="192"/>
      <c r="K1071" s="192"/>
      <c r="L1071" s="192"/>
      <c r="M1071" s="192"/>
      <c r="N1071" s="192"/>
      <c r="O1071" s="192"/>
      <c r="P1071" s="192"/>
    </row>
    <row r="1072">
      <c r="A1072" s="192"/>
      <c r="B1072" s="192"/>
      <c r="C1072" s="192"/>
      <c r="D1072" s="192"/>
      <c r="E1072" s="192"/>
      <c r="F1072" s="192"/>
      <c r="G1072" s="192"/>
      <c r="H1072" s="192"/>
      <c r="I1072" s="192"/>
      <c r="J1072" s="192"/>
      <c r="K1072" s="192"/>
      <c r="L1072" s="192"/>
      <c r="M1072" s="192"/>
      <c r="N1072" s="192"/>
      <c r="O1072" s="192"/>
      <c r="P1072" s="192"/>
    </row>
    <row r="1073">
      <c r="A1073" s="192"/>
      <c r="B1073" s="192"/>
      <c r="C1073" s="192"/>
      <c r="D1073" s="192"/>
      <c r="E1073" s="192"/>
      <c r="F1073" s="192"/>
      <c r="G1073" s="192"/>
      <c r="H1073" s="192"/>
      <c r="I1073" s="192"/>
      <c r="J1073" s="192"/>
      <c r="K1073" s="192"/>
      <c r="L1073" s="192"/>
      <c r="M1073" s="192"/>
      <c r="N1073" s="192"/>
      <c r="O1073" s="192"/>
      <c r="P1073" s="192"/>
    </row>
    <row r="1074">
      <c r="A1074" s="192"/>
      <c r="B1074" s="192"/>
      <c r="C1074" s="192"/>
      <c r="D1074" s="192"/>
      <c r="E1074" s="192"/>
      <c r="F1074" s="192"/>
      <c r="G1074" s="192"/>
      <c r="H1074" s="192"/>
      <c r="I1074" s="192"/>
      <c r="J1074" s="192"/>
      <c r="K1074" s="192"/>
      <c r="L1074" s="192"/>
      <c r="M1074" s="192"/>
      <c r="N1074" s="192"/>
      <c r="O1074" s="192"/>
      <c r="P1074" s="192"/>
    </row>
    <row r="1075">
      <c r="A1075" s="192"/>
      <c r="B1075" s="192"/>
      <c r="C1075" s="192"/>
      <c r="D1075" s="192"/>
      <c r="E1075" s="192"/>
      <c r="F1075" s="192"/>
      <c r="G1075" s="192"/>
      <c r="H1075" s="192"/>
      <c r="I1075" s="192"/>
      <c r="J1075" s="192"/>
      <c r="K1075" s="192"/>
      <c r="L1075" s="192"/>
      <c r="M1075" s="192"/>
      <c r="N1075" s="192"/>
      <c r="O1075" s="192"/>
      <c r="P1075" s="192"/>
    </row>
    <row r="1076">
      <c r="A1076" s="192"/>
      <c r="B1076" s="192"/>
      <c r="C1076" s="192"/>
      <c r="D1076" s="192"/>
      <c r="E1076" s="192"/>
      <c r="F1076" s="192"/>
      <c r="G1076" s="192"/>
      <c r="H1076" s="192"/>
      <c r="I1076" s="192"/>
      <c r="J1076" s="192"/>
      <c r="K1076" s="192"/>
      <c r="L1076" s="192"/>
      <c r="M1076" s="192"/>
      <c r="N1076" s="192"/>
      <c r="O1076" s="192"/>
      <c r="P1076" s="192"/>
    </row>
    <row r="1077">
      <c r="A1077" s="192"/>
      <c r="B1077" s="192"/>
      <c r="C1077" s="192"/>
      <c r="D1077" s="192"/>
      <c r="E1077" s="192"/>
      <c r="F1077" s="192"/>
      <c r="G1077" s="192"/>
      <c r="H1077" s="192"/>
      <c r="I1077" s="192"/>
      <c r="J1077" s="192"/>
      <c r="K1077" s="192"/>
      <c r="L1077" s="192"/>
      <c r="M1077" s="192"/>
      <c r="N1077" s="192"/>
      <c r="O1077" s="192"/>
      <c r="P1077" s="192"/>
    </row>
    <row r="1078">
      <c r="A1078" s="192"/>
      <c r="B1078" s="192"/>
      <c r="C1078" s="192"/>
      <c r="D1078" s="192"/>
      <c r="E1078" s="192"/>
      <c r="F1078" s="192"/>
      <c r="G1078" s="192"/>
      <c r="H1078" s="192"/>
      <c r="I1078" s="192"/>
      <c r="J1078" s="192"/>
      <c r="K1078" s="192"/>
      <c r="L1078" s="192"/>
      <c r="M1078" s="192"/>
      <c r="N1078" s="192"/>
      <c r="O1078" s="192"/>
      <c r="P1078" s="192"/>
    </row>
    <row r="1079">
      <c r="A1079" s="192"/>
      <c r="B1079" s="192"/>
      <c r="C1079" s="192"/>
      <c r="D1079" s="192"/>
      <c r="E1079" s="192"/>
      <c r="F1079" s="192"/>
      <c r="G1079" s="192"/>
      <c r="H1079" s="192"/>
      <c r="I1079" s="192"/>
      <c r="J1079" s="192"/>
      <c r="K1079" s="192"/>
      <c r="L1079" s="192"/>
      <c r="M1079" s="192"/>
      <c r="N1079" s="192"/>
      <c r="O1079" s="192"/>
      <c r="P1079" s="192"/>
    </row>
    <row r="1080">
      <c r="A1080" s="192"/>
      <c r="B1080" s="192"/>
      <c r="C1080" s="192"/>
      <c r="D1080" s="192"/>
      <c r="E1080" s="192"/>
      <c r="F1080" s="192"/>
      <c r="G1080" s="192"/>
      <c r="H1080" s="192"/>
      <c r="I1080" s="192"/>
      <c r="J1080" s="192"/>
      <c r="K1080" s="192"/>
      <c r="L1080" s="192"/>
      <c r="M1080" s="192"/>
      <c r="N1080" s="192"/>
      <c r="O1080" s="192"/>
      <c r="P1080" s="192"/>
    </row>
    <row r="1081">
      <c r="A1081" s="192"/>
      <c r="B1081" s="192"/>
      <c r="C1081" s="192"/>
      <c r="D1081" s="192"/>
      <c r="E1081" s="192"/>
      <c r="F1081" s="192"/>
      <c r="G1081" s="192"/>
      <c r="H1081" s="192"/>
      <c r="I1081" s="192"/>
      <c r="J1081" s="192"/>
      <c r="K1081" s="192"/>
      <c r="L1081" s="192"/>
      <c r="M1081" s="192"/>
      <c r="N1081" s="192"/>
      <c r="O1081" s="192"/>
      <c r="P1081" s="192"/>
    </row>
    <row r="1082">
      <c r="A1082" s="192"/>
      <c r="B1082" s="192"/>
      <c r="C1082" s="192"/>
      <c r="D1082" s="192"/>
      <c r="E1082" s="192"/>
      <c r="F1082" s="192"/>
      <c r="G1082" s="192"/>
      <c r="H1082" s="192"/>
      <c r="I1082" s="192"/>
      <c r="J1082" s="192"/>
      <c r="K1082" s="192"/>
      <c r="L1082" s="192"/>
      <c r="M1082" s="192"/>
      <c r="N1082" s="192"/>
      <c r="O1082" s="192"/>
      <c r="P1082" s="192"/>
    </row>
    <row r="1083">
      <c r="A1083" s="192"/>
      <c r="B1083" s="192"/>
      <c r="C1083" s="192"/>
      <c r="D1083" s="192"/>
      <c r="E1083" s="192"/>
      <c r="F1083" s="192"/>
      <c r="G1083" s="192"/>
      <c r="H1083" s="192"/>
      <c r="I1083" s="192"/>
      <c r="J1083" s="192"/>
      <c r="K1083" s="192"/>
      <c r="L1083" s="192"/>
      <c r="M1083" s="192"/>
      <c r="N1083" s="192"/>
      <c r="O1083" s="192"/>
      <c r="P1083" s="192"/>
    </row>
    <row r="1084">
      <c r="A1084" s="192"/>
      <c r="B1084" s="192"/>
      <c r="C1084" s="192"/>
      <c r="D1084" s="192"/>
      <c r="E1084" s="192"/>
      <c r="F1084" s="192"/>
      <c r="G1084" s="192"/>
      <c r="H1084" s="192"/>
      <c r="I1084" s="192"/>
      <c r="J1084" s="192"/>
      <c r="K1084" s="192"/>
      <c r="L1084" s="192"/>
      <c r="M1084" s="192"/>
      <c r="N1084" s="192"/>
      <c r="O1084" s="192"/>
      <c r="P1084" s="192"/>
    </row>
    <row r="1085">
      <c r="A1085" s="192"/>
      <c r="B1085" s="192"/>
      <c r="C1085" s="192"/>
      <c r="D1085" s="192"/>
      <c r="E1085" s="192"/>
      <c r="F1085" s="192"/>
      <c r="G1085" s="192"/>
      <c r="H1085" s="192"/>
      <c r="I1085" s="192"/>
      <c r="J1085" s="192"/>
      <c r="K1085" s="192"/>
      <c r="L1085" s="192"/>
      <c r="M1085" s="192"/>
      <c r="N1085" s="192"/>
      <c r="O1085" s="192"/>
      <c r="P1085" s="192"/>
    </row>
    <row r="1086">
      <c r="A1086" s="192"/>
      <c r="B1086" s="192"/>
      <c r="C1086" s="192"/>
      <c r="D1086" s="192"/>
      <c r="E1086" s="192"/>
      <c r="F1086" s="192"/>
      <c r="G1086" s="192"/>
      <c r="H1086" s="192"/>
      <c r="I1086" s="192"/>
      <c r="J1086" s="192"/>
      <c r="K1086" s="192"/>
      <c r="L1086" s="192"/>
      <c r="M1086" s="192"/>
      <c r="N1086" s="192"/>
      <c r="O1086" s="192"/>
      <c r="P1086" s="192"/>
    </row>
    <row r="1087">
      <c r="A1087" s="192"/>
      <c r="B1087" s="192"/>
      <c r="C1087" s="192"/>
      <c r="D1087" s="192"/>
      <c r="E1087" s="192"/>
      <c r="F1087" s="192"/>
      <c r="G1087" s="192"/>
      <c r="H1087" s="192"/>
      <c r="I1087" s="192"/>
      <c r="J1087" s="192"/>
      <c r="K1087" s="192"/>
      <c r="L1087" s="192"/>
      <c r="M1087" s="192"/>
      <c r="N1087" s="192"/>
      <c r="O1087" s="192"/>
      <c r="P1087" s="192"/>
    </row>
    <row r="1088">
      <c r="A1088" s="192"/>
      <c r="B1088" s="192"/>
      <c r="C1088" s="192"/>
      <c r="D1088" s="192"/>
      <c r="E1088" s="192"/>
      <c r="F1088" s="192"/>
      <c r="G1088" s="192"/>
      <c r="H1088" s="192"/>
      <c r="I1088" s="192"/>
      <c r="J1088" s="192"/>
      <c r="K1088" s="192"/>
      <c r="L1088" s="192"/>
      <c r="M1088" s="192"/>
      <c r="N1088" s="192"/>
      <c r="O1088" s="192"/>
      <c r="P1088" s="192"/>
    </row>
    <row r="1089">
      <c r="A1089" s="192"/>
      <c r="B1089" s="192"/>
      <c r="C1089" s="192"/>
      <c r="D1089" s="192"/>
      <c r="E1089" s="192"/>
      <c r="F1089" s="192"/>
      <c r="G1089" s="192"/>
      <c r="H1089" s="192"/>
      <c r="I1089" s="192"/>
      <c r="J1089" s="192"/>
      <c r="K1089" s="192"/>
      <c r="L1089" s="192"/>
      <c r="M1089" s="192"/>
      <c r="N1089" s="192"/>
      <c r="O1089" s="192"/>
      <c r="P1089" s="192"/>
    </row>
    <row r="1090">
      <c r="A1090" s="192"/>
      <c r="B1090" s="192"/>
      <c r="C1090" s="192"/>
      <c r="D1090" s="192"/>
      <c r="E1090" s="192"/>
      <c r="F1090" s="192"/>
      <c r="G1090" s="192"/>
      <c r="H1090" s="192"/>
      <c r="I1090" s="192"/>
      <c r="J1090" s="192"/>
      <c r="K1090" s="192"/>
      <c r="L1090" s="192"/>
      <c r="M1090" s="192"/>
      <c r="N1090" s="192"/>
      <c r="O1090" s="192"/>
      <c r="P1090" s="192"/>
    </row>
    <row r="1091">
      <c r="A1091" s="192"/>
      <c r="B1091" s="192"/>
      <c r="C1091" s="192"/>
      <c r="D1091" s="192"/>
      <c r="E1091" s="192"/>
      <c r="F1091" s="192"/>
      <c r="G1091" s="192"/>
      <c r="H1091" s="192"/>
      <c r="I1091" s="192"/>
      <c r="J1091" s="192"/>
      <c r="K1091" s="192"/>
      <c r="L1091" s="192"/>
      <c r="M1091" s="192"/>
      <c r="N1091" s="192"/>
      <c r="O1091" s="192"/>
      <c r="P1091" s="192"/>
    </row>
    <row r="1092">
      <c r="A1092" s="192"/>
      <c r="B1092" s="192"/>
      <c r="C1092" s="192"/>
      <c r="D1092" s="192"/>
      <c r="E1092" s="192"/>
      <c r="F1092" s="192"/>
      <c r="G1092" s="192"/>
      <c r="H1092" s="192"/>
      <c r="I1092" s="192"/>
      <c r="J1092" s="192"/>
      <c r="K1092" s="192"/>
      <c r="L1092" s="192"/>
      <c r="M1092" s="192"/>
      <c r="N1092" s="192"/>
      <c r="O1092" s="192"/>
      <c r="P1092" s="192"/>
    </row>
    <row r="1093">
      <c r="A1093" s="192"/>
      <c r="B1093" s="192"/>
      <c r="C1093" s="192"/>
      <c r="D1093" s="192"/>
      <c r="E1093" s="192"/>
      <c r="F1093" s="192"/>
      <c r="G1093" s="192"/>
      <c r="H1093" s="192"/>
      <c r="I1093" s="192"/>
      <c r="J1093" s="192"/>
      <c r="K1093" s="192"/>
      <c r="L1093" s="192"/>
      <c r="M1093" s="192"/>
      <c r="N1093" s="192"/>
      <c r="O1093" s="192"/>
      <c r="P1093" s="192"/>
    </row>
    <row r="1094">
      <c r="A1094" s="192"/>
      <c r="B1094" s="192"/>
      <c r="C1094" s="192"/>
      <c r="D1094" s="192"/>
      <c r="E1094" s="192"/>
      <c r="F1094" s="192"/>
      <c r="G1094" s="192"/>
      <c r="H1094" s="192"/>
      <c r="I1094" s="192"/>
      <c r="J1094" s="192"/>
      <c r="K1094" s="192"/>
      <c r="L1094" s="192"/>
      <c r="M1094" s="192"/>
      <c r="N1094" s="192"/>
      <c r="O1094" s="192"/>
      <c r="P1094" s="192"/>
    </row>
    <row r="1095">
      <c r="P1095" s="192"/>
    </row>
    <row r="1096">
      <c r="P1096" s="192"/>
    </row>
    <row r="1097">
      <c r="P1097" s="192"/>
    </row>
    <row r="1098">
      <c r="P1098" s="192"/>
    </row>
    <row r="1099">
      <c r="P1099" s="192"/>
    </row>
    <row r="1100">
      <c r="P1100" s="192"/>
    </row>
    <row r="1101">
      <c r="P1101" s="192"/>
    </row>
    <row r="1102">
      <c r="P1102" s="192"/>
    </row>
    <row r="1103">
      <c r="P1103" s="192"/>
    </row>
    <row r="1104">
      <c r="P1104" s="192"/>
    </row>
    <row r="1105">
      <c r="P1105" s="192"/>
    </row>
    <row r="1106">
      <c r="P1106" s="192"/>
    </row>
    <row r="1107">
      <c r="P1107" s="192"/>
    </row>
    <row r="1108">
      <c r="P1108" s="192"/>
    </row>
    <row r="1109">
      <c r="P1109" s="192"/>
    </row>
    <row r="1110">
      <c r="P1110" s="192"/>
    </row>
    <row r="1111">
      <c r="P1111" s="192"/>
    </row>
    <row r="1112">
      <c r="P1112" s="192"/>
    </row>
    <row r="1113">
      <c r="P1113" s="192"/>
    </row>
    <row r="1114">
      <c r="P1114" s="192"/>
    </row>
    <row r="1115">
      <c r="P1115" s="192"/>
    </row>
    <row r="1116">
      <c r="P1116" s="192"/>
    </row>
    <row r="1117">
      <c r="P1117" s="192"/>
    </row>
    <row r="1118">
      <c r="P1118" s="192"/>
    </row>
    <row r="1119">
      <c r="P1119" s="192"/>
    </row>
    <row r="1120">
      <c r="P1120" s="192"/>
    </row>
    <row r="1121">
      <c r="P1121" s="192"/>
    </row>
    <row r="1122">
      <c r="P1122" s="192"/>
    </row>
    <row r="1123">
      <c r="P1123" s="192"/>
    </row>
    <row r="1124">
      <c r="P1124" s="192"/>
    </row>
    <row r="1125">
      <c r="P1125" s="192"/>
    </row>
    <row r="1126">
      <c r="P1126" s="192"/>
    </row>
    <row r="1127">
      <c r="P1127" s="192"/>
    </row>
    <row r="1128">
      <c r="P1128" s="192"/>
    </row>
    <row r="1129">
      <c r="P1129" s="192"/>
    </row>
    <row r="1130">
      <c r="P1130" s="192"/>
    </row>
    <row r="1131">
      <c r="P1131" s="192"/>
    </row>
    <row r="1132">
      <c r="P1132" s="192"/>
    </row>
    <row r="1133">
      <c r="P1133" s="192"/>
    </row>
    <row r="1134">
      <c r="P1134" s="192"/>
    </row>
    <row r="1135">
      <c r="P1135" s="192"/>
    </row>
    <row r="1136">
      <c r="P1136" s="192"/>
    </row>
    <row r="1137">
      <c r="P1137" s="192"/>
    </row>
    <row r="1138">
      <c r="P1138" s="192"/>
    </row>
    <row r="1139">
      <c r="P1139" s="192"/>
    </row>
    <row r="1140">
      <c r="P1140" s="192"/>
    </row>
    <row r="1141">
      <c r="P1141" s="192"/>
    </row>
    <row r="1142">
      <c r="P1142" s="192"/>
    </row>
    <row r="1143">
      <c r="P1143" s="192"/>
    </row>
    <row r="1144">
      <c r="P1144" s="192"/>
    </row>
  </sheetData>
  <mergeCells count="15">
    <mergeCell ref="B6:B7"/>
    <mergeCell ref="C6:C7"/>
    <mergeCell ref="D6:D7"/>
    <mergeCell ref="E6:E7"/>
    <mergeCell ref="F6:F7"/>
    <mergeCell ref="G6:I6"/>
    <mergeCell ref="J6:M6"/>
    <mergeCell ref="A17:O17"/>
    <mergeCell ref="A1:P1"/>
    <mergeCell ref="A2:P2"/>
    <mergeCell ref="A3:D3"/>
    <mergeCell ref="E3:P3"/>
    <mergeCell ref="A4:P4"/>
    <mergeCell ref="A5:O5"/>
    <mergeCell ref="A6:A7"/>
  </mergeCells>
  <conditionalFormatting sqref="A8:A207 B8:F230 G8:G251 H8:L230 M8:N251 O8:O230 P8:P23 P25:P26 P30 P36 P42 P49 P52:P53 P55 P62 P64 P70:P71 P73 P76:P78 P83:P84 P99 P112 P123:P126 P130 P135:P136 P147 P152 P158 P163 P180 P184:P185 P189:P191 P207 A215:A230 P218 P230 B234:F251 H234:L251 O234:O251 P249:P251">
    <cfRule type="notContainsBlanks" dxfId="0" priority="1">
      <formula>LEN(TRIM(A8))&gt;0</formula>
    </cfRule>
  </conditionalFormatting>
  <conditionalFormatting sqref="A8:A207 B8:F230 G8:G251 H8:L230 M8:N251 O8:O230 P8:P23 P25:P26 P30 P36 P42 P49 P52:P53 P55 P62 P64 P70:P71 P73 P76:P78 P83:P84 P99 P112 P123:P126 P130 P135:P136 P147 P152 P158 P163 P180 P184:P185 P189:P191 P207 A215:A230 P218 P230 B234:F251 H234:L251 O234:O251 P249:P251">
    <cfRule type="notContainsBlanks" dxfId="0" priority="2">
      <formula>LEN(TRIM(A8))&gt;0</formula>
    </cfRule>
  </conditionalFormatting>
  <dataValidations>
    <dataValidation type="list" allowBlank="1" showErrorMessage="1" sqref="O21 P45 O50 O52 P70 P100 P102 O204 O210:O211 O213 O215:O216 O218:O227 O230:O233 O235:O245 O247:O253 O254:P254 O255:O259 O260:P261 O262 O263:P263 O264 P265:P266 P268:P277 P280:P283 P285:P295 P297:P314">
      <formula1>"SERVED,ONGOING,CLEARED OUT"</formula1>
    </dataValidation>
    <dataValidation type="list" allowBlank="1" showErrorMessage="1" sqref="D8:D12 D16 D18:D264">
      <formula1>"I,II,III"</formula1>
    </dataValidation>
    <dataValidation type="list" allowBlank="1" showErrorMessage="1" sqref="O8:P12 P13:P15 O16:P16 P17 O18:P20 P21 O22:P26 O27:O29 O30:P30 O31 O32:P43 O44:O45 O46:P49 P50 O51:P51 O53:P69 O70 O71:P99 O100 O101:P101 O102 O103:P203 P204 O205:P209 P210:P211 O212:P212 P213 O214:P214 P215:P216 O217:P217 P218:P227 O228:P229 P230:P233 O234:P234 P235:P245 O246:P246 P247:P253 P255:P259 P262 P264 P267 P278:P279 P284 P296">
      <formula1>"SERVED,ONGOING,CONFINED,ONGOING/CONFINED"</formula1>
    </dataValidation>
    <dataValidation type="list" allowBlank="1" sqref="E8:E12 E16 E18:E264">
      <formula1>SUMMARY!$E$10:$E$19</formula1>
    </dataValidation>
    <dataValidation type="list" allowBlank="1" showErrorMessage="1" sqref="A8:A12 A16 A18:A20 A21:C21 F21 J21:N21 A22:A119 A120:C120 F120 J120:N120 A121:A264">
      <formula1>"1CL,2CL,3CL,4CL,2LT"</formula1>
    </dataValidation>
    <dataValidation type="custom" allowBlank="1" showDropDown="1" sqref="E3 N8:N9 H8:I12 N12 H16:I16 N18:N19 N22 N26 N29 N33:N34 N36 N40 N43 N46:N47 N49:N54 N57:N59 N61 N63 N67 N74 N76:N77 N79 N81:N83 N87:N88 N90:N93 N97:N99 N101:N102 N109 N111:N112 N115 N122:N123 N125 N130:N132 N135:N136 N143:N144 N152 N154 N157 H18:I158 N161 N164 H160:I166 N169:N170 N177:N178 N183 N185 N187 N191 N194:N196 N201 H168:I213 I214 H215:I225 I226 H227:I228 I229 H230:I233 I234 H235:I245 I246 H247:I264">
      <formula1>OR(NOT(ISERROR(DATEVALUE(E3))), AND(ISNUMBER(E3), LEFT(CELL("format", E3))="D"))</formula1>
    </dataValidation>
    <dataValidation type="list" allowBlank="1" showDropDown="1" showErrorMessage="1" sqref="G8:G12 G16 G18:G264">
      <formula1>"Yes,No"</formula1>
    </dataValidation>
    <dataValidation type="list" allowBlank="1" showErrorMessage="1" sqref="P44 P52">
      <formula1>"SERVED,ONGOING,ADVANCED TOURING,PARDONED"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5"/>
    <col customWidth="1" min="2" max="2" width="9.13"/>
    <col customWidth="1" min="3" max="3" width="16.25"/>
    <col customWidth="1" hidden="1" min="4" max="4" width="101.5"/>
    <col customWidth="1" hidden="1" min="5" max="5" width="9.63"/>
    <col customWidth="1" hidden="1" min="6" max="6" width="33.13"/>
    <col customWidth="1" hidden="1" min="7" max="7" width="12.25"/>
    <col customWidth="1" min="13" max="13" width="11.25"/>
    <col customWidth="1" min="14" max="14" width="10.25"/>
    <col customWidth="1" min="15" max="15" width="16.0"/>
    <col customWidth="1" min="16" max="26" width="23.5"/>
  </cols>
  <sheetData>
    <row r="1">
      <c r="A1" s="392" t="s">
        <v>1057</v>
      </c>
      <c r="Q1" s="392"/>
      <c r="R1" s="392"/>
      <c r="S1" s="392"/>
      <c r="T1" s="392"/>
      <c r="U1" s="392"/>
      <c r="V1" s="392"/>
      <c r="W1" s="392"/>
      <c r="X1" s="392"/>
      <c r="Y1" s="392"/>
      <c r="Z1" s="392"/>
    </row>
    <row r="2">
      <c r="A2" s="393" t="s">
        <v>1058</v>
      </c>
      <c r="Q2" s="393"/>
      <c r="R2" s="393"/>
      <c r="S2" s="393"/>
      <c r="T2" s="393"/>
      <c r="U2" s="393"/>
      <c r="V2" s="393"/>
      <c r="W2" s="393"/>
      <c r="X2" s="393"/>
      <c r="Y2" s="393"/>
      <c r="Z2" s="393"/>
    </row>
    <row r="3">
      <c r="A3" s="394" t="s">
        <v>72</v>
      </c>
      <c r="E3" s="395">
        <v>46146.0</v>
      </c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34.5" customHeight="1">
      <c r="A4" s="396" t="s">
        <v>229</v>
      </c>
      <c r="Q4" s="396"/>
      <c r="R4" s="396"/>
      <c r="S4" s="396"/>
      <c r="T4" s="396"/>
      <c r="U4" s="396"/>
      <c r="V4" s="396"/>
      <c r="W4" s="396"/>
      <c r="X4" s="396"/>
      <c r="Y4" s="396"/>
      <c r="Z4" s="396"/>
    </row>
    <row r="5">
      <c r="A5" s="397" t="s">
        <v>54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7"/>
      <c r="Q5" s="398"/>
      <c r="R5" s="398"/>
      <c r="S5" s="398"/>
      <c r="T5" s="398"/>
      <c r="U5" s="398"/>
      <c r="V5" s="398"/>
      <c r="W5" s="398"/>
      <c r="X5" s="398"/>
      <c r="Y5" s="398"/>
      <c r="Z5" s="398"/>
    </row>
    <row r="6">
      <c r="A6" s="399" t="s">
        <v>55</v>
      </c>
      <c r="B6" s="399" t="s">
        <v>56</v>
      </c>
      <c r="C6" s="399" t="s">
        <v>57</v>
      </c>
      <c r="D6" s="399" t="s">
        <v>58</v>
      </c>
      <c r="E6" s="399" t="s">
        <v>59</v>
      </c>
      <c r="F6" s="399" t="s">
        <v>60</v>
      </c>
      <c r="G6" s="399" t="s">
        <v>61</v>
      </c>
      <c r="H6" s="400" t="s">
        <v>62</v>
      </c>
      <c r="I6" s="96"/>
      <c r="J6" s="97"/>
      <c r="K6" s="400" t="s">
        <v>63</v>
      </c>
      <c r="L6" s="96"/>
      <c r="M6" s="96"/>
      <c r="N6" s="97"/>
      <c r="O6" s="399" t="s">
        <v>64</v>
      </c>
      <c r="P6" s="399" t="s">
        <v>65</v>
      </c>
      <c r="Q6" s="401"/>
      <c r="R6" s="401"/>
      <c r="S6" s="401"/>
      <c r="T6" s="401"/>
      <c r="U6" s="401"/>
      <c r="V6" s="401"/>
      <c r="W6" s="401"/>
      <c r="X6" s="401"/>
      <c r="Y6" s="401"/>
      <c r="Z6" s="401"/>
    </row>
    <row r="7">
      <c r="A7" s="68"/>
      <c r="B7" s="68"/>
      <c r="C7" s="68"/>
      <c r="D7" s="68"/>
      <c r="E7" s="68"/>
      <c r="F7" s="68"/>
      <c r="G7" s="68"/>
      <c r="H7" s="402" t="s">
        <v>66</v>
      </c>
      <c r="I7" s="403" t="s">
        <v>67</v>
      </c>
      <c r="J7" s="403" t="s">
        <v>68</v>
      </c>
      <c r="K7" s="403" t="s">
        <v>30</v>
      </c>
      <c r="L7" s="403" t="s">
        <v>69</v>
      </c>
      <c r="M7" s="403" t="s">
        <v>70</v>
      </c>
      <c r="N7" s="403" t="s">
        <v>71</v>
      </c>
      <c r="O7" s="68"/>
      <c r="P7" s="68"/>
      <c r="Q7" s="401"/>
      <c r="R7" s="401"/>
      <c r="S7" s="401"/>
      <c r="T7" s="401"/>
      <c r="U7" s="401"/>
      <c r="V7" s="401"/>
      <c r="W7" s="401"/>
      <c r="X7" s="401"/>
      <c r="Y7" s="401"/>
      <c r="Z7" s="401"/>
    </row>
    <row r="8">
      <c r="A8" s="404"/>
      <c r="B8" s="404"/>
      <c r="C8" s="404"/>
      <c r="D8" s="404"/>
      <c r="E8" s="404"/>
      <c r="F8" s="404"/>
      <c r="G8" s="404"/>
      <c r="H8" s="404"/>
      <c r="I8" s="404"/>
      <c r="J8" s="404"/>
      <c r="K8" s="404"/>
      <c r="L8" s="404"/>
      <c r="M8" s="404"/>
      <c r="N8" s="404"/>
      <c r="O8" s="404"/>
      <c r="P8" s="404"/>
      <c r="Q8" s="398"/>
      <c r="R8" s="398"/>
      <c r="S8" s="398"/>
      <c r="T8" s="398"/>
      <c r="U8" s="398"/>
      <c r="V8" s="398"/>
      <c r="W8" s="398"/>
      <c r="X8" s="398"/>
      <c r="Y8" s="398"/>
      <c r="Z8" s="398"/>
    </row>
    <row r="10" ht="30.0" customHeight="1">
      <c r="A10" s="201">
        <v>1.0</v>
      </c>
      <c r="B10" s="405" t="s">
        <v>16</v>
      </c>
      <c r="C10" s="406" t="s">
        <v>1059</v>
      </c>
      <c r="D10" s="406" t="s">
        <v>1060</v>
      </c>
      <c r="E10" s="405" t="s">
        <v>35</v>
      </c>
      <c r="F10" s="406" t="s">
        <v>23</v>
      </c>
      <c r="G10" s="406">
        <v>10.0</v>
      </c>
      <c r="H10" s="405" t="s">
        <v>92</v>
      </c>
      <c r="I10" s="407"/>
      <c r="J10" s="408"/>
      <c r="K10" s="406">
        <v>10.0</v>
      </c>
      <c r="L10" s="406">
        <v>0.0</v>
      </c>
      <c r="M10" s="405">
        <v>0.0</v>
      </c>
      <c r="N10" s="409">
        <f>K10-L10-M10</f>
        <v>10</v>
      </c>
      <c r="O10" s="405" t="s">
        <v>1061</v>
      </c>
      <c r="P10" s="405" t="s">
        <v>100</v>
      </c>
      <c r="Q10" s="410"/>
      <c r="R10" s="410"/>
      <c r="S10" s="410"/>
      <c r="T10" s="410"/>
      <c r="U10" s="410"/>
      <c r="V10" s="410"/>
      <c r="W10" s="410"/>
      <c r="X10" s="410"/>
      <c r="Y10" s="410"/>
      <c r="Z10" s="410"/>
    </row>
    <row r="11" ht="29.25" customHeight="1">
      <c r="A11" s="411" t="s">
        <v>144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7"/>
      <c r="Q11" s="412"/>
      <c r="R11" s="412"/>
      <c r="S11" s="412"/>
      <c r="T11" s="412"/>
      <c r="U11" s="412"/>
      <c r="V11" s="412"/>
      <c r="W11" s="412"/>
      <c r="X11" s="412"/>
      <c r="Y11" s="412"/>
      <c r="Z11" s="412"/>
    </row>
    <row r="12">
      <c r="A12" s="413"/>
      <c r="B12" s="414" t="s">
        <v>15</v>
      </c>
      <c r="C12" s="56" t="s">
        <v>1062</v>
      </c>
      <c r="D12" s="201" t="s">
        <v>1063</v>
      </c>
      <c r="E12" s="56" t="s">
        <v>35</v>
      </c>
      <c r="F12" s="56" t="s">
        <v>23</v>
      </c>
      <c r="G12" s="56">
        <v>10.0</v>
      </c>
      <c r="H12" s="56" t="s">
        <v>92</v>
      </c>
      <c r="I12" s="415"/>
      <c r="J12" s="415"/>
      <c r="K12" s="56">
        <v>10.0</v>
      </c>
      <c r="L12" s="56">
        <v>0.0</v>
      </c>
      <c r="M12" s="56">
        <v>10.0</v>
      </c>
      <c r="N12" s="56">
        <v>0.0</v>
      </c>
      <c r="O12" s="201" t="s">
        <v>1064</v>
      </c>
      <c r="P12" s="56" t="s">
        <v>70</v>
      </c>
      <c r="Q12" s="416"/>
      <c r="R12" s="416"/>
      <c r="S12" s="416"/>
      <c r="T12" s="416"/>
      <c r="U12" s="416"/>
      <c r="V12" s="416"/>
      <c r="W12" s="416"/>
      <c r="X12" s="416"/>
      <c r="Y12" s="416"/>
      <c r="Z12" s="416"/>
    </row>
    <row r="13">
      <c r="A13" s="413"/>
      <c r="B13" s="414" t="s">
        <v>15</v>
      </c>
      <c r="C13" s="56" t="s">
        <v>1062</v>
      </c>
      <c r="D13" s="201" t="s">
        <v>1065</v>
      </c>
      <c r="E13" s="56" t="s">
        <v>35</v>
      </c>
      <c r="F13" s="56" t="s">
        <v>23</v>
      </c>
      <c r="G13" s="56">
        <v>19.0</v>
      </c>
      <c r="H13" s="56" t="s">
        <v>92</v>
      </c>
      <c r="I13" s="415"/>
      <c r="J13" s="415"/>
      <c r="K13" s="56">
        <v>39.0</v>
      </c>
      <c r="L13" s="56">
        <v>0.0</v>
      </c>
      <c r="M13" s="56">
        <v>39.0</v>
      </c>
      <c r="N13" s="56">
        <v>0.0</v>
      </c>
      <c r="O13" s="201" t="s">
        <v>1066</v>
      </c>
      <c r="P13" s="56" t="s">
        <v>70</v>
      </c>
      <c r="Q13" s="416"/>
      <c r="R13" s="416"/>
      <c r="S13" s="416"/>
      <c r="T13" s="416"/>
      <c r="U13" s="416"/>
      <c r="V13" s="416"/>
      <c r="W13" s="416"/>
      <c r="X13" s="416"/>
      <c r="Y13" s="416"/>
      <c r="Z13" s="416"/>
    </row>
    <row r="14">
      <c r="A14" s="413"/>
      <c r="B14" s="414" t="s">
        <v>15</v>
      </c>
      <c r="C14" s="56" t="s">
        <v>1067</v>
      </c>
      <c r="D14" s="201" t="s">
        <v>1068</v>
      </c>
      <c r="E14" s="56" t="s">
        <v>35</v>
      </c>
      <c r="F14" s="56" t="s">
        <v>19</v>
      </c>
      <c r="G14" s="56">
        <v>10.0</v>
      </c>
      <c r="H14" s="56" t="s">
        <v>92</v>
      </c>
      <c r="I14" s="415"/>
      <c r="J14" s="415"/>
      <c r="K14" s="56">
        <v>10.0</v>
      </c>
      <c r="L14" s="56">
        <v>0.0</v>
      </c>
      <c r="M14" s="56">
        <v>10.0</v>
      </c>
      <c r="N14" s="56">
        <f>K14-L14-M14</f>
        <v>0</v>
      </c>
      <c r="O14" s="201" t="s">
        <v>1069</v>
      </c>
      <c r="P14" s="56" t="s">
        <v>70</v>
      </c>
      <c r="Q14" s="416"/>
      <c r="R14" s="416"/>
      <c r="S14" s="416"/>
      <c r="T14" s="416"/>
      <c r="U14" s="416"/>
      <c r="V14" s="416"/>
      <c r="W14" s="416"/>
      <c r="X14" s="416"/>
      <c r="Y14" s="416"/>
      <c r="Z14" s="416"/>
    </row>
    <row r="15">
      <c r="A15" s="413"/>
      <c r="B15" s="414" t="s">
        <v>15</v>
      </c>
      <c r="C15" s="56" t="s">
        <v>1067</v>
      </c>
      <c r="D15" s="201" t="s">
        <v>1063</v>
      </c>
      <c r="E15" s="56" t="s">
        <v>35</v>
      </c>
      <c r="F15" s="56" t="s">
        <v>23</v>
      </c>
      <c r="G15" s="56">
        <v>10.0</v>
      </c>
      <c r="H15" s="56" t="s">
        <v>92</v>
      </c>
      <c r="I15" s="415"/>
      <c r="J15" s="415"/>
      <c r="K15" s="56">
        <v>10.0</v>
      </c>
      <c r="L15" s="56">
        <v>0.0</v>
      </c>
      <c r="M15" s="56">
        <v>10.0</v>
      </c>
      <c r="N15" s="56">
        <v>0.0</v>
      </c>
      <c r="O15" s="201" t="s">
        <v>1064</v>
      </c>
      <c r="P15" s="56" t="s">
        <v>70</v>
      </c>
      <c r="Q15" s="416"/>
      <c r="R15" s="416"/>
      <c r="S15" s="416"/>
      <c r="T15" s="416"/>
      <c r="U15" s="416"/>
      <c r="V15" s="416"/>
      <c r="W15" s="416"/>
      <c r="X15" s="416"/>
      <c r="Y15" s="416"/>
      <c r="Z15" s="416"/>
    </row>
    <row r="16">
      <c r="A16" s="413"/>
      <c r="B16" s="414" t="s">
        <v>15</v>
      </c>
      <c r="C16" s="56" t="s">
        <v>1067</v>
      </c>
      <c r="D16" s="201" t="s">
        <v>1070</v>
      </c>
      <c r="E16" s="56" t="s">
        <v>35</v>
      </c>
      <c r="F16" s="56" t="s">
        <v>19</v>
      </c>
      <c r="G16" s="56">
        <v>10.0</v>
      </c>
      <c r="H16" s="56" t="s">
        <v>92</v>
      </c>
      <c r="I16" s="415"/>
      <c r="J16" s="415"/>
      <c r="K16" s="56">
        <v>10.0</v>
      </c>
      <c r="L16" s="56">
        <v>0.0</v>
      </c>
      <c r="M16" s="56">
        <v>10.0</v>
      </c>
      <c r="N16" s="56">
        <f>K16-L16-M16</f>
        <v>0</v>
      </c>
      <c r="O16" s="201" t="s">
        <v>1069</v>
      </c>
      <c r="P16" s="56" t="s">
        <v>70</v>
      </c>
      <c r="Q16" s="416"/>
      <c r="R16" s="416"/>
      <c r="S16" s="416"/>
      <c r="T16" s="416"/>
      <c r="U16" s="416"/>
      <c r="V16" s="416"/>
      <c r="W16" s="416"/>
      <c r="X16" s="416"/>
      <c r="Y16" s="416"/>
      <c r="Z16" s="416"/>
    </row>
    <row r="17">
      <c r="A17" s="413"/>
      <c r="B17" s="414" t="s">
        <v>15</v>
      </c>
      <c r="C17" s="56" t="s">
        <v>1071</v>
      </c>
      <c r="D17" s="201" t="s">
        <v>1072</v>
      </c>
      <c r="E17" s="56" t="s">
        <v>35</v>
      </c>
      <c r="F17" s="56" t="s">
        <v>23</v>
      </c>
      <c r="G17" s="56">
        <v>10.0</v>
      </c>
      <c r="H17" s="56" t="s">
        <v>92</v>
      </c>
      <c r="I17" s="415"/>
      <c r="J17" s="415"/>
      <c r="K17" s="56">
        <v>10.0</v>
      </c>
      <c r="L17" s="56">
        <v>0.0</v>
      </c>
      <c r="M17" s="56">
        <v>10.0</v>
      </c>
      <c r="N17" s="56">
        <v>0.0</v>
      </c>
      <c r="O17" s="201" t="s">
        <v>1073</v>
      </c>
      <c r="P17" s="56" t="s">
        <v>70</v>
      </c>
      <c r="Q17" s="416"/>
      <c r="R17" s="416"/>
      <c r="S17" s="416"/>
      <c r="T17" s="416"/>
      <c r="U17" s="416"/>
      <c r="V17" s="416"/>
      <c r="W17" s="416"/>
      <c r="X17" s="416"/>
      <c r="Y17" s="416"/>
      <c r="Z17" s="416"/>
    </row>
    <row r="18">
      <c r="A18" s="413"/>
      <c r="B18" s="414" t="s">
        <v>15</v>
      </c>
      <c r="C18" s="56" t="s">
        <v>1074</v>
      </c>
      <c r="D18" s="201" t="s">
        <v>1070</v>
      </c>
      <c r="E18" s="56" t="s">
        <v>35</v>
      </c>
      <c r="F18" s="56" t="s">
        <v>19</v>
      </c>
      <c r="G18" s="56">
        <v>10.0</v>
      </c>
      <c r="H18" s="56" t="s">
        <v>92</v>
      </c>
      <c r="I18" s="415"/>
      <c r="J18" s="415"/>
      <c r="K18" s="56">
        <v>10.0</v>
      </c>
      <c r="L18" s="56">
        <v>0.0</v>
      </c>
      <c r="M18" s="56">
        <v>10.0</v>
      </c>
      <c r="N18" s="56">
        <f t="shared" ref="N18:N19" si="1">K18-L18-M18</f>
        <v>0</v>
      </c>
      <c r="O18" s="201" t="s">
        <v>1069</v>
      </c>
      <c r="P18" s="56" t="s">
        <v>70</v>
      </c>
      <c r="Q18" s="416"/>
      <c r="R18" s="416"/>
      <c r="S18" s="416"/>
      <c r="T18" s="416"/>
      <c r="U18" s="416"/>
      <c r="V18" s="416"/>
      <c r="W18" s="416"/>
      <c r="X18" s="416"/>
      <c r="Y18" s="416"/>
      <c r="Z18" s="416"/>
    </row>
    <row r="19">
      <c r="A19" s="413"/>
      <c r="B19" s="414" t="s">
        <v>15</v>
      </c>
      <c r="C19" s="56" t="s">
        <v>1074</v>
      </c>
      <c r="D19" s="201" t="s">
        <v>1068</v>
      </c>
      <c r="E19" s="56" t="s">
        <v>35</v>
      </c>
      <c r="F19" s="56" t="s">
        <v>19</v>
      </c>
      <c r="G19" s="56">
        <v>10.0</v>
      </c>
      <c r="H19" s="56" t="s">
        <v>92</v>
      </c>
      <c r="I19" s="415"/>
      <c r="J19" s="415"/>
      <c r="K19" s="56">
        <v>10.0</v>
      </c>
      <c r="L19" s="56">
        <v>0.0</v>
      </c>
      <c r="M19" s="56">
        <v>10.0</v>
      </c>
      <c r="N19" s="56">
        <f t="shared" si="1"/>
        <v>0</v>
      </c>
      <c r="O19" s="201" t="s">
        <v>1069</v>
      </c>
      <c r="P19" s="56" t="s">
        <v>70</v>
      </c>
      <c r="Q19" s="416"/>
      <c r="R19" s="416"/>
      <c r="S19" s="416"/>
      <c r="T19" s="416"/>
      <c r="U19" s="416"/>
      <c r="V19" s="416"/>
      <c r="W19" s="416"/>
      <c r="X19" s="416"/>
      <c r="Y19" s="416"/>
      <c r="Z19" s="416"/>
    </row>
    <row r="20">
      <c r="A20" s="413"/>
      <c r="B20" s="417" t="s">
        <v>15</v>
      </c>
      <c r="C20" s="418" t="s">
        <v>1075</v>
      </c>
      <c r="D20" s="418" t="s">
        <v>1076</v>
      </c>
      <c r="E20" s="418" t="s">
        <v>35</v>
      </c>
      <c r="F20" s="418" t="s">
        <v>19</v>
      </c>
      <c r="G20" s="418">
        <v>8.0</v>
      </c>
      <c r="H20" s="418" t="s">
        <v>92</v>
      </c>
      <c r="I20" s="119"/>
      <c r="J20" s="119"/>
      <c r="K20" s="418">
        <v>8.0</v>
      </c>
      <c r="L20" s="418">
        <v>0.0</v>
      </c>
      <c r="M20" s="418">
        <v>8.0</v>
      </c>
      <c r="N20" s="418">
        <f>sum(K20,-L52, -M20, )</f>
        <v>0</v>
      </c>
      <c r="O20" s="186" t="s">
        <v>1077</v>
      </c>
      <c r="P20" s="418" t="s">
        <v>70</v>
      </c>
      <c r="Q20" s="419"/>
      <c r="R20" s="419"/>
      <c r="S20" s="419"/>
      <c r="T20" s="419"/>
      <c r="U20" s="419"/>
      <c r="V20" s="419"/>
      <c r="W20" s="419"/>
      <c r="X20" s="419"/>
      <c r="Y20" s="419"/>
      <c r="Z20" s="419"/>
    </row>
    <row r="21">
      <c r="A21" s="413"/>
      <c r="B21" s="417" t="s">
        <v>15</v>
      </c>
      <c r="C21" s="418" t="s">
        <v>1078</v>
      </c>
      <c r="D21" s="418" t="s">
        <v>1079</v>
      </c>
      <c r="E21" s="418" t="s">
        <v>35</v>
      </c>
      <c r="F21" s="418" t="s">
        <v>20</v>
      </c>
      <c r="G21" s="418">
        <v>10.0</v>
      </c>
      <c r="H21" s="418" t="s">
        <v>92</v>
      </c>
      <c r="I21" s="119"/>
      <c r="J21" s="119"/>
      <c r="K21" s="418">
        <v>10.0</v>
      </c>
      <c r="L21" s="418">
        <v>0.0</v>
      </c>
      <c r="M21" s="56">
        <v>10.0</v>
      </c>
      <c r="N21" s="418">
        <f>sum(K21,-L68, -M21, )</f>
        <v>0</v>
      </c>
      <c r="O21" s="186" t="s">
        <v>309</v>
      </c>
      <c r="P21" s="56" t="s">
        <v>70</v>
      </c>
      <c r="Q21" s="416"/>
      <c r="R21" s="416"/>
      <c r="S21" s="416"/>
      <c r="T21" s="416"/>
      <c r="U21" s="416"/>
      <c r="V21" s="416"/>
      <c r="W21" s="416"/>
      <c r="X21" s="416"/>
      <c r="Y21" s="416"/>
      <c r="Z21" s="416"/>
    </row>
    <row r="22">
      <c r="A22" s="413"/>
      <c r="B22" s="414" t="s">
        <v>15</v>
      </c>
      <c r="C22" s="56" t="s">
        <v>1078</v>
      </c>
      <c r="D22" s="201" t="s">
        <v>1080</v>
      </c>
      <c r="E22" s="56" t="s">
        <v>34</v>
      </c>
      <c r="F22" s="56" t="s">
        <v>23</v>
      </c>
      <c r="G22" s="56">
        <v>20.0</v>
      </c>
      <c r="H22" s="56" t="s">
        <v>92</v>
      </c>
      <c r="I22" s="415">
        <v>45911.0</v>
      </c>
      <c r="J22" s="415">
        <v>45925.0</v>
      </c>
      <c r="K22" s="56">
        <v>40.0</v>
      </c>
      <c r="L22" s="56">
        <v>0.0</v>
      </c>
      <c r="M22" s="56">
        <v>40.0</v>
      </c>
      <c r="N22" s="56">
        <f>K22-L22-M22</f>
        <v>0</v>
      </c>
      <c r="O22" s="201" t="s">
        <v>1081</v>
      </c>
      <c r="P22" s="56" t="s">
        <v>70</v>
      </c>
      <c r="Q22" s="416"/>
      <c r="R22" s="416"/>
      <c r="S22" s="416"/>
      <c r="T22" s="416"/>
      <c r="U22" s="416"/>
      <c r="V22" s="416"/>
      <c r="W22" s="416"/>
      <c r="X22" s="416"/>
      <c r="Y22" s="416"/>
      <c r="Z22" s="416"/>
    </row>
    <row r="23">
      <c r="A23" s="413"/>
      <c r="B23" s="414" t="s">
        <v>15</v>
      </c>
      <c r="C23" s="56" t="s">
        <v>1078</v>
      </c>
      <c r="D23" s="201" t="s">
        <v>1082</v>
      </c>
      <c r="E23" s="56" t="s">
        <v>35</v>
      </c>
      <c r="F23" s="56" t="s">
        <v>23</v>
      </c>
      <c r="G23" s="56">
        <v>10.0</v>
      </c>
      <c r="H23" s="56" t="s">
        <v>92</v>
      </c>
      <c r="I23" s="415"/>
      <c r="J23" s="415"/>
      <c r="K23" s="56">
        <v>10.0</v>
      </c>
      <c r="L23" s="56">
        <v>0.0</v>
      </c>
      <c r="M23" s="56">
        <v>10.0</v>
      </c>
      <c r="N23" s="56">
        <v>0.0</v>
      </c>
      <c r="O23" s="201" t="s">
        <v>1066</v>
      </c>
      <c r="P23" s="56" t="s">
        <v>70</v>
      </c>
      <c r="Q23" s="416"/>
      <c r="R23" s="416"/>
      <c r="S23" s="416"/>
      <c r="T23" s="416"/>
      <c r="U23" s="416"/>
      <c r="V23" s="416"/>
      <c r="W23" s="416"/>
      <c r="X23" s="416"/>
      <c r="Y23" s="416"/>
      <c r="Z23" s="416"/>
    </row>
    <row r="24">
      <c r="A24" s="413"/>
      <c r="B24" s="414" t="s">
        <v>15</v>
      </c>
      <c r="C24" s="56" t="s">
        <v>1083</v>
      </c>
      <c r="D24" s="201" t="s">
        <v>1068</v>
      </c>
      <c r="E24" s="56" t="s">
        <v>35</v>
      </c>
      <c r="F24" s="56" t="s">
        <v>19</v>
      </c>
      <c r="G24" s="56">
        <v>10.0</v>
      </c>
      <c r="H24" s="56" t="s">
        <v>92</v>
      </c>
      <c r="I24" s="415"/>
      <c r="J24" s="415"/>
      <c r="K24" s="56">
        <v>10.0</v>
      </c>
      <c r="L24" s="56">
        <v>0.0</v>
      </c>
      <c r="M24" s="56">
        <v>10.0</v>
      </c>
      <c r="N24" s="56">
        <f>K24-L24-M24</f>
        <v>0</v>
      </c>
      <c r="O24" s="201" t="s">
        <v>1069</v>
      </c>
      <c r="P24" s="56" t="s">
        <v>70</v>
      </c>
      <c r="Q24" s="416"/>
      <c r="R24" s="416"/>
      <c r="S24" s="416"/>
      <c r="T24" s="416"/>
      <c r="U24" s="416"/>
      <c r="V24" s="416"/>
      <c r="W24" s="416"/>
      <c r="X24" s="416"/>
      <c r="Y24" s="416"/>
      <c r="Z24" s="416"/>
    </row>
    <row r="25">
      <c r="A25" s="413"/>
      <c r="B25" s="414" t="s">
        <v>15</v>
      </c>
      <c r="C25" s="56" t="s">
        <v>1083</v>
      </c>
      <c r="D25" s="201" t="s">
        <v>1063</v>
      </c>
      <c r="E25" s="56" t="s">
        <v>35</v>
      </c>
      <c r="F25" s="56" t="s">
        <v>23</v>
      </c>
      <c r="G25" s="56">
        <v>10.0</v>
      </c>
      <c r="H25" s="56" t="s">
        <v>92</v>
      </c>
      <c r="I25" s="415"/>
      <c r="J25" s="415"/>
      <c r="K25" s="56">
        <v>10.0</v>
      </c>
      <c r="L25" s="56">
        <v>0.0</v>
      </c>
      <c r="M25" s="56">
        <v>10.0</v>
      </c>
      <c r="N25" s="56">
        <v>0.0</v>
      </c>
      <c r="O25" s="201" t="s">
        <v>1064</v>
      </c>
      <c r="P25" s="56" t="s">
        <v>70</v>
      </c>
      <c r="Q25" s="416"/>
      <c r="R25" s="416"/>
      <c r="S25" s="416"/>
      <c r="T25" s="416"/>
      <c r="U25" s="416"/>
      <c r="V25" s="416"/>
      <c r="W25" s="416"/>
      <c r="X25" s="416"/>
      <c r="Y25" s="416"/>
      <c r="Z25" s="416"/>
    </row>
    <row r="26" ht="35.25" customHeight="1">
      <c r="A26" s="409"/>
      <c r="B26" s="420" t="s">
        <v>15</v>
      </c>
      <c r="C26" s="420" t="s">
        <v>1084</v>
      </c>
      <c r="D26" s="420" t="s">
        <v>1085</v>
      </c>
      <c r="E26" s="420" t="s">
        <v>34</v>
      </c>
      <c r="F26" s="420" t="s">
        <v>23</v>
      </c>
      <c r="G26" s="420">
        <v>20.0</v>
      </c>
      <c r="H26" s="420" t="s">
        <v>92</v>
      </c>
      <c r="I26" s="421">
        <v>46055.0</v>
      </c>
      <c r="J26" s="421">
        <v>46069.0</v>
      </c>
      <c r="K26" s="420">
        <v>40.0</v>
      </c>
      <c r="L26" s="422">
        <v>0.0</v>
      </c>
      <c r="M26" s="409">
        <v>40.0</v>
      </c>
      <c r="N26" s="409">
        <f>K26-L26-M26</f>
        <v>0</v>
      </c>
      <c r="O26" s="409" t="s">
        <v>1086</v>
      </c>
      <c r="P26" s="201" t="s">
        <v>70</v>
      </c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>
      <c r="A27" s="413"/>
      <c r="B27" s="414" t="s">
        <v>15</v>
      </c>
      <c r="C27" s="56" t="s">
        <v>1087</v>
      </c>
      <c r="D27" s="201" t="s">
        <v>1088</v>
      </c>
      <c r="E27" s="56" t="s">
        <v>35</v>
      </c>
      <c r="F27" s="56" t="s">
        <v>23</v>
      </c>
      <c r="G27" s="56">
        <v>12.0</v>
      </c>
      <c r="H27" s="56" t="s">
        <v>92</v>
      </c>
      <c r="I27" s="415"/>
      <c r="J27" s="415"/>
      <c r="K27" s="56">
        <v>16.0</v>
      </c>
      <c r="L27" s="56">
        <v>0.0</v>
      </c>
      <c r="M27" s="56">
        <v>16.0</v>
      </c>
      <c r="N27" s="56">
        <v>0.0</v>
      </c>
      <c r="O27" s="201" t="s">
        <v>1089</v>
      </c>
      <c r="P27" s="56" t="s">
        <v>70</v>
      </c>
      <c r="Q27" s="416"/>
      <c r="R27" s="416"/>
      <c r="S27" s="416"/>
      <c r="T27" s="416"/>
      <c r="U27" s="416"/>
      <c r="V27" s="416"/>
      <c r="W27" s="416"/>
      <c r="X27" s="416"/>
      <c r="Y27" s="416"/>
      <c r="Z27" s="416"/>
    </row>
    <row r="28">
      <c r="A28" s="413"/>
      <c r="B28" s="414" t="s">
        <v>15</v>
      </c>
      <c r="C28" s="56" t="s">
        <v>1090</v>
      </c>
      <c r="D28" s="201" t="s">
        <v>1063</v>
      </c>
      <c r="E28" s="56" t="s">
        <v>35</v>
      </c>
      <c r="F28" s="56" t="s">
        <v>23</v>
      </c>
      <c r="G28" s="56">
        <v>10.0</v>
      </c>
      <c r="H28" s="56" t="s">
        <v>92</v>
      </c>
      <c r="I28" s="415"/>
      <c r="J28" s="415"/>
      <c r="K28" s="56">
        <v>10.0</v>
      </c>
      <c r="L28" s="56">
        <v>0.0</v>
      </c>
      <c r="M28" s="56">
        <v>10.0</v>
      </c>
      <c r="N28" s="56">
        <f>K28-L28-M28</f>
        <v>0</v>
      </c>
      <c r="O28" s="201" t="s">
        <v>1064</v>
      </c>
      <c r="P28" s="56" t="s">
        <v>70</v>
      </c>
      <c r="Q28" s="416"/>
      <c r="R28" s="416"/>
      <c r="S28" s="416"/>
      <c r="T28" s="416"/>
      <c r="U28" s="416"/>
      <c r="V28" s="416"/>
      <c r="W28" s="416"/>
      <c r="X28" s="416"/>
      <c r="Y28" s="416"/>
      <c r="Z28" s="416"/>
    </row>
    <row r="29">
      <c r="A29" s="413"/>
      <c r="B29" s="414" t="s">
        <v>15</v>
      </c>
      <c r="C29" s="56" t="s">
        <v>1090</v>
      </c>
      <c r="D29" s="201" t="s">
        <v>1068</v>
      </c>
      <c r="E29" s="56" t="s">
        <v>35</v>
      </c>
      <c r="F29" s="56" t="s">
        <v>19</v>
      </c>
      <c r="G29" s="56">
        <v>10.0</v>
      </c>
      <c r="H29" s="56" t="s">
        <v>92</v>
      </c>
      <c r="I29" s="415"/>
      <c r="J29" s="415"/>
      <c r="K29" s="56">
        <v>10.0</v>
      </c>
      <c r="L29" s="56">
        <v>0.0</v>
      </c>
      <c r="M29" s="56">
        <v>10.0</v>
      </c>
      <c r="N29" s="56">
        <v>0.0</v>
      </c>
      <c r="O29" s="201" t="s">
        <v>1069</v>
      </c>
      <c r="P29" s="56" t="s">
        <v>70</v>
      </c>
      <c r="Q29" s="416"/>
      <c r="R29" s="416"/>
      <c r="S29" s="416"/>
      <c r="T29" s="416"/>
      <c r="U29" s="416"/>
      <c r="V29" s="416"/>
      <c r="W29" s="416"/>
      <c r="X29" s="416"/>
      <c r="Y29" s="416"/>
      <c r="Z29" s="416"/>
    </row>
    <row r="30">
      <c r="A30" s="413"/>
      <c r="B30" s="414" t="s">
        <v>15</v>
      </c>
      <c r="C30" s="56" t="s">
        <v>1090</v>
      </c>
      <c r="D30" s="201" t="s">
        <v>1091</v>
      </c>
      <c r="E30" s="56" t="s">
        <v>35</v>
      </c>
      <c r="F30" s="56" t="s">
        <v>19</v>
      </c>
      <c r="G30" s="56">
        <v>8.0</v>
      </c>
      <c r="H30" s="56" t="s">
        <v>92</v>
      </c>
      <c r="I30" s="415"/>
      <c r="J30" s="415"/>
      <c r="K30" s="56">
        <v>8.0</v>
      </c>
      <c r="L30" s="56">
        <v>0.0</v>
      </c>
      <c r="M30" s="56">
        <v>8.0</v>
      </c>
      <c r="N30" s="56">
        <v>0.0</v>
      </c>
      <c r="O30" s="201" t="s">
        <v>1073</v>
      </c>
      <c r="P30" s="56" t="s">
        <v>70</v>
      </c>
      <c r="Q30" s="416"/>
      <c r="R30" s="416"/>
      <c r="S30" s="416"/>
      <c r="T30" s="416"/>
      <c r="U30" s="416"/>
      <c r="V30" s="416"/>
      <c r="W30" s="416"/>
      <c r="X30" s="416"/>
      <c r="Y30" s="416"/>
      <c r="Z30" s="416"/>
    </row>
    <row r="31">
      <c r="A31" s="413"/>
      <c r="B31" s="414" t="s">
        <v>15</v>
      </c>
      <c r="C31" s="56" t="s">
        <v>1090</v>
      </c>
      <c r="D31" s="201" t="s">
        <v>1092</v>
      </c>
      <c r="E31" s="56" t="s">
        <v>34</v>
      </c>
      <c r="F31" s="56" t="s">
        <v>23</v>
      </c>
      <c r="G31" s="56">
        <v>20.0</v>
      </c>
      <c r="H31" s="56" t="s">
        <v>92</v>
      </c>
      <c r="I31" s="415">
        <v>45883.0</v>
      </c>
      <c r="J31" s="415">
        <v>45897.0</v>
      </c>
      <c r="K31" s="56">
        <v>40.0</v>
      </c>
      <c r="L31" s="56">
        <v>0.0</v>
      </c>
      <c r="M31" s="56">
        <v>40.0</v>
      </c>
      <c r="N31" s="418">
        <v>0.0</v>
      </c>
      <c r="O31" s="201" t="s">
        <v>1093</v>
      </c>
      <c r="P31" s="56" t="s">
        <v>70</v>
      </c>
      <c r="Q31" s="416"/>
      <c r="R31" s="416"/>
      <c r="S31" s="416"/>
      <c r="T31" s="416"/>
      <c r="U31" s="416"/>
      <c r="V31" s="416"/>
      <c r="W31" s="416"/>
      <c r="X31" s="416"/>
      <c r="Y31" s="416"/>
      <c r="Z31" s="416"/>
    </row>
    <row r="32">
      <c r="A32" s="413"/>
      <c r="B32" s="414" t="s">
        <v>15</v>
      </c>
      <c r="C32" s="56" t="s">
        <v>1090</v>
      </c>
      <c r="D32" s="201" t="s">
        <v>1094</v>
      </c>
      <c r="E32" s="56" t="s">
        <v>35</v>
      </c>
      <c r="F32" s="56" t="s">
        <v>20</v>
      </c>
      <c r="G32" s="56">
        <v>8.0</v>
      </c>
      <c r="H32" s="56" t="s">
        <v>92</v>
      </c>
      <c r="I32" s="415"/>
      <c r="J32" s="415"/>
      <c r="K32" s="56">
        <v>8.0</v>
      </c>
      <c r="L32" s="56">
        <v>0.0</v>
      </c>
      <c r="M32" s="56">
        <v>8.0</v>
      </c>
      <c r="N32" s="56">
        <v>0.0</v>
      </c>
      <c r="O32" s="201" t="s">
        <v>1066</v>
      </c>
      <c r="P32" s="56" t="s">
        <v>70</v>
      </c>
      <c r="Q32" s="416"/>
      <c r="R32" s="416"/>
      <c r="S32" s="416"/>
      <c r="T32" s="416"/>
      <c r="U32" s="416"/>
      <c r="V32" s="416"/>
      <c r="W32" s="416"/>
      <c r="X32" s="416"/>
      <c r="Y32" s="416"/>
      <c r="Z32" s="416"/>
    </row>
    <row r="33">
      <c r="A33" s="413"/>
      <c r="B33" s="414" t="s">
        <v>15</v>
      </c>
      <c r="C33" s="56" t="s">
        <v>1095</v>
      </c>
      <c r="D33" s="201" t="s">
        <v>1096</v>
      </c>
      <c r="E33" s="56" t="s">
        <v>34</v>
      </c>
      <c r="F33" s="56" t="s">
        <v>23</v>
      </c>
      <c r="G33" s="56">
        <v>20.0</v>
      </c>
      <c r="H33" s="56" t="s">
        <v>92</v>
      </c>
      <c r="I33" s="415">
        <v>45987.0</v>
      </c>
      <c r="J33" s="415">
        <v>46001.0</v>
      </c>
      <c r="K33" s="56">
        <v>40.0</v>
      </c>
      <c r="L33" s="56">
        <v>0.0</v>
      </c>
      <c r="M33" s="56">
        <v>34.0</v>
      </c>
      <c r="N33" s="56">
        <v>0.0</v>
      </c>
      <c r="O33" s="201" t="s">
        <v>1097</v>
      </c>
      <c r="P33" s="56" t="s">
        <v>70</v>
      </c>
      <c r="Q33" s="416"/>
      <c r="R33" s="416"/>
      <c r="S33" s="416"/>
      <c r="T33" s="416"/>
      <c r="U33" s="416"/>
      <c r="V33" s="416"/>
      <c r="W33" s="416"/>
      <c r="X33" s="416"/>
      <c r="Y33" s="416"/>
      <c r="Z33" s="416"/>
    </row>
    <row r="34">
      <c r="A34" s="413"/>
      <c r="B34" s="414" t="s">
        <v>15</v>
      </c>
      <c r="C34" s="56" t="s">
        <v>1095</v>
      </c>
      <c r="D34" s="201" t="s">
        <v>1063</v>
      </c>
      <c r="E34" s="56" t="s">
        <v>35</v>
      </c>
      <c r="F34" s="56" t="s">
        <v>23</v>
      </c>
      <c r="G34" s="56">
        <v>10.0</v>
      </c>
      <c r="H34" s="56" t="s">
        <v>92</v>
      </c>
      <c r="I34" s="415"/>
      <c r="J34" s="415"/>
      <c r="K34" s="56">
        <v>10.0</v>
      </c>
      <c r="L34" s="56">
        <v>0.0</v>
      </c>
      <c r="M34" s="56">
        <v>10.0</v>
      </c>
      <c r="N34" s="56">
        <v>0.0</v>
      </c>
      <c r="O34" s="201" t="s">
        <v>1064</v>
      </c>
      <c r="P34" s="56" t="s">
        <v>70</v>
      </c>
      <c r="Q34" s="416"/>
      <c r="R34" s="416"/>
      <c r="S34" s="416"/>
      <c r="T34" s="416"/>
      <c r="U34" s="416"/>
      <c r="V34" s="416"/>
      <c r="W34" s="416"/>
      <c r="X34" s="416"/>
      <c r="Y34" s="416"/>
      <c r="Z34" s="416"/>
    </row>
    <row r="35" ht="35.25" customHeight="1">
      <c r="A35" s="186"/>
      <c r="B35" s="244" t="s">
        <v>15</v>
      </c>
      <c r="C35" s="244" t="s">
        <v>1095</v>
      </c>
      <c r="D35" s="244" t="s">
        <v>1098</v>
      </c>
      <c r="E35" s="244" t="s">
        <v>34</v>
      </c>
      <c r="F35" s="244" t="s">
        <v>23</v>
      </c>
      <c r="G35" s="244">
        <v>20.0</v>
      </c>
      <c r="H35" s="248" t="s">
        <v>92</v>
      </c>
      <c r="I35" s="245">
        <v>46055.0</v>
      </c>
      <c r="J35" s="245">
        <v>46069.0</v>
      </c>
      <c r="K35" s="244">
        <v>40.0</v>
      </c>
      <c r="L35" s="246">
        <v>0.0</v>
      </c>
      <c r="M35" s="201">
        <v>40.0</v>
      </c>
      <c r="N35" s="201">
        <f t="shared" ref="N35:N36" si="2">K35-L35-M35</f>
        <v>0</v>
      </c>
      <c r="O35" s="186" t="s">
        <v>1086</v>
      </c>
      <c r="P35" s="201" t="s">
        <v>70</v>
      </c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>
      <c r="A36" s="413"/>
      <c r="B36" s="414" t="s">
        <v>15</v>
      </c>
      <c r="C36" s="56" t="s">
        <v>1099</v>
      </c>
      <c r="D36" s="201" t="s">
        <v>1100</v>
      </c>
      <c r="E36" s="56" t="s">
        <v>35</v>
      </c>
      <c r="F36" s="56" t="s">
        <v>19</v>
      </c>
      <c r="G36" s="56">
        <v>10.0</v>
      </c>
      <c r="H36" s="56" t="s">
        <v>92</v>
      </c>
      <c r="I36" s="415"/>
      <c r="J36" s="415"/>
      <c r="K36" s="56">
        <v>10.0</v>
      </c>
      <c r="L36" s="56">
        <v>0.0</v>
      </c>
      <c r="M36" s="56">
        <v>10.0</v>
      </c>
      <c r="N36" s="56">
        <f t="shared" si="2"/>
        <v>0</v>
      </c>
      <c r="O36" s="201" t="s">
        <v>1081</v>
      </c>
      <c r="P36" s="56" t="s">
        <v>70</v>
      </c>
      <c r="Q36" s="416"/>
      <c r="R36" s="416"/>
      <c r="S36" s="416"/>
      <c r="T36" s="416"/>
      <c r="U36" s="416"/>
      <c r="V36" s="416"/>
      <c r="W36" s="416"/>
      <c r="X36" s="416"/>
      <c r="Y36" s="416"/>
      <c r="Z36" s="416"/>
    </row>
    <row r="37">
      <c r="A37" s="413"/>
      <c r="B37" s="414" t="s">
        <v>15</v>
      </c>
      <c r="C37" s="56" t="s">
        <v>1099</v>
      </c>
      <c r="D37" s="201" t="s">
        <v>1101</v>
      </c>
      <c r="E37" s="56" t="s">
        <v>35</v>
      </c>
      <c r="F37" s="56" t="s">
        <v>23</v>
      </c>
      <c r="G37" s="56">
        <v>8.0</v>
      </c>
      <c r="H37" s="56" t="s">
        <v>92</v>
      </c>
      <c r="I37" s="415"/>
      <c r="J37" s="415"/>
      <c r="K37" s="56">
        <v>8.0</v>
      </c>
      <c r="L37" s="56">
        <v>0.0</v>
      </c>
      <c r="M37" s="56">
        <v>8.0</v>
      </c>
      <c r="N37" s="56">
        <v>0.0</v>
      </c>
      <c r="O37" s="201" t="s">
        <v>1064</v>
      </c>
      <c r="P37" s="56" t="s">
        <v>70</v>
      </c>
      <c r="Q37" s="416"/>
      <c r="R37" s="416"/>
      <c r="S37" s="416"/>
      <c r="T37" s="416"/>
      <c r="U37" s="416"/>
      <c r="V37" s="416"/>
      <c r="W37" s="416"/>
      <c r="X37" s="416"/>
      <c r="Y37" s="416"/>
      <c r="Z37" s="416"/>
    </row>
    <row r="38">
      <c r="A38" s="413"/>
      <c r="B38" s="414" t="s">
        <v>15</v>
      </c>
      <c r="C38" s="56" t="s">
        <v>1099</v>
      </c>
      <c r="D38" s="201" t="s">
        <v>1102</v>
      </c>
      <c r="E38" s="56" t="s">
        <v>34</v>
      </c>
      <c r="F38" s="56" t="s">
        <v>19</v>
      </c>
      <c r="G38" s="56">
        <v>20.0</v>
      </c>
      <c r="H38" s="56" t="s">
        <v>92</v>
      </c>
      <c r="I38" s="415">
        <v>45883.0</v>
      </c>
      <c r="J38" s="415">
        <v>45897.0</v>
      </c>
      <c r="K38" s="56">
        <v>40.0</v>
      </c>
      <c r="L38" s="56">
        <v>0.0</v>
      </c>
      <c r="M38" s="56">
        <v>40.0</v>
      </c>
      <c r="N38" s="418">
        <f>sum(K38,-L124, -M38, )</f>
        <v>0</v>
      </c>
      <c r="O38" s="201" t="s">
        <v>1093</v>
      </c>
      <c r="P38" s="56" t="s">
        <v>70</v>
      </c>
      <c r="Q38" s="416"/>
      <c r="R38" s="416"/>
      <c r="S38" s="416"/>
      <c r="T38" s="416"/>
      <c r="U38" s="416"/>
      <c r="V38" s="416"/>
      <c r="W38" s="416"/>
      <c r="X38" s="416"/>
      <c r="Y38" s="416"/>
      <c r="Z38" s="416"/>
    </row>
    <row r="39">
      <c r="A39" s="413"/>
      <c r="B39" s="414" t="s">
        <v>15</v>
      </c>
      <c r="C39" s="56" t="s">
        <v>1103</v>
      </c>
      <c r="D39" s="201" t="s">
        <v>1068</v>
      </c>
      <c r="E39" s="56" t="s">
        <v>34</v>
      </c>
      <c r="F39" s="56" t="s">
        <v>19</v>
      </c>
      <c r="G39" s="56">
        <v>20.0</v>
      </c>
      <c r="H39" s="56" t="s">
        <v>92</v>
      </c>
      <c r="I39" s="415">
        <v>45883.0</v>
      </c>
      <c r="J39" s="415">
        <v>45897.0</v>
      </c>
      <c r="K39" s="56">
        <v>40.0</v>
      </c>
      <c r="L39" s="56">
        <v>0.0</v>
      </c>
      <c r="M39" s="56">
        <v>40.0</v>
      </c>
      <c r="N39" s="418">
        <f>sum(K39,-L107, -M39, )</f>
        <v>0</v>
      </c>
      <c r="O39" s="201" t="s">
        <v>1093</v>
      </c>
      <c r="P39" s="56" t="s">
        <v>70</v>
      </c>
      <c r="Q39" s="416"/>
      <c r="R39" s="416"/>
      <c r="S39" s="416"/>
      <c r="T39" s="416"/>
      <c r="U39" s="416"/>
      <c r="V39" s="416"/>
      <c r="W39" s="416"/>
      <c r="X39" s="416"/>
      <c r="Y39" s="416"/>
      <c r="Z39" s="416"/>
    </row>
    <row r="40">
      <c r="A40" s="413"/>
      <c r="B40" s="414" t="s">
        <v>15</v>
      </c>
      <c r="C40" s="56" t="s">
        <v>1103</v>
      </c>
      <c r="D40" s="201" t="s">
        <v>1101</v>
      </c>
      <c r="E40" s="56" t="s">
        <v>35</v>
      </c>
      <c r="F40" s="56" t="s">
        <v>23</v>
      </c>
      <c r="G40" s="56">
        <v>8.0</v>
      </c>
      <c r="H40" s="56" t="s">
        <v>92</v>
      </c>
      <c r="I40" s="415"/>
      <c r="J40" s="415"/>
      <c r="K40" s="56">
        <v>8.0</v>
      </c>
      <c r="L40" s="56">
        <v>0.0</v>
      </c>
      <c r="M40" s="56">
        <v>8.0</v>
      </c>
      <c r="N40" s="56">
        <v>0.0</v>
      </c>
      <c r="O40" s="201" t="s">
        <v>1064</v>
      </c>
      <c r="P40" s="56" t="s">
        <v>70</v>
      </c>
      <c r="Q40" s="416"/>
      <c r="R40" s="416"/>
      <c r="S40" s="416"/>
      <c r="T40" s="416"/>
      <c r="U40" s="416"/>
      <c r="V40" s="416"/>
      <c r="W40" s="416"/>
      <c r="X40" s="416"/>
      <c r="Y40" s="416"/>
      <c r="Z40" s="416"/>
    </row>
    <row r="41">
      <c r="A41" s="413"/>
      <c r="B41" s="414" t="s">
        <v>15</v>
      </c>
      <c r="C41" s="56" t="s">
        <v>1103</v>
      </c>
      <c r="D41" s="201" t="s">
        <v>1072</v>
      </c>
      <c r="E41" s="56" t="s">
        <v>35</v>
      </c>
      <c r="F41" s="56" t="s">
        <v>23</v>
      </c>
      <c r="G41" s="56">
        <v>10.0</v>
      </c>
      <c r="H41" s="56" t="s">
        <v>92</v>
      </c>
      <c r="I41" s="415"/>
      <c r="J41" s="415"/>
      <c r="K41" s="56">
        <v>10.0</v>
      </c>
      <c r="L41" s="56">
        <v>0.0</v>
      </c>
      <c r="M41" s="56">
        <v>10.0</v>
      </c>
      <c r="N41" s="56">
        <v>0.0</v>
      </c>
      <c r="O41" s="201" t="s">
        <v>1073</v>
      </c>
      <c r="P41" s="56" t="s">
        <v>70</v>
      </c>
      <c r="Q41" s="416"/>
      <c r="R41" s="416"/>
      <c r="S41" s="416"/>
      <c r="T41" s="416"/>
      <c r="U41" s="416"/>
      <c r="V41" s="416"/>
      <c r="W41" s="416"/>
      <c r="X41" s="416"/>
      <c r="Y41" s="416"/>
      <c r="Z41" s="416"/>
    </row>
    <row r="42">
      <c r="A42" s="413"/>
      <c r="B42" s="414" t="s">
        <v>15</v>
      </c>
      <c r="C42" s="56" t="s">
        <v>1104</v>
      </c>
      <c r="D42" s="201" t="s">
        <v>1063</v>
      </c>
      <c r="E42" s="56" t="s">
        <v>35</v>
      </c>
      <c r="F42" s="56" t="s">
        <v>23</v>
      </c>
      <c r="G42" s="56">
        <v>10.0</v>
      </c>
      <c r="H42" s="56" t="s">
        <v>92</v>
      </c>
      <c r="I42" s="415"/>
      <c r="J42" s="415"/>
      <c r="K42" s="56">
        <v>10.0</v>
      </c>
      <c r="L42" s="56">
        <v>0.0</v>
      </c>
      <c r="M42" s="56">
        <v>10.0</v>
      </c>
      <c r="N42" s="56">
        <v>0.0</v>
      </c>
      <c r="O42" s="201" t="s">
        <v>1064</v>
      </c>
      <c r="P42" s="56" t="s">
        <v>70</v>
      </c>
      <c r="Q42" s="416"/>
      <c r="R42" s="416"/>
      <c r="S42" s="416"/>
      <c r="T42" s="416"/>
      <c r="U42" s="416"/>
      <c r="V42" s="416"/>
      <c r="W42" s="416"/>
      <c r="X42" s="416"/>
      <c r="Y42" s="416"/>
      <c r="Z42" s="416"/>
    </row>
    <row r="43">
      <c r="A43" s="413"/>
      <c r="B43" s="414" t="s">
        <v>15</v>
      </c>
      <c r="C43" s="56" t="s">
        <v>1105</v>
      </c>
      <c r="D43" s="201" t="s">
        <v>1070</v>
      </c>
      <c r="E43" s="56" t="s">
        <v>35</v>
      </c>
      <c r="F43" s="56" t="s">
        <v>19</v>
      </c>
      <c r="G43" s="56">
        <v>10.0</v>
      </c>
      <c r="H43" s="56" t="s">
        <v>92</v>
      </c>
      <c r="I43" s="415"/>
      <c r="J43" s="415"/>
      <c r="K43" s="56">
        <v>10.0</v>
      </c>
      <c r="L43" s="56">
        <v>0.0</v>
      </c>
      <c r="M43" s="56">
        <v>10.0</v>
      </c>
      <c r="N43" s="56">
        <f>K43-L43-M43</f>
        <v>0</v>
      </c>
      <c r="O43" s="201" t="s">
        <v>1069</v>
      </c>
      <c r="P43" s="56" t="s">
        <v>70</v>
      </c>
      <c r="Q43" s="416"/>
      <c r="R43" s="416"/>
      <c r="S43" s="416"/>
      <c r="T43" s="416"/>
      <c r="U43" s="416"/>
      <c r="V43" s="416"/>
      <c r="W43" s="416"/>
      <c r="X43" s="416"/>
      <c r="Y43" s="416"/>
      <c r="Z43" s="416"/>
    </row>
    <row r="44">
      <c r="A44" s="413"/>
      <c r="B44" s="414" t="s">
        <v>15</v>
      </c>
      <c r="C44" s="56" t="s">
        <v>1105</v>
      </c>
      <c r="D44" s="201" t="s">
        <v>1106</v>
      </c>
      <c r="E44" s="56" t="s">
        <v>35</v>
      </c>
      <c r="F44" s="56" t="s">
        <v>20</v>
      </c>
      <c r="G44" s="56">
        <v>8.0</v>
      </c>
      <c r="H44" s="56" t="s">
        <v>92</v>
      </c>
      <c r="I44" s="415"/>
      <c r="J44" s="415"/>
      <c r="K44" s="56">
        <v>8.0</v>
      </c>
      <c r="L44" s="56">
        <v>0.0</v>
      </c>
      <c r="M44" s="56">
        <v>8.0</v>
      </c>
      <c r="N44" s="56">
        <v>0.0</v>
      </c>
      <c r="O44" s="201" t="s">
        <v>1066</v>
      </c>
      <c r="P44" s="56" t="s">
        <v>70</v>
      </c>
      <c r="Q44" s="416"/>
      <c r="R44" s="416"/>
      <c r="S44" s="416"/>
      <c r="T44" s="416"/>
      <c r="U44" s="416"/>
      <c r="V44" s="416"/>
      <c r="W44" s="416"/>
      <c r="X44" s="416"/>
      <c r="Y44" s="416"/>
      <c r="Z44" s="416"/>
    </row>
    <row r="45">
      <c r="A45" s="413"/>
      <c r="B45" s="414" t="s">
        <v>15</v>
      </c>
      <c r="C45" s="56" t="s">
        <v>1105</v>
      </c>
      <c r="D45" s="201" t="s">
        <v>1107</v>
      </c>
      <c r="E45" s="56" t="s">
        <v>35</v>
      </c>
      <c r="F45" s="56" t="s">
        <v>23</v>
      </c>
      <c r="G45" s="56">
        <v>10.0</v>
      </c>
      <c r="H45" s="56" t="s">
        <v>92</v>
      </c>
      <c r="I45" s="423"/>
      <c r="J45" s="56"/>
      <c r="K45" s="56">
        <v>10.0</v>
      </c>
      <c r="L45" s="56">
        <v>0.0</v>
      </c>
      <c r="M45" s="56">
        <v>10.0</v>
      </c>
      <c r="N45" s="56">
        <v>0.0</v>
      </c>
      <c r="O45" s="201" t="s">
        <v>1108</v>
      </c>
      <c r="P45" s="56" t="s">
        <v>70</v>
      </c>
      <c r="Q45" s="416"/>
      <c r="R45" s="416"/>
      <c r="S45" s="416"/>
      <c r="T45" s="416"/>
      <c r="U45" s="416"/>
      <c r="V45" s="416"/>
      <c r="W45" s="416"/>
      <c r="X45" s="416"/>
      <c r="Y45" s="416"/>
      <c r="Z45" s="416"/>
    </row>
    <row r="46">
      <c r="A46" s="413"/>
      <c r="B46" s="414" t="s">
        <v>15</v>
      </c>
      <c r="C46" s="56" t="s">
        <v>1109</v>
      </c>
      <c r="D46" s="201" t="s">
        <v>1110</v>
      </c>
      <c r="E46" s="56" t="s">
        <v>35</v>
      </c>
      <c r="F46" s="56" t="s">
        <v>23</v>
      </c>
      <c r="G46" s="56">
        <v>19.0</v>
      </c>
      <c r="H46" s="56" t="s">
        <v>92</v>
      </c>
      <c r="I46" s="415"/>
      <c r="J46" s="415"/>
      <c r="K46" s="56">
        <v>39.0</v>
      </c>
      <c r="L46" s="56">
        <v>0.0</v>
      </c>
      <c r="M46" s="56">
        <v>39.0</v>
      </c>
      <c r="N46" s="56">
        <f t="shared" ref="N46:N47" si="3">K46-L46-M46</f>
        <v>0</v>
      </c>
      <c r="O46" s="201" t="s">
        <v>1069</v>
      </c>
      <c r="P46" s="56" t="s">
        <v>70</v>
      </c>
      <c r="Q46" s="416"/>
      <c r="R46" s="416"/>
      <c r="S46" s="416"/>
      <c r="T46" s="416"/>
      <c r="U46" s="416"/>
      <c r="V46" s="416"/>
      <c r="W46" s="416"/>
      <c r="X46" s="416"/>
      <c r="Y46" s="416"/>
      <c r="Z46" s="416"/>
    </row>
    <row r="47">
      <c r="A47" s="413"/>
      <c r="B47" s="414" t="s">
        <v>15</v>
      </c>
      <c r="C47" s="56" t="s">
        <v>1109</v>
      </c>
      <c r="D47" s="201" t="s">
        <v>1111</v>
      </c>
      <c r="E47" s="56" t="s">
        <v>35</v>
      </c>
      <c r="F47" s="56" t="s">
        <v>19</v>
      </c>
      <c r="G47" s="56">
        <v>8.0</v>
      </c>
      <c r="H47" s="56" t="s">
        <v>92</v>
      </c>
      <c r="I47" s="415"/>
      <c r="J47" s="415"/>
      <c r="K47" s="56">
        <v>8.0</v>
      </c>
      <c r="L47" s="56">
        <v>0.0</v>
      </c>
      <c r="M47" s="56">
        <v>8.0</v>
      </c>
      <c r="N47" s="56">
        <f t="shared" si="3"/>
        <v>0</v>
      </c>
      <c r="O47" s="201" t="s">
        <v>1064</v>
      </c>
      <c r="P47" s="56" t="s">
        <v>70</v>
      </c>
      <c r="Q47" s="416"/>
      <c r="R47" s="416"/>
      <c r="S47" s="416"/>
      <c r="T47" s="416"/>
      <c r="U47" s="416"/>
      <c r="V47" s="416"/>
      <c r="W47" s="416"/>
      <c r="X47" s="416"/>
      <c r="Y47" s="416"/>
      <c r="Z47" s="416"/>
    </row>
    <row r="48">
      <c r="A48" s="413"/>
      <c r="B48" s="414" t="s">
        <v>15</v>
      </c>
      <c r="C48" s="56" t="s">
        <v>1109</v>
      </c>
      <c r="D48" s="201" t="s">
        <v>1112</v>
      </c>
      <c r="E48" s="56" t="s">
        <v>35</v>
      </c>
      <c r="F48" s="56" t="s">
        <v>23</v>
      </c>
      <c r="G48" s="56">
        <v>8.0</v>
      </c>
      <c r="H48" s="56" t="s">
        <v>92</v>
      </c>
      <c r="I48" s="415"/>
      <c r="J48" s="415"/>
      <c r="K48" s="56">
        <v>8.0</v>
      </c>
      <c r="L48" s="56">
        <v>0.0</v>
      </c>
      <c r="M48" s="56">
        <v>8.0</v>
      </c>
      <c r="N48" s="56">
        <v>0.0</v>
      </c>
      <c r="O48" s="201" t="s">
        <v>1064</v>
      </c>
      <c r="P48" s="56" t="s">
        <v>70</v>
      </c>
      <c r="Q48" s="416"/>
      <c r="R48" s="416"/>
      <c r="S48" s="416"/>
      <c r="T48" s="416"/>
      <c r="U48" s="416"/>
      <c r="V48" s="416"/>
      <c r="W48" s="416"/>
      <c r="X48" s="416"/>
      <c r="Y48" s="416"/>
      <c r="Z48" s="416"/>
    </row>
    <row r="49">
      <c r="A49" s="413"/>
      <c r="B49" s="414" t="s">
        <v>15</v>
      </c>
      <c r="C49" s="56" t="s">
        <v>1113</v>
      </c>
      <c r="D49" s="201" t="s">
        <v>1068</v>
      </c>
      <c r="E49" s="56" t="s">
        <v>35</v>
      </c>
      <c r="F49" s="56" t="s">
        <v>19</v>
      </c>
      <c r="G49" s="56">
        <v>10.0</v>
      </c>
      <c r="H49" s="56" t="s">
        <v>92</v>
      </c>
      <c r="I49" s="415"/>
      <c r="J49" s="415"/>
      <c r="K49" s="56">
        <v>10.0</v>
      </c>
      <c r="L49" s="56">
        <v>0.0</v>
      </c>
      <c r="M49" s="56">
        <v>10.0</v>
      </c>
      <c r="N49" s="56">
        <f t="shared" ref="N49:N51" si="4">K49-L49-M49</f>
        <v>0</v>
      </c>
      <c r="O49" s="201" t="s">
        <v>1069</v>
      </c>
      <c r="P49" s="56" t="s">
        <v>70</v>
      </c>
      <c r="Q49" s="416"/>
      <c r="R49" s="416"/>
      <c r="S49" s="416"/>
      <c r="T49" s="416"/>
      <c r="U49" s="416"/>
      <c r="V49" s="416"/>
      <c r="W49" s="416"/>
      <c r="X49" s="416"/>
      <c r="Y49" s="416"/>
      <c r="Z49" s="416"/>
    </row>
    <row r="50">
      <c r="A50" s="413"/>
      <c r="B50" s="414" t="s">
        <v>15</v>
      </c>
      <c r="C50" s="56" t="s">
        <v>1113</v>
      </c>
      <c r="D50" s="201" t="s">
        <v>1070</v>
      </c>
      <c r="E50" s="56" t="s">
        <v>35</v>
      </c>
      <c r="F50" s="56" t="s">
        <v>19</v>
      </c>
      <c r="G50" s="56">
        <v>10.0</v>
      </c>
      <c r="H50" s="56" t="s">
        <v>92</v>
      </c>
      <c r="I50" s="415"/>
      <c r="J50" s="415"/>
      <c r="K50" s="56">
        <v>10.0</v>
      </c>
      <c r="L50" s="56">
        <v>0.0</v>
      </c>
      <c r="M50" s="56">
        <v>10.0</v>
      </c>
      <c r="N50" s="56">
        <f t="shared" si="4"/>
        <v>0</v>
      </c>
      <c r="O50" s="201" t="s">
        <v>1069</v>
      </c>
      <c r="P50" s="56" t="s">
        <v>70</v>
      </c>
      <c r="Q50" s="416"/>
      <c r="R50" s="416"/>
      <c r="S50" s="416"/>
      <c r="T50" s="416"/>
      <c r="U50" s="416"/>
      <c r="V50" s="416"/>
      <c r="W50" s="416"/>
      <c r="X50" s="416"/>
      <c r="Y50" s="416"/>
      <c r="Z50" s="416"/>
    </row>
    <row r="51">
      <c r="A51" s="413"/>
      <c r="B51" s="414" t="s">
        <v>15</v>
      </c>
      <c r="C51" s="56" t="s">
        <v>1113</v>
      </c>
      <c r="D51" s="201" t="s">
        <v>1114</v>
      </c>
      <c r="E51" s="56" t="s">
        <v>34</v>
      </c>
      <c r="F51" s="56" t="s">
        <v>19</v>
      </c>
      <c r="G51" s="56">
        <v>20.0</v>
      </c>
      <c r="H51" s="56" t="s">
        <v>92</v>
      </c>
      <c r="I51" s="415">
        <v>45950.0</v>
      </c>
      <c r="J51" s="415">
        <v>45964.0</v>
      </c>
      <c r="K51" s="56">
        <v>40.0</v>
      </c>
      <c r="L51" s="56">
        <v>0.0</v>
      </c>
      <c r="M51" s="56">
        <v>40.0</v>
      </c>
      <c r="N51" s="56">
        <f t="shared" si="4"/>
        <v>0</v>
      </c>
      <c r="O51" s="201" t="s">
        <v>1115</v>
      </c>
      <c r="P51" s="56" t="s">
        <v>70</v>
      </c>
      <c r="Q51" s="416"/>
      <c r="R51" s="416"/>
      <c r="S51" s="416"/>
      <c r="T51" s="416"/>
      <c r="U51" s="416"/>
      <c r="V51" s="416"/>
      <c r="W51" s="416"/>
      <c r="X51" s="416"/>
      <c r="Y51" s="416"/>
      <c r="Z51" s="416"/>
    </row>
    <row r="52">
      <c r="A52" s="413"/>
      <c r="B52" s="424" t="s">
        <v>15</v>
      </c>
      <c r="C52" s="418" t="s">
        <v>1116</v>
      </c>
      <c r="D52" s="418" t="s">
        <v>1117</v>
      </c>
      <c r="E52" s="418" t="s">
        <v>35</v>
      </c>
      <c r="F52" s="418" t="s">
        <v>19</v>
      </c>
      <c r="G52" s="418">
        <v>8.0</v>
      </c>
      <c r="H52" s="418" t="s">
        <v>92</v>
      </c>
      <c r="I52" s="425"/>
      <c r="J52" s="426"/>
      <c r="K52" s="418">
        <v>8.0</v>
      </c>
      <c r="L52" s="418">
        <v>0.0</v>
      </c>
      <c r="M52" s="418">
        <v>8.0</v>
      </c>
      <c r="N52" s="418">
        <f>sum(K52,-L139, -M52, )</f>
        <v>0</v>
      </c>
      <c r="O52" s="186" t="s">
        <v>1118</v>
      </c>
      <c r="P52" s="56" t="s">
        <v>70</v>
      </c>
      <c r="Q52" s="416"/>
      <c r="R52" s="416"/>
      <c r="S52" s="416"/>
      <c r="T52" s="416"/>
      <c r="U52" s="416"/>
      <c r="V52" s="416"/>
      <c r="W52" s="416"/>
      <c r="X52" s="416"/>
      <c r="Y52" s="416"/>
      <c r="Z52" s="416"/>
    </row>
    <row r="53">
      <c r="A53" s="413"/>
      <c r="B53" s="414" t="s">
        <v>15</v>
      </c>
      <c r="C53" s="56" t="s">
        <v>1116</v>
      </c>
      <c r="D53" s="201" t="s">
        <v>1119</v>
      </c>
      <c r="E53" s="56" t="s">
        <v>35</v>
      </c>
      <c r="F53" s="56" t="s">
        <v>19</v>
      </c>
      <c r="G53" s="56">
        <v>10.0</v>
      </c>
      <c r="H53" s="56" t="s">
        <v>92</v>
      </c>
      <c r="I53" s="415"/>
      <c r="J53" s="415"/>
      <c r="K53" s="56">
        <v>10.0</v>
      </c>
      <c r="L53" s="56">
        <v>0.0</v>
      </c>
      <c r="M53" s="56">
        <v>10.0</v>
      </c>
      <c r="N53" s="56">
        <v>0.0</v>
      </c>
      <c r="O53" s="201" t="s">
        <v>1089</v>
      </c>
      <c r="P53" s="56" t="s">
        <v>70</v>
      </c>
      <c r="Q53" s="416"/>
      <c r="R53" s="416"/>
      <c r="S53" s="416"/>
      <c r="T53" s="416"/>
      <c r="U53" s="416"/>
      <c r="V53" s="416"/>
      <c r="W53" s="416"/>
      <c r="X53" s="416"/>
      <c r="Y53" s="416"/>
      <c r="Z53" s="416"/>
    </row>
    <row r="54">
      <c r="A54" s="413"/>
      <c r="B54" s="414" t="s">
        <v>15</v>
      </c>
      <c r="C54" s="56" t="s">
        <v>1120</v>
      </c>
      <c r="D54" s="201" t="s">
        <v>1121</v>
      </c>
      <c r="E54" s="56" t="s">
        <v>35</v>
      </c>
      <c r="F54" s="56" t="s">
        <v>19</v>
      </c>
      <c r="G54" s="56">
        <v>10.0</v>
      </c>
      <c r="H54" s="56" t="s">
        <v>92</v>
      </c>
      <c r="I54" s="415"/>
      <c r="J54" s="415"/>
      <c r="K54" s="56">
        <v>10.0</v>
      </c>
      <c r="L54" s="56">
        <v>0.0</v>
      </c>
      <c r="M54" s="56">
        <v>10.0</v>
      </c>
      <c r="N54" s="56">
        <v>0.0</v>
      </c>
      <c r="O54" s="201" t="s">
        <v>1089</v>
      </c>
      <c r="P54" s="56" t="s">
        <v>70</v>
      </c>
      <c r="Q54" s="416"/>
      <c r="R54" s="416"/>
      <c r="S54" s="416"/>
      <c r="T54" s="416"/>
      <c r="U54" s="416"/>
      <c r="V54" s="416"/>
      <c r="W54" s="416"/>
      <c r="X54" s="416"/>
      <c r="Y54" s="416"/>
      <c r="Z54" s="416"/>
    </row>
    <row r="55">
      <c r="A55" s="413"/>
      <c r="B55" s="414" t="s">
        <v>15</v>
      </c>
      <c r="C55" s="56" t="s">
        <v>1120</v>
      </c>
      <c r="D55" s="201" t="s">
        <v>1122</v>
      </c>
      <c r="E55" s="56" t="s">
        <v>35</v>
      </c>
      <c r="F55" s="56" t="s">
        <v>19</v>
      </c>
      <c r="G55" s="56">
        <v>10.0</v>
      </c>
      <c r="H55" s="56" t="s">
        <v>92</v>
      </c>
      <c r="I55" s="415"/>
      <c r="J55" s="415"/>
      <c r="K55" s="56">
        <v>10.0</v>
      </c>
      <c r="L55" s="56">
        <v>0.0</v>
      </c>
      <c r="M55" s="56">
        <v>10.0</v>
      </c>
      <c r="N55" s="56">
        <f>K55-L55-M55</f>
        <v>0</v>
      </c>
      <c r="O55" s="201" t="s">
        <v>1069</v>
      </c>
      <c r="P55" s="56" t="s">
        <v>70</v>
      </c>
      <c r="Q55" s="416"/>
      <c r="R55" s="416"/>
      <c r="S55" s="416"/>
      <c r="T55" s="416"/>
      <c r="U55" s="416"/>
      <c r="V55" s="416"/>
      <c r="W55" s="416"/>
      <c r="X55" s="416"/>
      <c r="Y55" s="416"/>
      <c r="Z55" s="416"/>
    </row>
    <row r="56">
      <c r="A56" s="413"/>
      <c r="B56" s="414" t="s">
        <v>15</v>
      </c>
      <c r="C56" s="56" t="s">
        <v>1120</v>
      </c>
      <c r="D56" s="201" t="s">
        <v>1123</v>
      </c>
      <c r="E56" s="56" t="s">
        <v>35</v>
      </c>
      <c r="F56" s="56" t="s">
        <v>23</v>
      </c>
      <c r="G56" s="56">
        <v>19.0</v>
      </c>
      <c r="H56" s="56" t="s">
        <v>92</v>
      </c>
      <c r="I56" s="423"/>
      <c r="J56" s="56"/>
      <c r="K56" s="56">
        <v>39.0</v>
      </c>
      <c r="L56" s="56">
        <v>0.0</v>
      </c>
      <c r="M56" s="56">
        <v>39.0</v>
      </c>
      <c r="N56" s="56">
        <v>0.0</v>
      </c>
      <c r="O56" s="201" t="s">
        <v>1108</v>
      </c>
      <c r="P56" s="56" t="s">
        <v>70</v>
      </c>
      <c r="Q56" s="416"/>
      <c r="R56" s="416"/>
      <c r="S56" s="416"/>
      <c r="T56" s="416"/>
      <c r="U56" s="416"/>
      <c r="V56" s="416"/>
      <c r="W56" s="416"/>
      <c r="X56" s="416"/>
      <c r="Y56" s="416"/>
      <c r="Z56" s="416"/>
    </row>
    <row r="57">
      <c r="A57" s="413"/>
      <c r="B57" s="414" t="s">
        <v>15</v>
      </c>
      <c r="C57" s="56" t="s">
        <v>1124</v>
      </c>
      <c r="D57" s="201" t="s">
        <v>1112</v>
      </c>
      <c r="E57" s="56" t="s">
        <v>35</v>
      </c>
      <c r="F57" s="56" t="s">
        <v>23</v>
      </c>
      <c r="G57" s="56">
        <v>8.0</v>
      </c>
      <c r="H57" s="56" t="s">
        <v>92</v>
      </c>
      <c r="I57" s="415"/>
      <c r="J57" s="415"/>
      <c r="K57" s="56">
        <v>8.0</v>
      </c>
      <c r="L57" s="56">
        <v>0.0</v>
      </c>
      <c r="M57" s="56">
        <v>8.0</v>
      </c>
      <c r="N57" s="56">
        <v>0.0</v>
      </c>
      <c r="O57" s="201" t="s">
        <v>1064</v>
      </c>
      <c r="P57" s="56" t="s">
        <v>70</v>
      </c>
      <c r="Q57" s="416"/>
      <c r="R57" s="416"/>
      <c r="S57" s="416"/>
      <c r="T57" s="416"/>
      <c r="U57" s="416"/>
      <c r="V57" s="416"/>
      <c r="W57" s="416"/>
      <c r="X57" s="416"/>
      <c r="Y57" s="416"/>
      <c r="Z57" s="416"/>
    </row>
    <row r="58">
      <c r="A58" s="413"/>
      <c r="B58" s="414" t="s">
        <v>15</v>
      </c>
      <c r="C58" s="56" t="s">
        <v>1124</v>
      </c>
      <c r="D58" s="201" t="s">
        <v>1111</v>
      </c>
      <c r="E58" s="56" t="s">
        <v>35</v>
      </c>
      <c r="F58" s="56" t="s">
        <v>19</v>
      </c>
      <c r="G58" s="56">
        <v>8.0</v>
      </c>
      <c r="H58" s="56" t="s">
        <v>92</v>
      </c>
      <c r="I58" s="415"/>
      <c r="J58" s="415"/>
      <c r="K58" s="56">
        <v>8.0</v>
      </c>
      <c r="L58" s="56">
        <v>0.0</v>
      </c>
      <c r="M58" s="56">
        <v>8.0</v>
      </c>
      <c r="N58" s="56">
        <f>K58-L58-M58</f>
        <v>0</v>
      </c>
      <c r="O58" s="201" t="s">
        <v>1064</v>
      </c>
      <c r="P58" s="56" t="s">
        <v>70</v>
      </c>
      <c r="Q58" s="416"/>
      <c r="R58" s="416"/>
      <c r="S58" s="416"/>
      <c r="T58" s="416"/>
      <c r="U58" s="416"/>
      <c r="V58" s="416"/>
      <c r="W58" s="416"/>
      <c r="X58" s="416"/>
      <c r="Y58" s="416"/>
      <c r="Z58" s="416"/>
    </row>
    <row r="59">
      <c r="A59" s="413"/>
      <c r="B59" s="414" t="s">
        <v>15</v>
      </c>
      <c r="C59" s="56" t="s">
        <v>1124</v>
      </c>
      <c r="D59" s="201" t="s">
        <v>1072</v>
      </c>
      <c r="E59" s="56" t="s">
        <v>35</v>
      </c>
      <c r="F59" s="56" t="s">
        <v>23</v>
      </c>
      <c r="G59" s="56">
        <v>10.0</v>
      </c>
      <c r="H59" s="56" t="s">
        <v>92</v>
      </c>
      <c r="I59" s="415"/>
      <c r="J59" s="415"/>
      <c r="K59" s="56">
        <v>10.0</v>
      </c>
      <c r="L59" s="56">
        <v>0.0</v>
      </c>
      <c r="M59" s="56">
        <v>10.0</v>
      </c>
      <c r="N59" s="56">
        <v>0.0</v>
      </c>
      <c r="O59" s="201" t="s">
        <v>1073</v>
      </c>
      <c r="P59" s="56" t="s">
        <v>70</v>
      </c>
      <c r="Q59" s="416"/>
      <c r="R59" s="416"/>
      <c r="S59" s="416"/>
      <c r="T59" s="416"/>
      <c r="U59" s="416"/>
      <c r="V59" s="416"/>
      <c r="W59" s="416"/>
      <c r="X59" s="416"/>
      <c r="Y59" s="416"/>
      <c r="Z59" s="416"/>
    </row>
    <row r="60">
      <c r="A60" s="413"/>
      <c r="B60" s="414" t="s">
        <v>15</v>
      </c>
      <c r="C60" s="56" t="s">
        <v>1125</v>
      </c>
      <c r="D60" s="201" t="s">
        <v>1126</v>
      </c>
      <c r="E60" s="56" t="s">
        <v>34</v>
      </c>
      <c r="F60" s="56" t="s">
        <v>23</v>
      </c>
      <c r="G60" s="56">
        <v>20.0</v>
      </c>
      <c r="H60" s="56" t="s">
        <v>92</v>
      </c>
      <c r="I60" s="415">
        <v>45903.0</v>
      </c>
      <c r="J60" s="415">
        <v>45917.0</v>
      </c>
      <c r="K60" s="56">
        <v>40.0</v>
      </c>
      <c r="L60" s="56">
        <v>0.0</v>
      </c>
      <c r="M60" s="56">
        <v>40.0</v>
      </c>
      <c r="N60" s="56">
        <f>K60-L60-M60</f>
        <v>0</v>
      </c>
      <c r="O60" s="201" t="s">
        <v>1127</v>
      </c>
      <c r="P60" s="56" t="s">
        <v>70</v>
      </c>
      <c r="Q60" s="416"/>
      <c r="R60" s="416"/>
      <c r="S60" s="416"/>
      <c r="T60" s="416"/>
      <c r="U60" s="416"/>
      <c r="V60" s="416"/>
      <c r="W60" s="416"/>
      <c r="X60" s="416"/>
      <c r="Y60" s="416"/>
      <c r="Z60" s="416"/>
    </row>
    <row r="61">
      <c r="A61" s="413"/>
      <c r="B61" s="414" t="s">
        <v>15</v>
      </c>
      <c r="C61" s="56" t="s">
        <v>1125</v>
      </c>
      <c r="D61" s="201" t="s">
        <v>1128</v>
      </c>
      <c r="E61" s="56" t="s">
        <v>34</v>
      </c>
      <c r="F61" s="56" t="s">
        <v>22</v>
      </c>
      <c r="G61" s="56">
        <v>30.0</v>
      </c>
      <c r="H61" s="56" t="s">
        <v>92</v>
      </c>
      <c r="I61" s="415">
        <v>45911.0</v>
      </c>
      <c r="J61" s="415">
        <v>45960.0</v>
      </c>
      <c r="K61" s="56">
        <v>65.0</v>
      </c>
      <c r="L61" s="56">
        <v>0.0</v>
      </c>
      <c r="M61" s="56">
        <v>65.0</v>
      </c>
      <c r="N61" s="56">
        <v>0.0</v>
      </c>
      <c r="O61" s="201" t="s">
        <v>1081</v>
      </c>
      <c r="P61" s="56" t="s">
        <v>70</v>
      </c>
      <c r="Q61" s="416"/>
      <c r="R61" s="416"/>
      <c r="S61" s="416"/>
      <c r="T61" s="416"/>
      <c r="U61" s="416"/>
      <c r="V61" s="416"/>
      <c r="W61" s="416"/>
      <c r="X61" s="416"/>
      <c r="Y61" s="416"/>
      <c r="Z61" s="416"/>
    </row>
    <row r="62">
      <c r="A62" s="413"/>
      <c r="B62" s="414" t="s">
        <v>15</v>
      </c>
      <c r="C62" s="56" t="s">
        <v>1125</v>
      </c>
      <c r="D62" s="201" t="s">
        <v>1063</v>
      </c>
      <c r="E62" s="56" t="s">
        <v>35</v>
      </c>
      <c r="F62" s="56" t="s">
        <v>23</v>
      </c>
      <c r="G62" s="56">
        <v>10.0</v>
      </c>
      <c r="H62" s="56" t="s">
        <v>92</v>
      </c>
      <c r="I62" s="415"/>
      <c r="J62" s="415"/>
      <c r="K62" s="56">
        <v>10.0</v>
      </c>
      <c r="L62" s="56">
        <v>0.0</v>
      </c>
      <c r="M62" s="56">
        <v>10.0</v>
      </c>
      <c r="N62" s="56">
        <f t="shared" ref="N62:N63" si="5">K62-L62-M62</f>
        <v>0</v>
      </c>
      <c r="O62" s="201" t="s">
        <v>1064</v>
      </c>
      <c r="P62" s="56" t="s">
        <v>70</v>
      </c>
      <c r="Q62" s="416"/>
      <c r="R62" s="416"/>
      <c r="S62" s="416"/>
      <c r="T62" s="416"/>
      <c r="U62" s="416"/>
      <c r="V62" s="416"/>
      <c r="W62" s="416"/>
      <c r="X62" s="416"/>
      <c r="Y62" s="416"/>
      <c r="Z62" s="416"/>
    </row>
    <row r="63">
      <c r="A63" s="413"/>
      <c r="B63" s="414" t="s">
        <v>15</v>
      </c>
      <c r="C63" s="56" t="s">
        <v>1129</v>
      </c>
      <c r="D63" s="201" t="s">
        <v>1070</v>
      </c>
      <c r="E63" s="56" t="s">
        <v>35</v>
      </c>
      <c r="F63" s="56" t="s">
        <v>19</v>
      </c>
      <c r="G63" s="56">
        <v>10.0</v>
      </c>
      <c r="H63" s="56" t="s">
        <v>92</v>
      </c>
      <c r="I63" s="415"/>
      <c r="J63" s="415"/>
      <c r="K63" s="56">
        <v>10.0</v>
      </c>
      <c r="L63" s="56">
        <v>0.0</v>
      </c>
      <c r="M63" s="56">
        <v>10.0</v>
      </c>
      <c r="N63" s="56">
        <f t="shared" si="5"/>
        <v>0</v>
      </c>
      <c r="O63" s="201" t="s">
        <v>1069</v>
      </c>
      <c r="P63" s="56" t="s">
        <v>70</v>
      </c>
      <c r="Q63" s="416"/>
      <c r="R63" s="416"/>
      <c r="S63" s="416"/>
      <c r="T63" s="416"/>
      <c r="U63" s="416"/>
      <c r="V63" s="416"/>
      <c r="W63" s="416"/>
      <c r="X63" s="416"/>
      <c r="Y63" s="416"/>
      <c r="Z63" s="416"/>
    </row>
    <row r="64">
      <c r="A64" s="413"/>
      <c r="B64" s="414" t="s">
        <v>15</v>
      </c>
      <c r="C64" s="56" t="s">
        <v>1129</v>
      </c>
      <c r="D64" s="201" t="s">
        <v>1107</v>
      </c>
      <c r="E64" s="56" t="s">
        <v>35</v>
      </c>
      <c r="F64" s="56" t="s">
        <v>23</v>
      </c>
      <c r="G64" s="56">
        <v>10.0</v>
      </c>
      <c r="H64" s="56" t="s">
        <v>92</v>
      </c>
      <c r="I64" s="423"/>
      <c r="J64" s="56"/>
      <c r="K64" s="56">
        <v>10.0</v>
      </c>
      <c r="L64" s="56">
        <v>0.0</v>
      </c>
      <c r="M64" s="56">
        <v>10.0</v>
      </c>
      <c r="N64" s="56">
        <v>0.0</v>
      </c>
      <c r="O64" s="201" t="s">
        <v>1108</v>
      </c>
      <c r="P64" s="56" t="s">
        <v>70</v>
      </c>
      <c r="Q64" s="416"/>
      <c r="R64" s="416"/>
      <c r="S64" s="416"/>
      <c r="T64" s="416"/>
      <c r="U64" s="416"/>
      <c r="V64" s="416"/>
      <c r="W64" s="416"/>
      <c r="X64" s="416"/>
      <c r="Y64" s="416"/>
      <c r="Z64" s="416"/>
    </row>
    <row r="65">
      <c r="A65" s="413"/>
      <c r="B65" s="414" t="s">
        <v>15</v>
      </c>
      <c r="C65" s="56" t="s">
        <v>1129</v>
      </c>
      <c r="D65" s="201" t="s">
        <v>1130</v>
      </c>
      <c r="E65" s="56" t="s">
        <v>35</v>
      </c>
      <c r="F65" s="56" t="s">
        <v>23</v>
      </c>
      <c r="G65" s="56">
        <v>10.0</v>
      </c>
      <c r="H65" s="56" t="s">
        <v>92</v>
      </c>
      <c r="I65" s="415"/>
      <c r="J65" s="415"/>
      <c r="K65" s="56">
        <v>10.0</v>
      </c>
      <c r="L65" s="56">
        <v>0.0</v>
      </c>
      <c r="M65" s="56">
        <v>10.0</v>
      </c>
      <c r="N65" s="56">
        <v>0.0</v>
      </c>
      <c r="O65" s="201" t="s">
        <v>1073</v>
      </c>
      <c r="P65" s="56" t="s">
        <v>70</v>
      </c>
      <c r="Q65" s="416"/>
      <c r="R65" s="416"/>
      <c r="S65" s="416"/>
      <c r="T65" s="416"/>
      <c r="U65" s="416"/>
      <c r="V65" s="416"/>
      <c r="W65" s="416"/>
      <c r="X65" s="416"/>
      <c r="Y65" s="416"/>
      <c r="Z65" s="416"/>
    </row>
    <row r="66">
      <c r="A66" s="413"/>
      <c r="B66" s="414" t="s">
        <v>15</v>
      </c>
      <c r="C66" s="56" t="s">
        <v>1129</v>
      </c>
      <c r="D66" s="201" t="s">
        <v>1068</v>
      </c>
      <c r="E66" s="56" t="s">
        <v>35</v>
      </c>
      <c r="F66" s="56" t="s">
        <v>19</v>
      </c>
      <c r="G66" s="56">
        <v>10.0</v>
      </c>
      <c r="H66" s="56" t="s">
        <v>92</v>
      </c>
      <c r="I66" s="415"/>
      <c r="J66" s="415"/>
      <c r="K66" s="56">
        <v>10.0</v>
      </c>
      <c r="L66" s="56">
        <v>0.0</v>
      </c>
      <c r="M66" s="56">
        <v>10.0</v>
      </c>
      <c r="N66" s="56">
        <f>K66-L66-M66</f>
        <v>0</v>
      </c>
      <c r="O66" s="201" t="s">
        <v>1081</v>
      </c>
      <c r="P66" s="56" t="s">
        <v>70</v>
      </c>
      <c r="Q66" s="416"/>
      <c r="R66" s="416"/>
      <c r="S66" s="416"/>
      <c r="T66" s="416"/>
      <c r="U66" s="416"/>
      <c r="V66" s="416"/>
      <c r="W66" s="416"/>
      <c r="X66" s="416"/>
      <c r="Y66" s="416"/>
      <c r="Z66" s="416"/>
    </row>
    <row r="67">
      <c r="A67" s="413"/>
      <c r="B67" s="414" t="s">
        <v>15</v>
      </c>
      <c r="C67" s="56" t="s">
        <v>1129</v>
      </c>
      <c r="D67" s="201" t="s">
        <v>1131</v>
      </c>
      <c r="E67" s="56" t="s">
        <v>35</v>
      </c>
      <c r="F67" s="56" t="s">
        <v>22</v>
      </c>
      <c r="G67" s="56">
        <v>12.0</v>
      </c>
      <c r="H67" s="56" t="s">
        <v>92</v>
      </c>
      <c r="I67" s="423"/>
      <c r="J67" s="56"/>
      <c r="K67" s="56">
        <v>16.0</v>
      </c>
      <c r="L67" s="56">
        <v>0.0</v>
      </c>
      <c r="M67" s="56">
        <v>16.0</v>
      </c>
      <c r="N67" s="56">
        <v>0.0</v>
      </c>
      <c r="O67" s="201" t="s">
        <v>1108</v>
      </c>
      <c r="P67" s="56" t="s">
        <v>70</v>
      </c>
      <c r="Q67" s="416"/>
      <c r="R67" s="416"/>
      <c r="S67" s="416"/>
      <c r="T67" s="416"/>
      <c r="U67" s="416"/>
      <c r="V67" s="416"/>
      <c r="W67" s="416"/>
      <c r="X67" s="416"/>
      <c r="Y67" s="416"/>
      <c r="Z67" s="416"/>
    </row>
    <row r="68">
      <c r="A68" s="413"/>
      <c r="B68" s="417" t="s">
        <v>15</v>
      </c>
      <c r="C68" s="418" t="s">
        <v>1129</v>
      </c>
      <c r="D68" s="418" t="s">
        <v>1132</v>
      </c>
      <c r="E68" s="418" t="s">
        <v>35</v>
      </c>
      <c r="F68" s="418" t="s">
        <v>23</v>
      </c>
      <c r="G68" s="418">
        <v>15.0</v>
      </c>
      <c r="H68" s="418" t="s">
        <v>92</v>
      </c>
      <c r="I68" s="119"/>
      <c r="J68" s="119"/>
      <c r="K68" s="418">
        <v>25.0</v>
      </c>
      <c r="L68" s="418">
        <v>0.0</v>
      </c>
      <c r="M68" s="56">
        <v>25.0</v>
      </c>
      <c r="N68" s="418">
        <f>sum(K68,-L84, -M68, )</f>
        <v>0</v>
      </c>
      <c r="O68" s="186" t="s">
        <v>309</v>
      </c>
      <c r="P68" s="56" t="s">
        <v>70</v>
      </c>
      <c r="Q68" s="416"/>
      <c r="R68" s="416"/>
      <c r="S68" s="416"/>
      <c r="T68" s="416"/>
      <c r="U68" s="416"/>
      <c r="V68" s="416"/>
      <c r="W68" s="416"/>
      <c r="X68" s="416"/>
      <c r="Y68" s="416"/>
      <c r="Z68" s="416"/>
    </row>
    <row r="69">
      <c r="A69" s="413"/>
      <c r="B69" s="414" t="s">
        <v>15</v>
      </c>
      <c r="C69" s="56" t="s">
        <v>1133</v>
      </c>
      <c r="D69" s="201" t="s">
        <v>1134</v>
      </c>
      <c r="E69" s="56" t="s">
        <v>34</v>
      </c>
      <c r="F69" s="56" t="s">
        <v>23</v>
      </c>
      <c r="G69" s="56">
        <v>20.0</v>
      </c>
      <c r="H69" s="56" t="s">
        <v>92</v>
      </c>
      <c r="I69" s="415">
        <v>45943.0</v>
      </c>
      <c r="J69" s="415">
        <v>45957.0</v>
      </c>
      <c r="K69" s="56">
        <v>40.0</v>
      </c>
      <c r="L69" s="56">
        <v>0.0</v>
      </c>
      <c r="M69" s="56">
        <v>40.0</v>
      </c>
      <c r="N69" s="56">
        <f t="shared" ref="N69:N71" si="6">K69-L69-M69</f>
        <v>0</v>
      </c>
      <c r="O69" s="201" t="s">
        <v>1135</v>
      </c>
      <c r="P69" s="56" t="s">
        <v>70</v>
      </c>
      <c r="Q69" s="416"/>
      <c r="R69" s="416"/>
      <c r="S69" s="416"/>
      <c r="T69" s="416"/>
      <c r="U69" s="416"/>
      <c r="V69" s="416"/>
      <c r="W69" s="416"/>
      <c r="X69" s="416"/>
      <c r="Y69" s="416"/>
      <c r="Z69" s="416"/>
    </row>
    <row r="70">
      <c r="A70" s="413"/>
      <c r="B70" s="414" t="s">
        <v>15</v>
      </c>
      <c r="C70" s="56" t="s">
        <v>1133</v>
      </c>
      <c r="D70" s="201" t="s">
        <v>1068</v>
      </c>
      <c r="E70" s="56" t="s">
        <v>35</v>
      </c>
      <c r="F70" s="56" t="s">
        <v>19</v>
      </c>
      <c r="G70" s="56">
        <v>10.0</v>
      </c>
      <c r="H70" s="56" t="s">
        <v>92</v>
      </c>
      <c r="I70" s="415"/>
      <c r="J70" s="415"/>
      <c r="K70" s="56">
        <v>10.0</v>
      </c>
      <c r="L70" s="56">
        <v>0.0</v>
      </c>
      <c r="M70" s="56">
        <v>10.0</v>
      </c>
      <c r="N70" s="56">
        <f t="shared" si="6"/>
        <v>0</v>
      </c>
      <c r="O70" s="201" t="s">
        <v>1069</v>
      </c>
      <c r="P70" s="56" t="s">
        <v>70</v>
      </c>
      <c r="Q70" s="416"/>
      <c r="R70" s="416"/>
      <c r="S70" s="416"/>
      <c r="T70" s="416"/>
      <c r="U70" s="416"/>
      <c r="V70" s="416"/>
      <c r="W70" s="416"/>
      <c r="X70" s="416"/>
      <c r="Y70" s="416"/>
      <c r="Z70" s="416"/>
    </row>
    <row r="71">
      <c r="A71" s="413"/>
      <c r="B71" s="414" t="s">
        <v>15</v>
      </c>
      <c r="C71" s="56" t="s">
        <v>1133</v>
      </c>
      <c r="D71" s="201" t="s">
        <v>1070</v>
      </c>
      <c r="E71" s="56" t="s">
        <v>35</v>
      </c>
      <c r="F71" s="56" t="s">
        <v>19</v>
      </c>
      <c r="G71" s="56">
        <v>10.0</v>
      </c>
      <c r="H71" s="56" t="s">
        <v>92</v>
      </c>
      <c r="I71" s="415"/>
      <c r="J71" s="415"/>
      <c r="K71" s="56">
        <v>10.0</v>
      </c>
      <c r="L71" s="56">
        <v>0.0</v>
      </c>
      <c r="M71" s="56">
        <v>10.0</v>
      </c>
      <c r="N71" s="56">
        <f t="shared" si="6"/>
        <v>0</v>
      </c>
      <c r="O71" s="201" t="s">
        <v>1069</v>
      </c>
      <c r="P71" s="56" t="s">
        <v>70</v>
      </c>
      <c r="Q71" s="416"/>
      <c r="R71" s="416"/>
      <c r="S71" s="416"/>
      <c r="T71" s="416"/>
      <c r="U71" s="416"/>
      <c r="V71" s="416"/>
      <c r="W71" s="416"/>
      <c r="X71" s="416"/>
      <c r="Y71" s="416"/>
      <c r="Z71" s="416"/>
    </row>
    <row r="72">
      <c r="A72" s="413"/>
      <c r="B72" s="414" t="s">
        <v>15</v>
      </c>
      <c r="C72" s="56" t="s">
        <v>1133</v>
      </c>
      <c r="D72" s="201" t="s">
        <v>1082</v>
      </c>
      <c r="E72" s="56" t="s">
        <v>34</v>
      </c>
      <c r="F72" s="56" t="s">
        <v>23</v>
      </c>
      <c r="G72" s="56">
        <v>20.0</v>
      </c>
      <c r="H72" s="56" t="s">
        <v>92</v>
      </c>
      <c r="I72" s="415">
        <v>45996.0</v>
      </c>
      <c r="J72" s="415">
        <v>46010.0</v>
      </c>
      <c r="K72" s="56">
        <v>40.0</v>
      </c>
      <c r="L72" s="56">
        <v>0.0</v>
      </c>
      <c r="M72" s="56">
        <v>40.0</v>
      </c>
      <c r="N72" s="56">
        <v>0.0</v>
      </c>
      <c r="O72" s="201" t="s">
        <v>413</v>
      </c>
      <c r="P72" s="56" t="s">
        <v>70</v>
      </c>
      <c r="Q72" s="416"/>
      <c r="R72" s="416"/>
      <c r="S72" s="416"/>
      <c r="T72" s="416"/>
      <c r="U72" s="416"/>
      <c r="V72" s="416"/>
      <c r="W72" s="416"/>
      <c r="X72" s="416"/>
      <c r="Y72" s="416"/>
      <c r="Z72" s="416"/>
    </row>
    <row r="73" ht="35.25" customHeight="1">
      <c r="A73" s="409"/>
      <c r="B73" s="420" t="s">
        <v>15</v>
      </c>
      <c r="C73" s="420" t="s">
        <v>1133</v>
      </c>
      <c r="D73" s="420" t="s">
        <v>1098</v>
      </c>
      <c r="E73" s="420" t="s">
        <v>34</v>
      </c>
      <c r="F73" s="420" t="s">
        <v>23</v>
      </c>
      <c r="G73" s="420">
        <v>20.0</v>
      </c>
      <c r="H73" s="420" t="s">
        <v>92</v>
      </c>
      <c r="I73" s="421">
        <v>46055.0</v>
      </c>
      <c r="J73" s="421">
        <v>46069.0</v>
      </c>
      <c r="K73" s="420">
        <v>40.0</v>
      </c>
      <c r="L73" s="422">
        <v>0.0</v>
      </c>
      <c r="M73" s="409">
        <v>40.0</v>
      </c>
      <c r="N73" s="409">
        <f t="shared" ref="N73:N74" si="7">K73-L73-M73</f>
        <v>0</v>
      </c>
      <c r="O73" s="409" t="s">
        <v>1086</v>
      </c>
      <c r="P73" s="409" t="s">
        <v>70</v>
      </c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>
      <c r="A74" s="413"/>
      <c r="B74" s="414" t="s">
        <v>16</v>
      </c>
      <c r="C74" s="56" t="s">
        <v>1136</v>
      </c>
      <c r="D74" s="201" t="s">
        <v>1137</v>
      </c>
      <c r="E74" s="56" t="s">
        <v>35</v>
      </c>
      <c r="F74" s="56" t="s">
        <v>19</v>
      </c>
      <c r="G74" s="56">
        <v>10.0</v>
      </c>
      <c r="H74" s="56" t="s">
        <v>92</v>
      </c>
      <c r="I74" s="415"/>
      <c r="J74" s="415"/>
      <c r="K74" s="56">
        <v>10.0</v>
      </c>
      <c r="L74" s="56">
        <v>0.0</v>
      </c>
      <c r="M74" s="56">
        <v>10.0</v>
      </c>
      <c r="N74" s="56">
        <f t="shared" si="7"/>
        <v>0</v>
      </c>
      <c r="O74" s="201" t="s">
        <v>1081</v>
      </c>
      <c r="P74" s="56" t="s">
        <v>70</v>
      </c>
      <c r="Q74" s="416"/>
      <c r="R74" s="416"/>
      <c r="S74" s="416"/>
      <c r="T74" s="416"/>
      <c r="U74" s="416"/>
      <c r="V74" s="416"/>
      <c r="W74" s="416"/>
      <c r="X74" s="416"/>
      <c r="Y74" s="416"/>
      <c r="Z74" s="416"/>
    </row>
    <row r="75">
      <c r="A75" s="413"/>
      <c r="B75" s="417" t="s">
        <v>16</v>
      </c>
      <c r="C75" s="418" t="s">
        <v>1136</v>
      </c>
      <c r="D75" s="186" t="s">
        <v>1138</v>
      </c>
      <c r="E75" s="418" t="s">
        <v>35</v>
      </c>
      <c r="F75" s="56" t="s">
        <v>19</v>
      </c>
      <c r="G75" s="418">
        <v>8.0</v>
      </c>
      <c r="H75" s="56" t="s">
        <v>92</v>
      </c>
      <c r="I75" s="426"/>
      <c r="J75" s="426"/>
      <c r="K75" s="418">
        <v>8.0</v>
      </c>
      <c r="L75" s="418">
        <v>0.0</v>
      </c>
      <c r="M75" s="56">
        <v>8.0</v>
      </c>
      <c r="N75" s="418">
        <f>sum(K75,-L20, -M75, )</f>
        <v>0</v>
      </c>
      <c r="O75" s="186" t="s">
        <v>1139</v>
      </c>
      <c r="P75" s="56" t="s">
        <v>70</v>
      </c>
      <c r="Q75" s="416"/>
      <c r="R75" s="416"/>
      <c r="S75" s="416"/>
      <c r="T75" s="416"/>
      <c r="U75" s="416"/>
      <c r="V75" s="416"/>
      <c r="W75" s="416"/>
      <c r="X75" s="416"/>
      <c r="Y75" s="416"/>
      <c r="Z75" s="416"/>
    </row>
    <row r="76">
      <c r="A76" s="413"/>
      <c r="B76" s="414" t="s">
        <v>16</v>
      </c>
      <c r="C76" s="56" t="s">
        <v>1136</v>
      </c>
      <c r="D76" s="201" t="s">
        <v>1140</v>
      </c>
      <c r="E76" s="56" t="s">
        <v>34</v>
      </c>
      <c r="F76" s="56" t="s">
        <v>19</v>
      </c>
      <c r="G76" s="56">
        <v>20.0</v>
      </c>
      <c r="H76" s="56" t="s">
        <v>92</v>
      </c>
      <c r="I76" s="415">
        <v>45993.0</v>
      </c>
      <c r="J76" s="415">
        <v>46007.0</v>
      </c>
      <c r="K76" s="56">
        <v>40.0</v>
      </c>
      <c r="L76" s="56">
        <v>0.0</v>
      </c>
      <c r="M76" s="56">
        <v>40.0</v>
      </c>
      <c r="N76" s="56">
        <v>0.0</v>
      </c>
      <c r="O76" s="201" t="s">
        <v>1141</v>
      </c>
      <c r="P76" s="56" t="s">
        <v>70</v>
      </c>
      <c r="Q76" s="416"/>
      <c r="R76" s="416"/>
      <c r="S76" s="416"/>
      <c r="T76" s="416"/>
      <c r="U76" s="416"/>
      <c r="V76" s="416"/>
      <c r="W76" s="416"/>
      <c r="X76" s="416"/>
      <c r="Y76" s="416"/>
      <c r="Z76" s="416"/>
    </row>
    <row r="77">
      <c r="A77" s="413"/>
      <c r="B77" s="414" t="s">
        <v>16</v>
      </c>
      <c r="C77" s="56" t="s">
        <v>1142</v>
      </c>
      <c r="D77" s="201" t="s">
        <v>1143</v>
      </c>
      <c r="E77" s="56" t="s">
        <v>34</v>
      </c>
      <c r="F77" s="56" t="s">
        <v>23</v>
      </c>
      <c r="G77" s="56">
        <v>20.0</v>
      </c>
      <c r="H77" s="56" t="s">
        <v>92</v>
      </c>
      <c r="I77" s="415">
        <v>45897.0</v>
      </c>
      <c r="J77" s="415">
        <v>45911.0</v>
      </c>
      <c r="K77" s="56">
        <v>40.0</v>
      </c>
      <c r="L77" s="56">
        <v>0.0</v>
      </c>
      <c r="M77" s="56">
        <v>40.0</v>
      </c>
      <c r="N77" s="56">
        <f t="shared" ref="N77:N78" si="8">K77-L77-M77</f>
        <v>0</v>
      </c>
      <c r="O77" s="201" t="s">
        <v>1144</v>
      </c>
      <c r="P77" s="56" t="s">
        <v>70</v>
      </c>
      <c r="Q77" s="416"/>
      <c r="R77" s="416"/>
      <c r="S77" s="416"/>
      <c r="T77" s="416"/>
      <c r="U77" s="416"/>
      <c r="V77" s="416"/>
      <c r="W77" s="416"/>
      <c r="X77" s="416"/>
      <c r="Y77" s="416"/>
      <c r="Z77" s="416"/>
    </row>
    <row r="78">
      <c r="A78" s="413"/>
      <c r="B78" s="414" t="s">
        <v>16</v>
      </c>
      <c r="C78" s="56" t="s">
        <v>1142</v>
      </c>
      <c r="D78" s="201" t="s">
        <v>1145</v>
      </c>
      <c r="E78" s="56" t="s">
        <v>35</v>
      </c>
      <c r="F78" s="56" t="s">
        <v>19</v>
      </c>
      <c r="G78" s="56">
        <v>8.0</v>
      </c>
      <c r="H78" s="56" t="s">
        <v>92</v>
      </c>
      <c r="I78" s="415"/>
      <c r="J78" s="415"/>
      <c r="K78" s="56">
        <v>8.0</v>
      </c>
      <c r="L78" s="56">
        <v>0.0</v>
      </c>
      <c r="M78" s="56">
        <v>8.0</v>
      </c>
      <c r="N78" s="56">
        <f t="shared" si="8"/>
        <v>0</v>
      </c>
      <c r="O78" s="201" t="s">
        <v>1069</v>
      </c>
      <c r="P78" s="56" t="s">
        <v>70</v>
      </c>
      <c r="Q78" s="416"/>
      <c r="R78" s="416"/>
      <c r="S78" s="416"/>
      <c r="T78" s="416"/>
      <c r="U78" s="416"/>
      <c r="V78" s="416"/>
      <c r="W78" s="416"/>
      <c r="X78" s="416"/>
      <c r="Y78" s="416"/>
      <c r="Z78" s="416"/>
    </row>
    <row r="79">
      <c r="A79" s="427"/>
      <c r="B79" s="428" t="s">
        <v>16</v>
      </c>
      <c r="C79" s="416" t="s">
        <v>1142</v>
      </c>
      <c r="D79" s="148" t="s">
        <v>1146</v>
      </c>
      <c r="E79" s="416" t="s">
        <v>35</v>
      </c>
      <c r="F79" s="416" t="s">
        <v>20</v>
      </c>
      <c r="G79" s="416">
        <v>8.0</v>
      </c>
      <c r="H79" s="56" t="s">
        <v>92</v>
      </c>
      <c r="I79" s="429"/>
      <c r="J79" s="429"/>
      <c r="K79" s="416">
        <v>8.0</v>
      </c>
      <c r="L79" s="416">
        <v>0.0</v>
      </c>
      <c r="M79" s="416">
        <v>8.0</v>
      </c>
      <c r="N79" s="416">
        <v>0.0</v>
      </c>
      <c r="O79" s="201" t="s">
        <v>1147</v>
      </c>
      <c r="P79" s="416" t="s">
        <v>70</v>
      </c>
      <c r="Q79" s="416"/>
      <c r="R79" s="416"/>
      <c r="S79" s="416"/>
      <c r="T79" s="416"/>
      <c r="U79" s="416"/>
      <c r="V79" s="416"/>
      <c r="W79" s="416"/>
      <c r="X79" s="416"/>
      <c r="Y79" s="416"/>
      <c r="Z79" s="416"/>
    </row>
    <row r="80">
      <c r="A80" s="413"/>
      <c r="B80" s="414" t="s">
        <v>16</v>
      </c>
      <c r="C80" s="56" t="s">
        <v>1142</v>
      </c>
      <c r="D80" s="201" t="s">
        <v>1148</v>
      </c>
      <c r="E80" s="56" t="s">
        <v>35</v>
      </c>
      <c r="F80" s="56" t="s">
        <v>19</v>
      </c>
      <c r="G80" s="56">
        <v>10.0</v>
      </c>
      <c r="H80" s="56" t="s">
        <v>92</v>
      </c>
      <c r="I80" s="415"/>
      <c r="J80" s="415"/>
      <c r="K80" s="56">
        <v>10.0</v>
      </c>
      <c r="L80" s="56">
        <v>0.0</v>
      </c>
      <c r="M80" s="56">
        <v>10.0</v>
      </c>
      <c r="N80" s="56">
        <v>0.0</v>
      </c>
      <c r="O80" s="201" t="s">
        <v>1089</v>
      </c>
      <c r="P80" s="56" t="s">
        <v>70</v>
      </c>
      <c r="Q80" s="416"/>
      <c r="R80" s="416"/>
      <c r="S80" s="416"/>
      <c r="T80" s="416"/>
      <c r="U80" s="416"/>
      <c r="V80" s="416"/>
      <c r="W80" s="416"/>
      <c r="X80" s="416"/>
      <c r="Y80" s="416"/>
      <c r="Z80" s="416"/>
    </row>
    <row r="81">
      <c r="A81" s="413"/>
      <c r="B81" s="414" t="s">
        <v>16</v>
      </c>
      <c r="C81" s="56" t="s">
        <v>1142</v>
      </c>
      <c r="D81" s="201" t="s">
        <v>1149</v>
      </c>
      <c r="E81" s="56" t="s">
        <v>35</v>
      </c>
      <c r="F81" s="56" t="s">
        <v>19</v>
      </c>
      <c r="G81" s="56">
        <v>8.0</v>
      </c>
      <c r="H81" s="56" t="s">
        <v>92</v>
      </c>
      <c r="I81" s="415"/>
      <c r="J81" s="415"/>
      <c r="K81" s="56">
        <v>8.0</v>
      </c>
      <c r="L81" s="56">
        <v>0.0</v>
      </c>
      <c r="M81" s="56">
        <v>8.0</v>
      </c>
      <c r="N81" s="56">
        <v>0.0</v>
      </c>
      <c r="O81" s="201" t="s">
        <v>1089</v>
      </c>
      <c r="P81" s="56" t="s">
        <v>70</v>
      </c>
      <c r="Q81" s="416"/>
      <c r="R81" s="416"/>
      <c r="S81" s="416"/>
      <c r="T81" s="416"/>
      <c r="U81" s="416"/>
      <c r="V81" s="416"/>
      <c r="W81" s="416"/>
      <c r="X81" s="416"/>
      <c r="Y81" s="416"/>
      <c r="Z81" s="416"/>
    </row>
    <row r="82">
      <c r="A82" s="413"/>
      <c r="B82" s="414" t="s">
        <v>16</v>
      </c>
      <c r="C82" s="56" t="s">
        <v>1059</v>
      </c>
      <c r="D82" s="201" t="s">
        <v>1150</v>
      </c>
      <c r="E82" s="56" t="s">
        <v>35</v>
      </c>
      <c r="F82" s="56" t="s">
        <v>19</v>
      </c>
      <c r="G82" s="56">
        <v>10.0</v>
      </c>
      <c r="H82" s="56" t="s">
        <v>92</v>
      </c>
      <c r="I82" s="423"/>
      <c r="J82" s="56"/>
      <c r="K82" s="56">
        <v>10.0</v>
      </c>
      <c r="L82" s="56">
        <v>0.0</v>
      </c>
      <c r="M82" s="56">
        <v>10.0</v>
      </c>
      <c r="N82" s="56">
        <v>0.0</v>
      </c>
      <c r="O82" s="201" t="s">
        <v>1108</v>
      </c>
      <c r="P82" s="56" t="s">
        <v>70</v>
      </c>
      <c r="Q82" s="416"/>
      <c r="R82" s="416"/>
      <c r="S82" s="416"/>
      <c r="T82" s="416"/>
      <c r="U82" s="416"/>
      <c r="V82" s="416"/>
      <c r="W82" s="416"/>
      <c r="X82" s="416"/>
      <c r="Y82" s="416"/>
      <c r="Z82" s="416"/>
    </row>
    <row r="83">
      <c r="A83" s="413"/>
      <c r="B83" s="414" t="s">
        <v>16</v>
      </c>
      <c r="C83" s="56" t="s">
        <v>1059</v>
      </c>
      <c r="D83" s="201" t="s">
        <v>1151</v>
      </c>
      <c r="E83" s="56" t="s">
        <v>35</v>
      </c>
      <c r="F83" s="56" t="s">
        <v>19</v>
      </c>
      <c r="G83" s="56">
        <v>10.0</v>
      </c>
      <c r="H83" s="56" t="s">
        <v>92</v>
      </c>
      <c r="I83" s="415"/>
      <c r="J83" s="415"/>
      <c r="K83" s="56">
        <v>10.0</v>
      </c>
      <c r="L83" s="56">
        <v>0.0</v>
      </c>
      <c r="M83" s="56">
        <v>10.0</v>
      </c>
      <c r="N83" s="56">
        <f>K83-L83-M83</f>
        <v>0</v>
      </c>
      <c r="O83" s="201" t="s">
        <v>1069</v>
      </c>
      <c r="P83" s="56" t="s">
        <v>70</v>
      </c>
      <c r="Q83" s="416"/>
      <c r="R83" s="416"/>
      <c r="S83" s="416"/>
      <c r="T83" s="416"/>
      <c r="U83" s="416"/>
      <c r="V83" s="416"/>
      <c r="W83" s="416"/>
      <c r="X83" s="416"/>
      <c r="Y83" s="416"/>
      <c r="Z83" s="416"/>
    </row>
    <row r="84">
      <c r="A84" s="413"/>
      <c r="B84" s="430" t="s">
        <v>16</v>
      </c>
      <c r="C84" s="418" t="s">
        <v>1152</v>
      </c>
      <c r="D84" s="418" t="s">
        <v>1153</v>
      </c>
      <c r="E84" s="418" t="s">
        <v>35</v>
      </c>
      <c r="F84" s="418" t="s">
        <v>22</v>
      </c>
      <c r="G84" s="418">
        <v>15.0</v>
      </c>
      <c r="H84" s="418" t="s">
        <v>92</v>
      </c>
      <c r="I84" s="426"/>
      <c r="J84" s="426"/>
      <c r="K84" s="418">
        <v>25.0</v>
      </c>
      <c r="L84" s="418">
        <v>0.0</v>
      </c>
      <c r="M84" s="56">
        <v>25.0</v>
      </c>
      <c r="N84" s="418">
        <f>sum(K84,-L107, -M84, )</f>
        <v>0</v>
      </c>
      <c r="O84" s="186" t="s">
        <v>309</v>
      </c>
      <c r="P84" s="56" t="s">
        <v>70</v>
      </c>
      <c r="Q84" s="416"/>
      <c r="R84" s="416"/>
      <c r="S84" s="416"/>
      <c r="T84" s="416"/>
      <c r="U84" s="416"/>
      <c r="V84" s="416"/>
      <c r="W84" s="416"/>
      <c r="X84" s="416"/>
      <c r="Y84" s="416"/>
      <c r="Z84" s="416"/>
    </row>
    <row r="85">
      <c r="A85" s="413"/>
      <c r="B85" s="414" t="s">
        <v>16</v>
      </c>
      <c r="C85" s="56" t="s">
        <v>1152</v>
      </c>
      <c r="D85" s="201" t="s">
        <v>1154</v>
      </c>
      <c r="E85" s="56" t="s">
        <v>35</v>
      </c>
      <c r="F85" s="56" t="s">
        <v>23</v>
      </c>
      <c r="G85" s="56">
        <v>19.0</v>
      </c>
      <c r="H85" s="56" t="s">
        <v>92</v>
      </c>
      <c r="I85" s="415"/>
      <c r="J85" s="415"/>
      <c r="K85" s="56">
        <v>39.0</v>
      </c>
      <c r="L85" s="56">
        <v>0.0</v>
      </c>
      <c r="M85" s="56">
        <v>39.0</v>
      </c>
      <c r="N85" s="56">
        <v>0.0</v>
      </c>
      <c r="O85" s="201" t="s">
        <v>1064</v>
      </c>
      <c r="P85" s="56" t="s">
        <v>70</v>
      </c>
      <c r="Q85" s="416"/>
      <c r="R85" s="416"/>
      <c r="S85" s="416"/>
      <c r="T85" s="416"/>
      <c r="U85" s="416"/>
      <c r="V85" s="416"/>
      <c r="W85" s="416"/>
      <c r="X85" s="416"/>
      <c r="Y85" s="416"/>
      <c r="Z85" s="416"/>
    </row>
    <row r="86">
      <c r="A86" s="413"/>
      <c r="B86" s="414" t="s">
        <v>16</v>
      </c>
      <c r="C86" s="56" t="s">
        <v>1152</v>
      </c>
      <c r="D86" s="201" t="s">
        <v>1155</v>
      </c>
      <c r="E86" s="56" t="s">
        <v>35</v>
      </c>
      <c r="F86" s="56" t="s">
        <v>23</v>
      </c>
      <c r="G86" s="56">
        <v>10.0</v>
      </c>
      <c r="H86" s="56" t="s">
        <v>92</v>
      </c>
      <c r="I86" s="415"/>
      <c r="J86" s="415"/>
      <c r="K86" s="56">
        <v>10.0</v>
      </c>
      <c r="L86" s="56">
        <v>0.0</v>
      </c>
      <c r="M86" s="56">
        <v>10.0</v>
      </c>
      <c r="N86" s="56">
        <v>0.0</v>
      </c>
      <c r="O86" s="201" t="s">
        <v>1073</v>
      </c>
      <c r="P86" s="56" t="s">
        <v>70</v>
      </c>
      <c r="Q86" s="416"/>
      <c r="R86" s="416"/>
      <c r="S86" s="416"/>
      <c r="T86" s="416"/>
      <c r="U86" s="416"/>
      <c r="V86" s="416"/>
      <c r="W86" s="416"/>
      <c r="X86" s="416"/>
      <c r="Y86" s="416"/>
      <c r="Z86" s="416"/>
    </row>
    <row r="87">
      <c r="A87" s="413"/>
      <c r="B87" s="414" t="s">
        <v>16</v>
      </c>
      <c r="C87" s="56" t="s">
        <v>1156</v>
      </c>
      <c r="D87" s="201" t="s">
        <v>1157</v>
      </c>
      <c r="E87" s="56" t="s">
        <v>35</v>
      </c>
      <c r="F87" s="56" t="s">
        <v>19</v>
      </c>
      <c r="G87" s="56">
        <v>10.0</v>
      </c>
      <c r="H87" s="56" t="s">
        <v>92</v>
      </c>
      <c r="I87" s="415"/>
      <c r="J87" s="415"/>
      <c r="K87" s="56">
        <v>10.0</v>
      </c>
      <c r="L87" s="56">
        <v>0.0</v>
      </c>
      <c r="M87" s="56">
        <v>10.0</v>
      </c>
      <c r="N87" s="56">
        <f t="shared" ref="N87:N88" si="9">K87-L87-M87</f>
        <v>0</v>
      </c>
      <c r="O87" s="201" t="s">
        <v>1069</v>
      </c>
      <c r="P87" s="56" t="s">
        <v>70</v>
      </c>
      <c r="Q87" s="416"/>
      <c r="R87" s="416"/>
      <c r="S87" s="416"/>
      <c r="T87" s="416"/>
      <c r="U87" s="416"/>
      <c r="V87" s="416"/>
      <c r="W87" s="416"/>
      <c r="X87" s="416"/>
      <c r="Y87" s="416"/>
      <c r="Z87" s="416"/>
    </row>
    <row r="88">
      <c r="A88" s="413"/>
      <c r="B88" s="414" t="s">
        <v>16</v>
      </c>
      <c r="C88" s="56" t="s">
        <v>1156</v>
      </c>
      <c r="D88" s="201" t="s">
        <v>1158</v>
      </c>
      <c r="E88" s="56" t="s">
        <v>35</v>
      </c>
      <c r="F88" s="56" t="s">
        <v>23</v>
      </c>
      <c r="G88" s="56">
        <v>15.0</v>
      </c>
      <c r="H88" s="56" t="s">
        <v>92</v>
      </c>
      <c r="I88" s="415"/>
      <c r="J88" s="415"/>
      <c r="K88" s="56">
        <v>25.0</v>
      </c>
      <c r="L88" s="56">
        <v>0.0</v>
      </c>
      <c r="M88" s="56">
        <v>25.0</v>
      </c>
      <c r="N88" s="56">
        <f t="shared" si="9"/>
        <v>0</v>
      </c>
      <c r="O88" s="201" t="s">
        <v>1069</v>
      </c>
      <c r="P88" s="56" t="s">
        <v>70</v>
      </c>
      <c r="Q88" s="416"/>
      <c r="R88" s="416"/>
      <c r="S88" s="416"/>
      <c r="T88" s="416"/>
      <c r="U88" s="416"/>
      <c r="V88" s="416"/>
      <c r="W88" s="416"/>
      <c r="X88" s="416"/>
      <c r="Y88" s="416"/>
      <c r="Z88" s="416"/>
    </row>
    <row r="89" ht="30.0" customHeight="1">
      <c r="A89" s="409"/>
      <c r="B89" s="405" t="s">
        <v>16</v>
      </c>
      <c r="C89" s="406" t="s">
        <v>1156</v>
      </c>
      <c r="D89" s="406" t="s">
        <v>1159</v>
      </c>
      <c r="E89" s="405" t="s">
        <v>35</v>
      </c>
      <c r="F89" s="406" t="s">
        <v>23</v>
      </c>
      <c r="G89" s="406">
        <v>8.0</v>
      </c>
      <c r="H89" s="405" t="s">
        <v>92</v>
      </c>
      <c r="I89" s="407"/>
      <c r="J89" s="408"/>
      <c r="K89" s="406">
        <v>8.0</v>
      </c>
      <c r="L89" s="406">
        <v>0.0</v>
      </c>
      <c r="M89" s="405">
        <v>8.0</v>
      </c>
      <c r="N89" s="409">
        <v>0.0</v>
      </c>
      <c r="O89" s="405" t="s">
        <v>1160</v>
      </c>
      <c r="P89" s="405" t="s">
        <v>70</v>
      </c>
      <c r="Q89" s="410"/>
      <c r="R89" s="410"/>
      <c r="S89" s="410"/>
      <c r="T89" s="410"/>
      <c r="U89" s="410"/>
      <c r="V89" s="410"/>
      <c r="W89" s="410"/>
      <c r="X89" s="410"/>
      <c r="Y89" s="410"/>
      <c r="Z89" s="410"/>
    </row>
    <row r="90">
      <c r="A90" s="413"/>
      <c r="B90" s="414" t="s">
        <v>16</v>
      </c>
      <c r="C90" s="56" t="s">
        <v>367</v>
      </c>
      <c r="D90" s="201" t="s">
        <v>1161</v>
      </c>
      <c r="E90" s="56" t="s">
        <v>34</v>
      </c>
      <c r="F90" s="56" t="s">
        <v>23</v>
      </c>
      <c r="G90" s="56">
        <v>25.0</v>
      </c>
      <c r="H90" s="56" t="s">
        <v>92</v>
      </c>
      <c r="I90" s="415">
        <v>45973.0</v>
      </c>
      <c r="J90" s="415">
        <v>46002.0</v>
      </c>
      <c r="K90" s="56">
        <v>50.0</v>
      </c>
      <c r="L90" s="56">
        <v>0.0</v>
      </c>
      <c r="M90" s="56">
        <v>50.0</v>
      </c>
      <c r="N90" s="56">
        <v>0.0</v>
      </c>
      <c r="O90" s="201" t="s">
        <v>1141</v>
      </c>
      <c r="P90" s="56" t="s">
        <v>70</v>
      </c>
      <c r="Q90" s="416"/>
      <c r="R90" s="416"/>
      <c r="S90" s="416"/>
      <c r="T90" s="416"/>
      <c r="U90" s="416"/>
      <c r="V90" s="416"/>
      <c r="W90" s="416"/>
      <c r="X90" s="416"/>
      <c r="Y90" s="416"/>
      <c r="Z90" s="416"/>
    </row>
    <row r="91">
      <c r="A91" s="413"/>
      <c r="B91" s="414" t="s">
        <v>16</v>
      </c>
      <c r="C91" s="56" t="s">
        <v>367</v>
      </c>
      <c r="D91" s="201" t="s">
        <v>1162</v>
      </c>
      <c r="E91" s="56" t="s">
        <v>35</v>
      </c>
      <c r="F91" s="56" t="s">
        <v>19</v>
      </c>
      <c r="G91" s="56">
        <v>10.0</v>
      </c>
      <c r="H91" s="56" t="s">
        <v>92</v>
      </c>
      <c r="I91" s="415"/>
      <c r="J91" s="415"/>
      <c r="K91" s="56">
        <v>10.0</v>
      </c>
      <c r="L91" s="56">
        <v>0.0</v>
      </c>
      <c r="M91" s="56">
        <v>10.0</v>
      </c>
      <c r="N91" s="56">
        <v>0.0</v>
      </c>
      <c r="O91" s="201" t="s">
        <v>1064</v>
      </c>
      <c r="P91" s="56" t="s">
        <v>70</v>
      </c>
      <c r="Q91" s="416"/>
      <c r="R91" s="416"/>
      <c r="S91" s="416"/>
      <c r="T91" s="416"/>
      <c r="U91" s="416"/>
      <c r="V91" s="416"/>
      <c r="W91" s="416"/>
      <c r="X91" s="416"/>
      <c r="Y91" s="416"/>
      <c r="Z91" s="416"/>
    </row>
    <row r="92">
      <c r="A92" s="413"/>
      <c r="B92" s="414" t="s">
        <v>16</v>
      </c>
      <c r="C92" s="56" t="s">
        <v>367</v>
      </c>
      <c r="D92" s="201" t="s">
        <v>1163</v>
      </c>
      <c r="E92" s="56" t="s">
        <v>35</v>
      </c>
      <c r="F92" s="56" t="s">
        <v>23</v>
      </c>
      <c r="G92" s="56">
        <v>19.0</v>
      </c>
      <c r="H92" s="56" t="s">
        <v>92</v>
      </c>
      <c r="I92" s="415"/>
      <c r="J92" s="415"/>
      <c r="K92" s="56">
        <v>39.0</v>
      </c>
      <c r="L92" s="56">
        <v>0.0</v>
      </c>
      <c r="M92" s="56">
        <v>39.0</v>
      </c>
      <c r="N92" s="56">
        <v>0.0</v>
      </c>
      <c r="O92" s="201" t="s">
        <v>1064</v>
      </c>
      <c r="P92" s="56" t="s">
        <v>70</v>
      </c>
      <c r="Q92" s="416"/>
      <c r="R92" s="416"/>
      <c r="S92" s="416"/>
      <c r="T92" s="416"/>
      <c r="U92" s="416"/>
      <c r="V92" s="416"/>
      <c r="W92" s="416"/>
      <c r="X92" s="416"/>
      <c r="Y92" s="416"/>
      <c r="Z92" s="416"/>
    </row>
    <row r="93">
      <c r="A93" s="413"/>
      <c r="B93" s="414" t="s">
        <v>16</v>
      </c>
      <c r="C93" s="56" t="s">
        <v>367</v>
      </c>
      <c r="D93" s="201" t="s">
        <v>1164</v>
      </c>
      <c r="E93" s="56" t="s">
        <v>34</v>
      </c>
      <c r="F93" s="56" t="s">
        <v>25</v>
      </c>
      <c r="G93" s="56">
        <v>30.0</v>
      </c>
      <c r="H93" s="56" t="s">
        <v>92</v>
      </c>
      <c r="I93" s="415">
        <v>45879.0</v>
      </c>
      <c r="J93" s="415">
        <v>45928.0</v>
      </c>
      <c r="K93" s="56">
        <v>65.0</v>
      </c>
      <c r="L93" s="56">
        <v>0.0</v>
      </c>
      <c r="M93" s="56">
        <v>65.0</v>
      </c>
      <c r="N93" s="56">
        <f>K93-L93-M93</f>
        <v>0</v>
      </c>
      <c r="O93" s="201" t="s">
        <v>287</v>
      </c>
      <c r="P93" s="56" t="s">
        <v>70</v>
      </c>
      <c r="Q93" s="416"/>
      <c r="R93" s="416"/>
      <c r="S93" s="416"/>
      <c r="T93" s="416"/>
      <c r="U93" s="416"/>
      <c r="V93" s="416"/>
      <c r="W93" s="416"/>
      <c r="X93" s="416"/>
      <c r="Y93" s="416"/>
      <c r="Z93" s="416"/>
    </row>
    <row r="94" ht="30.0" customHeight="1">
      <c r="A94" s="409"/>
      <c r="B94" s="405" t="s">
        <v>16</v>
      </c>
      <c r="C94" s="406" t="s">
        <v>367</v>
      </c>
      <c r="D94" s="406" t="s">
        <v>1165</v>
      </c>
      <c r="E94" s="405" t="s">
        <v>35</v>
      </c>
      <c r="F94" s="406" t="s">
        <v>19</v>
      </c>
      <c r="G94" s="406">
        <v>8.0</v>
      </c>
      <c r="H94" s="405" t="s">
        <v>92</v>
      </c>
      <c r="I94" s="407"/>
      <c r="J94" s="408"/>
      <c r="K94" s="406">
        <v>8.0</v>
      </c>
      <c r="L94" s="406">
        <v>0.0</v>
      </c>
      <c r="M94" s="205">
        <v>8.0</v>
      </c>
      <c r="N94" s="201">
        <v>0.0</v>
      </c>
      <c r="O94" s="405" t="s">
        <v>1160</v>
      </c>
      <c r="P94" s="205" t="s">
        <v>70</v>
      </c>
      <c r="Q94" s="410"/>
      <c r="R94" s="410"/>
      <c r="S94" s="410"/>
      <c r="T94" s="410"/>
      <c r="U94" s="410"/>
      <c r="V94" s="410"/>
      <c r="W94" s="410"/>
      <c r="X94" s="410"/>
      <c r="Y94" s="410"/>
      <c r="Z94" s="410"/>
    </row>
    <row r="95" ht="30.0" customHeight="1">
      <c r="A95" s="186"/>
      <c r="B95" s="206" t="s">
        <v>16</v>
      </c>
      <c r="C95" s="254" t="s">
        <v>1166</v>
      </c>
      <c r="D95" s="254" t="s">
        <v>1167</v>
      </c>
      <c r="E95" s="206" t="s">
        <v>35</v>
      </c>
      <c r="F95" s="254" t="s">
        <v>19</v>
      </c>
      <c r="G95" s="254">
        <v>10.0</v>
      </c>
      <c r="H95" s="206" t="s">
        <v>92</v>
      </c>
      <c r="I95" s="431"/>
      <c r="J95" s="432"/>
      <c r="K95" s="254">
        <v>10.0</v>
      </c>
      <c r="L95" s="254">
        <v>0.0</v>
      </c>
      <c r="M95" s="205">
        <v>10.0</v>
      </c>
      <c r="N95" s="205">
        <v>0.0</v>
      </c>
      <c r="O95" s="206" t="s">
        <v>1168</v>
      </c>
      <c r="P95" s="205" t="s">
        <v>70</v>
      </c>
      <c r="Q95" s="410"/>
      <c r="R95" s="410"/>
      <c r="S95" s="410"/>
      <c r="T95" s="410"/>
      <c r="U95" s="410"/>
      <c r="V95" s="410"/>
      <c r="W95" s="410"/>
      <c r="X95" s="410"/>
      <c r="Y95" s="410"/>
      <c r="Z95" s="410"/>
    </row>
    <row r="96">
      <c r="A96" s="413"/>
      <c r="B96" s="433" t="s">
        <v>16</v>
      </c>
      <c r="C96" s="418" t="s">
        <v>1169</v>
      </c>
      <c r="D96" s="186" t="s">
        <v>1170</v>
      </c>
      <c r="E96" s="418" t="s">
        <v>35</v>
      </c>
      <c r="F96" s="418" t="s">
        <v>21</v>
      </c>
      <c r="G96" s="418">
        <v>10.0</v>
      </c>
      <c r="H96" s="418" t="s">
        <v>92</v>
      </c>
      <c r="I96" s="426"/>
      <c r="J96" s="426"/>
      <c r="K96" s="418">
        <v>10.0</v>
      </c>
      <c r="L96" s="418">
        <v>0.0</v>
      </c>
      <c r="M96" s="56">
        <v>10.0</v>
      </c>
      <c r="N96" s="418">
        <f>sum(K96,-L103, -M96, )</f>
        <v>0</v>
      </c>
      <c r="O96" s="186" t="s">
        <v>307</v>
      </c>
      <c r="P96" s="56" t="s">
        <v>70</v>
      </c>
      <c r="Q96" s="416"/>
      <c r="R96" s="416"/>
      <c r="S96" s="416"/>
      <c r="T96" s="416"/>
      <c r="U96" s="416"/>
      <c r="V96" s="416"/>
      <c r="W96" s="416"/>
      <c r="X96" s="416"/>
      <c r="Y96" s="416"/>
      <c r="Z96" s="416"/>
    </row>
    <row r="97">
      <c r="A97" s="413"/>
      <c r="B97" s="430" t="s">
        <v>16</v>
      </c>
      <c r="C97" s="418" t="s">
        <v>1169</v>
      </c>
      <c r="D97" s="418" t="s">
        <v>1171</v>
      </c>
      <c r="E97" s="418" t="s">
        <v>34</v>
      </c>
      <c r="F97" s="418" t="s">
        <v>22</v>
      </c>
      <c r="G97" s="418">
        <v>50.0</v>
      </c>
      <c r="H97" s="56" t="s">
        <v>92</v>
      </c>
      <c r="I97" s="426">
        <v>45825.0</v>
      </c>
      <c r="J97" s="426">
        <v>46004.0</v>
      </c>
      <c r="K97" s="418">
        <v>180.0</v>
      </c>
      <c r="L97" s="418">
        <v>0.0</v>
      </c>
      <c r="M97" s="56">
        <v>180.0</v>
      </c>
      <c r="N97" s="56">
        <f>K97-L97-M97</f>
        <v>0</v>
      </c>
      <c r="O97" s="186" t="s">
        <v>663</v>
      </c>
      <c r="P97" s="56" t="s">
        <v>70</v>
      </c>
      <c r="Q97" s="416"/>
      <c r="R97" s="416"/>
      <c r="S97" s="416"/>
      <c r="T97" s="416"/>
      <c r="U97" s="416"/>
      <c r="V97" s="416"/>
      <c r="W97" s="416"/>
      <c r="X97" s="416"/>
      <c r="Y97" s="416"/>
      <c r="Z97" s="416"/>
    </row>
    <row r="98" ht="30.0" customHeight="1">
      <c r="A98" s="186"/>
      <c r="B98" s="206" t="s">
        <v>16</v>
      </c>
      <c r="C98" s="254" t="s">
        <v>1169</v>
      </c>
      <c r="D98" s="254" t="s">
        <v>1172</v>
      </c>
      <c r="E98" s="206" t="s">
        <v>35</v>
      </c>
      <c r="F98" s="254" t="s">
        <v>23</v>
      </c>
      <c r="G98" s="254">
        <v>19.0</v>
      </c>
      <c r="H98" s="206" t="s">
        <v>92</v>
      </c>
      <c r="I98" s="431"/>
      <c r="J98" s="432"/>
      <c r="K98" s="254">
        <v>39.0</v>
      </c>
      <c r="L98" s="254">
        <v>0.0</v>
      </c>
      <c r="M98" s="205">
        <v>39.0</v>
      </c>
      <c r="N98" s="205">
        <v>0.0</v>
      </c>
      <c r="O98" s="206" t="s">
        <v>1061</v>
      </c>
      <c r="P98" s="205" t="s">
        <v>70</v>
      </c>
      <c r="Q98" s="410"/>
      <c r="R98" s="410"/>
      <c r="S98" s="410"/>
      <c r="T98" s="410"/>
      <c r="U98" s="410"/>
      <c r="V98" s="410"/>
      <c r="W98" s="410"/>
      <c r="X98" s="410"/>
      <c r="Y98" s="410"/>
      <c r="Z98" s="410"/>
    </row>
    <row r="99">
      <c r="A99" s="413"/>
      <c r="B99" s="414" t="s">
        <v>16</v>
      </c>
      <c r="C99" s="56" t="s">
        <v>842</v>
      </c>
      <c r="D99" s="201" t="s">
        <v>1173</v>
      </c>
      <c r="E99" s="56" t="s">
        <v>35</v>
      </c>
      <c r="F99" s="56" t="s">
        <v>19</v>
      </c>
      <c r="G99" s="56">
        <v>10.0</v>
      </c>
      <c r="H99" s="56" t="s">
        <v>92</v>
      </c>
      <c r="I99" s="415"/>
      <c r="J99" s="415"/>
      <c r="K99" s="56">
        <v>10.0</v>
      </c>
      <c r="L99" s="56">
        <v>0.0</v>
      </c>
      <c r="M99" s="56">
        <v>10.0</v>
      </c>
      <c r="N99" s="56">
        <v>0.0</v>
      </c>
      <c r="O99" s="201" t="s">
        <v>1064</v>
      </c>
      <c r="P99" s="56" t="s">
        <v>70</v>
      </c>
      <c r="Q99" s="416"/>
      <c r="R99" s="416"/>
      <c r="S99" s="416"/>
      <c r="T99" s="416"/>
      <c r="U99" s="416"/>
      <c r="V99" s="416"/>
      <c r="W99" s="416"/>
      <c r="X99" s="416"/>
      <c r="Y99" s="416"/>
      <c r="Z99" s="416"/>
    </row>
    <row r="100">
      <c r="A100" s="413"/>
      <c r="B100" s="414" t="s">
        <v>16</v>
      </c>
      <c r="C100" s="56" t="s">
        <v>1174</v>
      </c>
      <c r="D100" s="201" t="s">
        <v>1175</v>
      </c>
      <c r="E100" s="56" t="s">
        <v>35</v>
      </c>
      <c r="F100" s="56" t="s">
        <v>20</v>
      </c>
      <c r="G100" s="56">
        <v>8.0</v>
      </c>
      <c r="H100" s="56" t="s">
        <v>92</v>
      </c>
      <c r="I100" s="415"/>
      <c r="J100" s="415"/>
      <c r="K100" s="56">
        <v>8.0</v>
      </c>
      <c r="L100" s="56">
        <v>0.0</v>
      </c>
      <c r="M100" s="56">
        <v>8.0</v>
      </c>
      <c r="N100" s="56">
        <f>K100-L100-M100</f>
        <v>0</v>
      </c>
      <c r="O100" s="201" t="s">
        <v>1069</v>
      </c>
      <c r="P100" s="56" t="s">
        <v>70</v>
      </c>
      <c r="Q100" s="416"/>
      <c r="R100" s="416"/>
      <c r="S100" s="416"/>
      <c r="T100" s="416"/>
      <c r="U100" s="416"/>
      <c r="V100" s="416"/>
      <c r="W100" s="416"/>
      <c r="X100" s="416"/>
      <c r="Y100" s="416"/>
      <c r="Z100" s="416"/>
    </row>
    <row r="101">
      <c r="A101" s="413"/>
      <c r="B101" s="414" t="s">
        <v>16</v>
      </c>
      <c r="C101" s="56" t="s">
        <v>1176</v>
      </c>
      <c r="D101" s="201" t="s">
        <v>1177</v>
      </c>
      <c r="E101" s="56" t="s">
        <v>35</v>
      </c>
      <c r="F101" s="56" t="s">
        <v>20</v>
      </c>
      <c r="G101" s="56">
        <v>13.0</v>
      </c>
      <c r="H101" s="56" t="s">
        <v>92</v>
      </c>
      <c r="I101" s="423"/>
      <c r="J101" s="56"/>
      <c r="K101" s="56">
        <v>19.0</v>
      </c>
      <c r="L101" s="56">
        <v>0.0</v>
      </c>
      <c r="M101" s="56">
        <v>19.0</v>
      </c>
      <c r="N101" s="56">
        <v>0.0</v>
      </c>
      <c r="O101" s="201" t="s">
        <v>1108</v>
      </c>
      <c r="P101" s="56" t="s">
        <v>70</v>
      </c>
      <c r="Q101" s="416"/>
      <c r="R101" s="416"/>
      <c r="S101" s="416"/>
      <c r="T101" s="416"/>
      <c r="U101" s="416"/>
      <c r="V101" s="416"/>
      <c r="W101" s="416"/>
      <c r="X101" s="416"/>
      <c r="Y101" s="416"/>
      <c r="Z101" s="416"/>
    </row>
    <row r="102">
      <c r="A102" s="413"/>
      <c r="B102" s="430" t="s">
        <v>16</v>
      </c>
      <c r="C102" s="418" t="s">
        <v>1178</v>
      </c>
      <c r="D102" s="418" t="s">
        <v>1179</v>
      </c>
      <c r="E102" s="418" t="s">
        <v>34</v>
      </c>
      <c r="F102" s="418" t="s">
        <v>23</v>
      </c>
      <c r="G102" s="418">
        <v>20.0</v>
      </c>
      <c r="H102" s="56" t="s">
        <v>92</v>
      </c>
      <c r="I102" s="426">
        <v>45825.0</v>
      </c>
      <c r="J102" s="426">
        <v>45839.0</v>
      </c>
      <c r="K102" s="418">
        <v>40.0</v>
      </c>
      <c r="L102" s="418">
        <v>0.0</v>
      </c>
      <c r="M102" s="56">
        <v>40.0</v>
      </c>
      <c r="N102" s="418">
        <f>sum(K102,-L96, -M102, )</f>
        <v>0</v>
      </c>
      <c r="O102" s="186" t="s">
        <v>663</v>
      </c>
      <c r="P102" s="56" t="s">
        <v>70</v>
      </c>
      <c r="Q102" s="416"/>
      <c r="R102" s="416"/>
      <c r="S102" s="416"/>
      <c r="T102" s="416"/>
      <c r="U102" s="416"/>
      <c r="V102" s="416"/>
      <c r="W102" s="416"/>
      <c r="X102" s="416"/>
      <c r="Y102" s="416"/>
      <c r="Z102" s="416"/>
    </row>
    <row r="103">
      <c r="A103" s="413"/>
      <c r="B103" s="417" t="s">
        <v>16</v>
      </c>
      <c r="C103" s="418" t="s">
        <v>173</v>
      </c>
      <c r="D103" s="418" t="s">
        <v>1180</v>
      </c>
      <c r="E103" s="418" t="s">
        <v>34</v>
      </c>
      <c r="F103" s="418" t="s">
        <v>21</v>
      </c>
      <c r="G103" s="418">
        <v>20.0</v>
      </c>
      <c r="H103" s="56" t="s">
        <v>92</v>
      </c>
      <c r="I103" s="434">
        <v>45845.0</v>
      </c>
      <c r="J103" s="435">
        <v>45859.0</v>
      </c>
      <c r="K103" s="418">
        <v>40.0</v>
      </c>
      <c r="L103" s="418">
        <v>0.0</v>
      </c>
      <c r="M103" s="56">
        <v>40.0</v>
      </c>
      <c r="N103" s="418">
        <f>sum(K103,-L104, -M103, )</f>
        <v>0</v>
      </c>
      <c r="O103" s="186" t="s">
        <v>307</v>
      </c>
      <c r="P103" s="56" t="s">
        <v>70</v>
      </c>
      <c r="Q103" s="416"/>
      <c r="R103" s="416"/>
      <c r="S103" s="416"/>
      <c r="T103" s="416"/>
      <c r="U103" s="416"/>
      <c r="V103" s="416"/>
      <c r="W103" s="416"/>
      <c r="X103" s="416"/>
      <c r="Y103" s="416"/>
      <c r="Z103" s="416"/>
    </row>
    <row r="104">
      <c r="A104" s="413"/>
      <c r="B104" s="433" t="s">
        <v>16</v>
      </c>
      <c r="C104" s="418" t="s">
        <v>1178</v>
      </c>
      <c r="D104" s="186" t="s">
        <v>1181</v>
      </c>
      <c r="E104" s="418" t="s">
        <v>34</v>
      </c>
      <c r="F104" s="418" t="s">
        <v>23</v>
      </c>
      <c r="G104" s="418">
        <v>20.0</v>
      </c>
      <c r="H104" s="56" t="s">
        <v>92</v>
      </c>
      <c r="I104" s="434">
        <v>45845.0</v>
      </c>
      <c r="J104" s="435">
        <v>45859.0</v>
      </c>
      <c r="K104" s="418">
        <v>40.0</v>
      </c>
      <c r="L104" s="418">
        <v>0.0</v>
      </c>
      <c r="M104" s="56">
        <v>40.0</v>
      </c>
      <c r="N104" s="418">
        <f>sum(K104,-L21, -M104, )</f>
        <v>0</v>
      </c>
      <c r="O104" s="186" t="s">
        <v>307</v>
      </c>
      <c r="P104" s="56" t="s">
        <v>70</v>
      </c>
      <c r="Q104" s="416"/>
      <c r="R104" s="416"/>
      <c r="S104" s="416"/>
      <c r="T104" s="416"/>
      <c r="U104" s="416"/>
      <c r="V104" s="416"/>
      <c r="W104" s="416"/>
      <c r="X104" s="416"/>
      <c r="Y104" s="416"/>
      <c r="Z104" s="416"/>
    </row>
    <row r="105">
      <c r="A105" s="413"/>
      <c r="B105" s="414" t="s">
        <v>16</v>
      </c>
      <c r="C105" s="56" t="s">
        <v>1178</v>
      </c>
      <c r="D105" s="201" t="s">
        <v>1182</v>
      </c>
      <c r="E105" s="56" t="s">
        <v>35</v>
      </c>
      <c r="F105" s="56" t="s">
        <v>23</v>
      </c>
      <c r="G105" s="56">
        <v>19.0</v>
      </c>
      <c r="H105" s="56" t="s">
        <v>92</v>
      </c>
      <c r="I105" s="415"/>
      <c r="J105" s="415"/>
      <c r="K105" s="56">
        <v>39.0</v>
      </c>
      <c r="L105" s="56">
        <v>0.0</v>
      </c>
      <c r="M105" s="56">
        <v>39.0</v>
      </c>
      <c r="N105" s="56">
        <v>0.0</v>
      </c>
      <c r="O105" s="201" t="s">
        <v>1064</v>
      </c>
      <c r="P105" s="56" t="s">
        <v>70</v>
      </c>
      <c r="Q105" s="416"/>
      <c r="R105" s="416"/>
      <c r="S105" s="416"/>
      <c r="T105" s="416"/>
      <c r="U105" s="416"/>
      <c r="V105" s="416"/>
      <c r="W105" s="416"/>
      <c r="X105" s="416"/>
      <c r="Y105" s="416"/>
      <c r="Z105" s="416"/>
    </row>
    <row r="106">
      <c r="A106" s="413"/>
      <c r="B106" s="414" t="s">
        <v>16</v>
      </c>
      <c r="C106" s="56" t="s">
        <v>1178</v>
      </c>
      <c r="D106" s="201" t="s">
        <v>1183</v>
      </c>
      <c r="E106" s="56" t="s">
        <v>35</v>
      </c>
      <c r="F106" s="56" t="s">
        <v>22</v>
      </c>
      <c r="G106" s="56">
        <v>19.0</v>
      </c>
      <c r="H106" s="56" t="s">
        <v>92</v>
      </c>
      <c r="I106" s="415"/>
      <c r="J106" s="415"/>
      <c r="K106" s="56">
        <v>39.0</v>
      </c>
      <c r="L106" s="56">
        <v>0.0</v>
      </c>
      <c r="M106" s="56">
        <v>39.0</v>
      </c>
      <c r="N106" s="56">
        <v>0.0</v>
      </c>
      <c r="O106" s="201" t="s">
        <v>1066</v>
      </c>
      <c r="P106" s="56" t="s">
        <v>70</v>
      </c>
      <c r="Q106" s="416"/>
      <c r="R106" s="416"/>
      <c r="S106" s="416"/>
      <c r="T106" s="416"/>
      <c r="U106" s="416"/>
      <c r="V106" s="416"/>
      <c r="W106" s="416"/>
      <c r="X106" s="416"/>
      <c r="Y106" s="416"/>
      <c r="Z106" s="416"/>
    </row>
    <row r="107">
      <c r="A107" s="413"/>
      <c r="B107" s="417" t="s">
        <v>16</v>
      </c>
      <c r="C107" s="418" t="s">
        <v>1184</v>
      </c>
      <c r="D107" s="418" t="s">
        <v>1185</v>
      </c>
      <c r="E107" s="418" t="s">
        <v>35</v>
      </c>
      <c r="F107" s="418" t="s">
        <v>19</v>
      </c>
      <c r="G107" s="418">
        <v>10.0</v>
      </c>
      <c r="H107" s="418" t="s">
        <v>92</v>
      </c>
      <c r="I107" s="119"/>
      <c r="J107" s="119"/>
      <c r="K107" s="418">
        <v>10.0</v>
      </c>
      <c r="L107" s="418">
        <v>0.0</v>
      </c>
      <c r="M107" s="56">
        <v>10.0</v>
      </c>
      <c r="N107" s="418">
        <f>sum(K107,-L124, -M107, )</f>
        <v>0</v>
      </c>
      <c r="O107" s="186" t="s">
        <v>309</v>
      </c>
      <c r="P107" s="56" t="s">
        <v>70</v>
      </c>
      <c r="Q107" s="416"/>
      <c r="R107" s="416"/>
      <c r="S107" s="416"/>
      <c r="T107" s="416"/>
      <c r="U107" s="416"/>
      <c r="V107" s="416"/>
      <c r="W107" s="416"/>
      <c r="X107" s="416"/>
      <c r="Y107" s="416"/>
      <c r="Z107" s="416"/>
    </row>
    <row r="108">
      <c r="A108" s="413"/>
      <c r="B108" s="414" t="s">
        <v>16</v>
      </c>
      <c r="C108" s="56" t="s">
        <v>1184</v>
      </c>
      <c r="D108" s="201" t="s">
        <v>1186</v>
      </c>
      <c r="E108" s="56" t="s">
        <v>34</v>
      </c>
      <c r="F108" s="56" t="s">
        <v>25</v>
      </c>
      <c r="G108" s="56">
        <v>20.0</v>
      </c>
      <c r="H108" s="56" t="s">
        <v>92</v>
      </c>
      <c r="I108" s="415">
        <v>45879.0</v>
      </c>
      <c r="J108" s="415">
        <v>45893.0</v>
      </c>
      <c r="K108" s="56">
        <v>40.0</v>
      </c>
      <c r="L108" s="56">
        <v>0.0</v>
      </c>
      <c r="M108" s="56">
        <v>40.0</v>
      </c>
      <c r="N108" s="56">
        <f t="shared" ref="N108:N109" si="10">K108-L108-M108</f>
        <v>0</v>
      </c>
      <c r="O108" s="201" t="s">
        <v>287</v>
      </c>
      <c r="P108" s="56" t="s">
        <v>70</v>
      </c>
      <c r="Q108" s="416"/>
      <c r="R108" s="416"/>
      <c r="S108" s="416"/>
      <c r="T108" s="416"/>
      <c r="U108" s="416"/>
      <c r="V108" s="416"/>
      <c r="W108" s="416"/>
      <c r="X108" s="416"/>
      <c r="Y108" s="416"/>
      <c r="Z108" s="416"/>
    </row>
    <row r="109">
      <c r="A109" s="413"/>
      <c r="B109" s="414" t="s">
        <v>16</v>
      </c>
      <c r="C109" s="56" t="s">
        <v>1184</v>
      </c>
      <c r="D109" s="201" t="s">
        <v>1187</v>
      </c>
      <c r="E109" s="56" t="s">
        <v>35</v>
      </c>
      <c r="F109" s="56" t="s">
        <v>19</v>
      </c>
      <c r="G109" s="56">
        <v>10.0</v>
      </c>
      <c r="H109" s="56" t="s">
        <v>92</v>
      </c>
      <c r="I109" s="426"/>
      <c r="J109" s="426"/>
      <c r="K109" s="56">
        <v>10.0</v>
      </c>
      <c r="L109" s="56">
        <v>0.0</v>
      </c>
      <c r="M109" s="56">
        <v>10.0</v>
      </c>
      <c r="N109" s="56">
        <f t="shared" si="10"/>
        <v>0</v>
      </c>
      <c r="O109" s="201" t="s">
        <v>1188</v>
      </c>
      <c r="P109" s="56" t="s">
        <v>70</v>
      </c>
      <c r="Q109" s="416"/>
      <c r="R109" s="416"/>
      <c r="S109" s="416"/>
      <c r="T109" s="416"/>
      <c r="U109" s="416"/>
      <c r="V109" s="416"/>
      <c r="W109" s="416"/>
      <c r="X109" s="416"/>
      <c r="Y109" s="416"/>
      <c r="Z109" s="416"/>
    </row>
    <row r="110">
      <c r="A110" s="413"/>
      <c r="B110" s="414" t="s">
        <v>16</v>
      </c>
      <c r="C110" s="56" t="s">
        <v>1184</v>
      </c>
      <c r="D110" s="201" t="s">
        <v>1189</v>
      </c>
      <c r="E110" s="56" t="s">
        <v>34</v>
      </c>
      <c r="F110" s="56" t="s">
        <v>23</v>
      </c>
      <c r="G110" s="56">
        <v>20.0</v>
      </c>
      <c r="H110" s="56" t="s">
        <v>92</v>
      </c>
      <c r="I110" s="415">
        <v>46002.0</v>
      </c>
      <c r="J110" s="415">
        <v>46016.0</v>
      </c>
      <c r="K110" s="56">
        <v>40.0</v>
      </c>
      <c r="L110" s="56">
        <v>0.0</v>
      </c>
      <c r="M110" s="56">
        <v>40.0</v>
      </c>
      <c r="N110" s="56">
        <v>0.0</v>
      </c>
      <c r="O110" s="201" t="s">
        <v>1190</v>
      </c>
      <c r="P110" s="56" t="s">
        <v>70</v>
      </c>
      <c r="Q110" s="416"/>
      <c r="R110" s="416"/>
      <c r="S110" s="416"/>
      <c r="T110" s="416"/>
      <c r="U110" s="416"/>
      <c r="V110" s="416"/>
      <c r="W110" s="416"/>
      <c r="X110" s="416"/>
      <c r="Y110" s="416"/>
      <c r="Z110" s="416"/>
    </row>
    <row r="111" ht="30.0" customHeight="1">
      <c r="A111" s="409"/>
      <c r="B111" s="405" t="s">
        <v>16</v>
      </c>
      <c r="C111" s="406" t="s">
        <v>1184</v>
      </c>
      <c r="D111" s="406" t="s">
        <v>1191</v>
      </c>
      <c r="E111" s="405" t="s">
        <v>35</v>
      </c>
      <c r="F111" s="406" t="s">
        <v>23</v>
      </c>
      <c r="G111" s="406">
        <v>19.0</v>
      </c>
      <c r="H111" s="405" t="s">
        <v>92</v>
      </c>
      <c r="I111" s="407"/>
      <c r="J111" s="408"/>
      <c r="K111" s="406">
        <v>39.0</v>
      </c>
      <c r="L111" s="406">
        <v>0.0</v>
      </c>
      <c r="M111" s="405">
        <v>39.0</v>
      </c>
      <c r="N111" s="409">
        <v>0.0</v>
      </c>
      <c r="O111" s="405" t="s">
        <v>1192</v>
      </c>
      <c r="P111" s="405" t="s">
        <v>70</v>
      </c>
      <c r="Q111" s="410"/>
      <c r="R111" s="410"/>
      <c r="S111" s="410"/>
      <c r="T111" s="410"/>
      <c r="U111" s="410"/>
      <c r="V111" s="410"/>
      <c r="W111" s="410"/>
      <c r="X111" s="410"/>
      <c r="Y111" s="410"/>
      <c r="Z111" s="410"/>
    </row>
    <row r="112">
      <c r="A112" s="413"/>
      <c r="B112" s="414" t="s">
        <v>16</v>
      </c>
      <c r="C112" s="56" t="s">
        <v>1193</v>
      </c>
      <c r="D112" s="201" t="s">
        <v>1194</v>
      </c>
      <c r="E112" s="56" t="s">
        <v>34</v>
      </c>
      <c r="F112" s="56" t="s">
        <v>23</v>
      </c>
      <c r="G112" s="56">
        <v>20.0</v>
      </c>
      <c r="H112" s="56" t="s">
        <v>92</v>
      </c>
      <c r="I112" s="415">
        <v>45973.0</v>
      </c>
      <c r="J112" s="415">
        <v>45987.0</v>
      </c>
      <c r="K112" s="56">
        <v>40.0</v>
      </c>
      <c r="L112" s="56">
        <v>0.0</v>
      </c>
      <c r="M112" s="56">
        <v>40.0</v>
      </c>
      <c r="N112" s="56">
        <v>0.0</v>
      </c>
      <c r="O112" s="201" t="s">
        <v>1089</v>
      </c>
      <c r="P112" s="56" t="s">
        <v>70</v>
      </c>
      <c r="Q112" s="416"/>
      <c r="R112" s="416"/>
      <c r="S112" s="416"/>
      <c r="T112" s="416"/>
      <c r="U112" s="416"/>
      <c r="V112" s="416"/>
      <c r="W112" s="416"/>
      <c r="X112" s="416"/>
      <c r="Y112" s="416"/>
      <c r="Z112" s="416"/>
    </row>
    <row r="113">
      <c r="A113" s="413"/>
      <c r="B113" s="414" t="s">
        <v>16</v>
      </c>
      <c r="C113" s="56" t="s">
        <v>1195</v>
      </c>
      <c r="D113" s="201" t="s">
        <v>1196</v>
      </c>
      <c r="E113" s="56" t="s">
        <v>35</v>
      </c>
      <c r="F113" s="56" t="s">
        <v>23</v>
      </c>
      <c r="G113" s="56">
        <v>19.0</v>
      </c>
      <c r="H113" s="56" t="s">
        <v>92</v>
      </c>
      <c r="I113" s="423"/>
      <c r="J113" s="56"/>
      <c r="K113" s="56">
        <v>39.0</v>
      </c>
      <c r="L113" s="56">
        <v>0.0</v>
      </c>
      <c r="M113" s="56">
        <v>39.0</v>
      </c>
      <c r="N113" s="56">
        <v>0.0</v>
      </c>
      <c r="O113" s="201" t="s">
        <v>1108</v>
      </c>
      <c r="P113" s="56" t="s">
        <v>70</v>
      </c>
      <c r="Q113" s="416"/>
      <c r="R113" s="416"/>
      <c r="S113" s="416"/>
      <c r="T113" s="416"/>
      <c r="U113" s="416"/>
      <c r="V113" s="416"/>
      <c r="W113" s="416"/>
      <c r="X113" s="416"/>
      <c r="Y113" s="416"/>
      <c r="Z113" s="416"/>
    </row>
    <row r="114">
      <c r="A114" s="413"/>
      <c r="B114" s="414" t="s">
        <v>16</v>
      </c>
      <c r="C114" s="56" t="s">
        <v>1197</v>
      </c>
      <c r="D114" s="201" t="s">
        <v>1198</v>
      </c>
      <c r="E114" s="56" t="s">
        <v>35</v>
      </c>
      <c r="F114" s="56" t="s">
        <v>23</v>
      </c>
      <c r="G114" s="56">
        <v>8.0</v>
      </c>
      <c r="H114" s="56" t="s">
        <v>92</v>
      </c>
      <c r="I114" s="415"/>
      <c r="J114" s="415"/>
      <c r="K114" s="56">
        <v>8.0</v>
      </c>
      <c r="L114" s="56">
        <v>0.0</v>
      </c>
      <c r="M114" s="56">
        <v>8.0</v>
      </c>
      <c r="N114" s="56">
        <v>0.0</v>
      </c>
      <c r="O114" s="201" t="s">
        <v>1064</v>
      </c>
      <c r="P114" s="56" t="s">
        <v>70</v>
      </c>
      <c r="Q114" s="416"/>
      <c r="R114" s="416"/>
      <c r="S114" s="416"/>
      <c r="T114" s="416"/>
      <c r="U114" s="416"/>
      <c r="V114" s="416"/>
      <c r="W114" s="416"/>
      <c r="X114" s="416"/>
      <c r="Y114" s="416"/>
      <c r="Z114" s="416"/>
    </row>
    <row r="115">
      <c r="A115" s="413"/>
      <c r="B115" s="414" t="s">
        <v>16</v>
      </c>
      <c r="C115" s="56" t="s">
        <v>1197</v>
      </c>
      <c r="D115" s="201" t="s">
        <v>1199</v>
      </c>
      <c r="E115" s="56" t="s">
        <v>34</v>
      </c>
      <c r="F115" s="56" t="s">
        <v>22</v>
      </c>
      <c r="G115" s="56">
        <v>40.0</v>
      </c>
      <c r="H115" s="56" t="s">
        <v>92</v>
      </c>
      <c r="I115" s="415">
        <v>45903.0</v>
      </c>
      <c r="J115" s="415">
        <v>46007.0</v>
      </c>
      <c r="K115" s="56">
        <v>110.0</v>
      </c>
      <c r="L115" s="56">
        <v>6.0</v>
      </c>
      <c r="M115" s="56">
        <v>104.0</v>
      </c>
      <c r="N115" s="56">
        <f>K115-L115-M115</f>
        <v>0</v>
      </c>
      <c r="O115" s="201" t="s">
        <v>1127</v>
      </c>
      <c r="P115" s="56" t="s">
        <v>70</v>
      </c>
      <c r="Q115" s="416"/>
      <c r="R115" s="416"/>
      <c r="S115" s="416"/>
      <c r="T115" s="416"/>
      <c r="U115" s="416"/>
      <c r="V115" s="416"/>
      <c r="W115" s="416"/>
      <c r="X115" s="416"/>
      <c r="Y115" s="416"/>
      <c r="Z115" s="416"/>
    </row>
    <row r="116" ht="32.25" customHeight="1">
      <c r="A116" s="186"/>
      <c r="B116" s="206" t="s">
        <v>16</v>
      </c>
      <c r="C116" s="254" t="s">
        <v>1197</v>
      </c>
      <c r="D116" s="254" t="s">
        <v>1167</v>
      </c>
      <c r="E116" s="206" t="s">
        <v>35</v>
      </c>
      <c r="F116" s="254" t="s">
        <v>19</v>
      </c>
      <c r="G116" s="254">
        <v>10.0</v>
      </c>
      <c r="H116" s="206" t="s">
        <v>92</v>
      </c>
      <c r="I116" s="431"/>
      <c r="J116" s="432"/>
      <c r="K116" s="254">
        <v>10.0</v>
      </c>
      <c r="L116" s="254">
        <v>0.0</v>
      </c>
      <c r="M116" s="205">
        <v>10.0</v>
      </c>
      <c r="N116" s="205">
        <v>0.0</v>
      </c>
      <c r="O116" s="206" t="s">
        <v>1168</v>
      </c>
      <c r="P116" s="205" t="s">
        <v>70</v>
      </c>
      <c r="Q116" s="410"/>
      <c r="R116" s="410"/>
      <c r="S116" s="410"/>
      <c r="T116" s="410"/>
      <c r="U116" s="410"/>
      <c r="V116" s="410"/>
      <c r="W116" s="410"/>
      <c r="X116" s="410"/>
      <c r="Y116" s="410"/>
      <c r="Z116" s="410"/>
    </row>
    <row r="117">
      <c r="A117" s="413"/>
      <c r="B117" s="414" t="s">
        <v>16</v>
      </c>
      <c r="C117" s="56" t="s">
        <v>1200</v>
      </c>
      <c r="D117" s="201" t="s">
        <v>1175</v>
      </c>
      <c r="E117" s="56" t="s">
        <v>35</v>
      </c>
      <c r="F117" s="56" t="s">
        <v>20</v>
      </c>
      <c r="G117" s="56">
        <v>8.0</v>
      </c>
      <c r="H117" s="56" t="s">
        <v>92</v>
      </c>
      <c r="I117" s="415"/>
      <c r="J117" s="415"/>
      <c r="K117" s="56">
        <v>8.0</v>
      </c>
      <c r="L117" s="56">
        <v>0.0</v>
      </c>
      <c r="M117" s="56">
        <v>8.0</v>
      </c>
      <c r="N117" s="56">
        <f>K117-L117-M117</f>
        <v>0</v>
      </c>
      <c r="O117" s="201" t="s">
        <v>1201</v>
      </c>
      <c r="P117" s="56" t="s">
        <v>70</v>
      </c>
      <c r="Q117" s="416"/>
      <c r="R117" s="416"/>
      <c r="S117" s="416"/>
      <c r="T117" s="416"/>
      <c r="U117" s="416"/>
      <c r="V117" s="416"/>
      <c r="W117" s="416"/>
      <c r="X117" s="416"/>
      <c r="Y117" s="416"/>
      <c r="Z117" s="416"/>
    </row>
    <row r="118">
      <c r="A118" s="413"/>
      <c r="B118" s="414" t="s">
        <v>16</v>
      </c>
      <c r="C118" s="56" t="s">
        <v>1202</v>
      </c>
      <c r="D118" s="201" t="s">
        <v>1203</v>
      </c>
      <c r="E118" s="56" t="s">
        <v>35</v>
      </c>
      <c r="F118" s="56" t="s">
        <v>21</v>
      </c>
      <c r="G118" s="56">
        <v>15.0</v>
      </c>
      <c r="H118" s="56" t="s">
        <v>92</v>
      </c>
      <c r="I118" s="415"/>
      <c r="J118" s="415"/>
      <c r="K118" s="56">
        <v>25.0</v>
      </c>
      <c r="L118" s="56">
        <v>0.0</v>
      </c>
      <c r="M118" s="56">
        <v>25.0</v>
      </c>
      <c r="N118" s="56">
        <v>0.0</v>
      </c>
      <c r="O118" s="201" t="s">
        <v>1089</v>
      </c>
      <c r="P118" s="56" t="s">
        <v>70</v>
      </c>
      <c r="Q118" s="416"/>
      <c r="R118" s="416"/>
      <c r="S118" s="416"/>
      <c r="T118" s="416"/>
      <c r="U118" s="416"/>
      <c r="V118" s="416"/>
      <c r="W118" s="416"/>
      <c r="X118" s="416"/>
      <c r="Y118" s="416"/>
      <c r="Z118" s="416"/>
    </row>
    <row r="119" ht="32.25" customHeight="1">
      <c r="A119" s="186"/>
      <c r="B119" s="206" t="s">
        <v>16</v>
      </c>
      <c r="C119" s="254" t="s">
        <v>1202</v>
      </c>
      <c r="D119" s="254" t="s">
        <v>1204</v>
      </c>
      <c r="E119" s="206" t="s">
        <v>35</v>
      </c>
      <c r="F119" s="254" t="s">
        <v>23</v>
      </c>
      <c r="G119" s="254">
        <v>19.0</v>
      </c>
      <c r="H119" s="206" t="s">
        <v>92</v>
      </c>
      <c r="I119" s="431"/>
      <c r="J119" s="432"/>
      <c r="K119" s="254">
        <v>39.0</v>
      </c>
      <c r="L119" s="254">
        <v>0.0</v>
      </c>
      <c r="M119" s="205">
        <v>39.0</v>
      </c>
      <c r="N119" s="205">
        <v>0.0</v>
      </c>
      <c r="O119" s="206" t="s">
        <v>1192</v>
      </c>
      <c r="P119" s="205" t="s">
        <v>70</v>
      </c>
      <c r="Q119" s="410"/>
      <c r="R119" s="410"/>
      <c r="S119" s="410"/>
      <c r="T119" s="410"/>
      <c r="U119" s="410"/>
      <c r="V119" s="410"/>
      <c r="W119" s="410"/>
      <c r="X119" s="410"/>
      <c r="Y119" s="410"/>
      <c r="Z119" s="410"/>
    </row>
    <row r="120" ht="32.25" customHeight="1">
      <c r="A120" s="186"/>
      <c r="B120" s="206" t="s">
        <v>16</v>
      </c>
      <c r="C120" s="254" t="s">
        <v>1202</v>
      </c>
      <c r="D120" s="254" t="s">
        <v>1060</v>
      </c>
      <c r="E120" s="206" t="s">
        <v>35</v>
      </c>
      <c r="F120" s="254" t="s">
        <v>23</v>
      </c>
      <c r="G120" s="254">
        <v>10.0</v>
      </c>
      <c r="H120" s="206" t="s">
        <v>92</v>
      </c>
      <c r="I120" s="431"/>
      <c r="J120" s="432"/>
      <c r="K120" s="254">
        <v>10.0</v>
      </c>
      <c r="L120" s="254">
        <v>0.0</v>
      </c>
      <c r="M120" s="205">
        <v>10.0</v>
      </c>
      <c r="N120" s="205">
        <v>0.0</v>
      </c>
      <c r="O120" s="206" t="s">
        <v>1168</v>
      </c>
      <c r="P120" s="205" t="s">
        <v>70</v>
      </c>
      <c r="Q120" s="410"/>
      <c r="R120" s="410"/>
      <c r="S120" s="410"/>
      <c r="T120" s="410"/>
      <c r="U120" s="410"/>
      <c r="V120" s="410"/>
      <c r="W120" s="410"/>
      <c r="X120" s="410"/>
      <c r="Y120" s="410"/>
      <c r="Z120" s="410"/>
    </row>
    <row r="121">
      <c r="A121" s="413"/>
      <c r="B121" s="414" t="s">
        <v>16</v>
      </c>
      <c r="C121" s="56" t="s">
        <v>1205</v>
      </c>
      <c r="D121" s="201" t="s">
        <v>1206</v>
      </c>
      <c r="E121" s="56" t="s">
        <v>35</v>
      </c>
      <c r="F121" s="56" t="s">
        <v>20</v>
      </c>
      <c r="G121" s="56">
        <v>12.0</v>
      </c>
      <c r="H121" s="56" t="s">
        <v>92</v>
      </c>
      <c r="I121" s="415"/>
      <c r="J121" s="415"/>
      <c r="K121" s="56">
        <v>16.0</v>
      </c>
      <c r="L121" s="56">
        <v>0.0</v>
      </c>
      <c r="M121" s="56">
        <v>16.0</v>
      </c>
      <c r="N121" s="56">
        <f t="shared" ref="N121:N123" si="11">K121-L121-M121</f>
        <v>0</v>
      </c>
      <c r="O121" s="201" t="s">
        <v>1069</v>
      </c>
      <c r="P121" s="56" t="s">
        <v>70</v>
      </c>
      <c r="Q121" s="416"/>
      <c r="R121" s="416"/>
      <c r="S121" s="416"/>
      <c r="T121" s="416"/>
      <c r="U121" s="416"/>
      <c r="V121" s="416"/>
      <c r="W121" s="416"/>
      <c r="X121" s="416"/>
      <c r="Y121" s="416"/>
      <c r="Z121" s="416"/>
    </row>
    <row r="122">
      <c r="A122" s="413"/>
      <c r="B122" s="414" t="s">
        <v>16</v>
      </c>
      <c r="C122" s="56" t="s">
        <v>1207</v>
      </c>
      <c r="D122" s="201" t="s">
        <v>1158</v>
      </c>
      <c r="E122" s="56" t="s">
        <v>35</v>
      </c>
      <c r="F122" s="56" t="s">
        <v>23</v>
      </c>
      <c r="G122" s="56">
        <v>15.0</v>
      </c>
      <c r="H122" s="56" t="s">
        <v>92</v>
      </c>
      <c r="I122" s="415"/>
      <c r="J122" s="415"/>
      <c r="K122" s="56">
        <v>25.0</v>
      </c>
      <c r="L122" s="56">
        <v>0.0</v>
      </c>
      <c r="M122" s="56">
        <v>25.0</v>
      </c>
      <c r="N122" s="56">
        <f t="shared" si="11"/>
        <v>0</v>
      </c>
      <c r="O122" s="201" t="s">
        <v>1147</v>
      </c>
      <c r="P122" s="56" t="s">
        <v>70</v>
      </c>
      <c r="Q122" s="416"/>
      <c r="R122" s="416"/>
      <c r="S122" s="416"/>
      <c r="T122" s="416"/>
      <c r="U122" s="416"/>
      <c r="V122" s="416"/>
      <c r="W122" s="416"/>
      <c r="X122" s="416"/>
      <c r="Y122" s="416"/>
      <c r="Z122" s="416"/>
    </row>
    <row r="123">
      <c r="A123" s="413"/>
      <c r="B123" s="414" t="s">
        <v>16</v>
      </c>
      <c r="C123" s="56" t="s">
        <v>1207</v>
      </c>
      <c r="D123" s="201" t="s">
        <v>1208</v>
      </c>
      <c r="E123" s="56" t="s">
        <v>35</v>
      </c>
      <c r="F123" s="56" t="s">
        <v>19</v>
      </c>
      <c r="G123" s="56">
        <v>10.0</v>
      </c>
      <c r="H123" s="56" t="s">
        <v>92</v>
      </c>
      <c r="I123" s="415"/>
      <c r="J123" s="415"/>
      <c r="K123" s="56">
        <v>10.0</v>
      </c>
      <c r="L123" s="56">
        <v>0.0</v>
      </c>
      <c r="M123" s="56">
        <v>10.0</v>
      </c>
      <c r="N123" s="56">
        <f t="shared" si="11"/>
        <v>0</v>
      </c>
      <c r="O123" s="201" t="s">
        <v>1147</v>
      </c>
      <c r="P123" s="56" t="s">
        <v>70</v>
      </c>
      <c r="Q123" s="416"/>
      <c r="R123" s="416"/>
      <c r="S123" s="416"/>
      <c r="T123" s="416"/>
      <c r="U123" s="416"/>
      <c r="V123" s="416"/>
      <c r="W123" s="416"/>
      <c r="X123" s="416"/>
      <c r="Y123" s="416"/>
      <c r="Z123" s="416"/>
    </row>
    <row r="124">
      <c r="A124" s="413"/>
      <c r="B124" s="417" t="s">
        <v>16</v>
      </c>
      <c r="C124" s="418" t="s">
        <v>1209</v>
      </c>
      <c r="D124" s="418" t="s">
        <v>1210</v>
      </c>
      <c r="E124" s="418" t="s">
        <v>35</v>
      </c>
      <c r="F124" s="418" t="s">
        <v>20</v>
      </c>
      <c r="G124" s="418">
        <v>8.0</v>
      </c>
      <c r="H124" s="418" t="s">
        <v>92</v>
      </c>
      <c r="I124" s="119"/>
      <c r="J124" s="119"/>
      <c r="K124" s="418">
        <v>8.0</v>
      </c>
      <c r="L124" s="418">
        <v>0.0</v>
      </c>
      <c r="M124" s="56">
        <v>8.0</v>
      </c>
      <c r="N124" s="418">
        <f>sum(K124,-L144, -M124, )</f>
        <v>0</v>
      </c>
      <c r="O124" s="186" t="s">
        <v>309</v>
      </c>
      <c r="P124" s="56" t="s">
        <v>70</v>
      </c>
      <c r="Q124" s="416"/>
      <c r="R124" s="416"/>
      <c r="S124" s="416"/>
      <c r="T124" s="416"/>
      <c r="U124" s="416"/>
      <c r="V124" s="416"/>
      <c r="W124" s="416"/>
      <c r="X124" s="416"/>
      <c r="Y124" s="416"/>
      <c r="Z124" s="416"/>
    </row>
    <row r="125">
      <c r="A125" s="413"/>
      <c r="B125" s="414" t="s">
        <v>16</v>
      </c>
      <c r="C125" s="56" t="s">
        <v>1209</v>
      </c>
      <c r="D125" s="201" t="s">
        <v>1173</v>
      </c>
      <c r="E125" s="56" t="s">
        <v>35</v>
      </c>
      <c r="F125" s="56" t="s">
        <v>19</v>
      </c>
      <c r="G125" s="56">
        <v>10.0</v>
      </c>
      <c r="H125" s="56" t="s">
        <v>92</v>
      </c>
      <c r="I125" s="415"/>
      <c r="J125" s="415"/>
      <c r="K125" s="56">
        <v>10.0</v>
      </c>
      <c r="L125" s="56">
        <v>0.0</v>
      </c>
      <c r="M125" s="56">
        <v>10.0</v>
      </c>
      <c r="N125" s="56">
        <v>0.0</v>
      </c>
      <c r="O125" s="201" t="s">
        <v>1064</v>
      </c>
      <c r="P125" s="56" t="s">
        <v>70</v>
      </c>
      <c r="Q125" s="416"/>
      <c r="R125" s="416"/>
      <c r="S125" s="416"/>
      <c r="T125" s="416"/>
      <c r="U125" s="416"/>
      <c r="V125" s="416"/>
      <c r="W125" s="416"/>
      <c r="X125" s="416"/>
      <c r="Y125" s="416"/>
      <c r="Z125" s="416"/>
    </row>
    <row r="126">
      <c r="A126" s="413"/>
      <c r="B126" s="414" t="s">
        <v>16</v>
      </c>
      <c r="C126" s="56" t="s">
        <v>1211</v>
      </c>
      <c r="D126" s="201" t="s">
        <v>1150</v>
      </c>
      <c r="E126" s="56" t="s">
        <v>35</v>
      </c>
      <c r="F126" s="56" t="s">
        <v>19</v>
      </c>
      <c r="G126" s="56">
        <v>10.0</v>
      </c>
      <c r="H126" s="56" t="s">
        <v>92</v>
      </c>
      <c r="I126" s="423"/>
      <c r="J126" s="56"/>
      <c r="K126" s="56">
        <v>10.0</v>
      </c>
      <c r="L126" s="56">
        <v>0.0</v>
      </c>
      <c r="M126" s="56">
        <v>10.0</v>
      </c>
      <c r="N126" s="56">
        <v>0.0</v>
      </c>
      <c r="O126" s="201" t="s">
        <v>1108</v>
      </c>
      <c r="P126" s="56" t="s">
        <v>70</v>
      </c>
      <c r="Q126" s="416"/>
      <c r="R126" s="416"/>
      <c r="S126" s="416"/>
      <c r="T126" s="416"/>
      <c r="U126" s="416"/>
      <c r="V126" s="416"/>
      <c r="W126" s="416"/>
      <c r="X126" s="416"/>
      <c r="Y126" s="416"/>
      <c r="Z126" s="416"/>
    </row>
    <row r="127">
      <c r="A127" s="186"/>
      <c r="B127" s="206" t="s">
        <v>16</v>
      </c>
      <c r="C127" s="254" t="s">
        <v>1211</v>
      </c>
      <c r="D127" s="254" t="s">
        <v>1212</v>
      </c>
      <c r="E127" s="207" t="s">
        <v>34</v>
      </c>
      <c r="F127" s="254" t="s">
        <v>19</v>
      </c>
      <c r="G127" s="254">
        <v>30.0</v>
      </c>
      <c r="H127" s="205" t="s">
        <v>92</v>
      </c>
      <c r="I127" s="431">
        <v>46055.0</v>
      </c>
      <c r="J127" s="432">
        <v>46104.0</v>
      </c>
      <c r="K127" s="254">
        <v>65.0</v>
      </c>
      <c r="L127" s="255">
        <v>0.0</v>
      </c>
      <c r="M127" s="205">
        <v>65.0</v>
      </c>
      <c r="N127" s="208">
        <f t="shared" ref="N127:N129" si="12">K127-L127-M127</f>
        <v>0</v>
      </c>
      <c r="O127" s="207" t="s">
        <v>1086</v>
      </c>
      <c r="P127" s="205" t="s">
        <v>70</v>
      </c>
      <c r="Q127" s="410"/>
      <c r="R127" s="410"/>
      <c r="S127" s="410"/>
      <c r="T127" s="410"/>
      <c r="U127" s="410"/>
      <c r="V127" s="410"/>
      <c r="W127" s="410"/>
      <c r="X127" s="410"/>
      <c r="Y127" s="410"/>
      <c r="Z127" s="410"/>
    </row>
    <row r="128" ht="32.25" customHeight="1">
      <c r="A128" s="186"/>
      <c r="B128" s="206" t="s">
        <v>16</v>
      </c>
      <c r="C128" s="254" t="s">
        <v>1211</v>
      </c>
      <c r="D128" s="254" t="s">
        <v>1213</v>
      </c>
      <c r="E128" s="206" t="s">
        <v>34</v>
      </c>
      <c r="F128" s="254" t="s">
        <v>23</v>
      </c>
      <c r="G128" s="254">
        <v>19.0</v>
      </c>
      <c r="H128" s="206" t="s">
        <v>92</v>
      </c>
      <c r="I128" s="431"/>
      <c r="J128" s="432"/>
      <c r="K128" s="254">
        <v>39.0</v>
      </c>
      <c r="L128" s="254">
        <v>0.0</v>
      </c>
      <c r="M128" s="205">
        <v>39.0</v>
      </c>
      <c r="N128" s="201">
        <f t="shared" si="12"/>
        <v>0</v>
      </c>
      <c r="O128" s="206" t="s">
        <v>1192</v>
      </c>
      <c r="P128" s="205" t="s">
        <v>70</v>
      </c>
      <c r="Q128" s="410"/>
      <c r="R128" s="410"/>
      <c r="S128" s="410"/>
      <c r="T128" s="410"/>
      <c r="U128" s="410"/>
      <c r="V128" s="410"/>
      <c r="W128" s="410"/>
      <c r="X128" s="410"/>
      <c r="Y128" s="410"/>
      <c r="Z128" s="410"/>
    </row>
    <row r="129">
      <c r="A129" s="413"/>
      <c r="B129" s="414" t="s">
        <v>16</v>
      </c>
      <c r="C129" s="56" t="s">
        <v>1214</v>
      </c>
      <c r="D129" s="201" t="s">
        <v>1215</v>
      </c>
      <c r="E129" s="56" t="s">
        <v>34</v>
      </c>
      <c r="F129" s="56" t="s">
        <v>23</v>
      </c>
      <c r="G129" s="56">
        <v>20.0</v>
      </c>
      <c r="H129" s="56" t="s">
        <v>92</v>
      </c>
      <c r="I129" s="415">
        <v>45916.0</v>
      </c>
      <c r="J129" s="415">
        <v>45930.0</v>
      </c>
      <c r="K129" s="56">
        <v>40.0</v>
      </c>
      <c r="L129" s="56">
        <v>0.0</v>
      </c>
      <c r="M129" s="56">
        <v>40.0</v>
      </c>
      <c r="N129" s="56">
        <f t="shared" si="12"/>
        <v>0</v>
      </c>
      <c r="O129" s="201" t="s">
        <v>1147</v>
      </c>
      <c r="P129" s="56" t="s">
        <v>70</v>
      </c>
      <c r="Q129" s="416"/>
      <c r="R129" s="416"/>
      <c r="S129" s="416"/>
      <c r="T129" s="416"/>
      <c r="U129" s="416"/>
      <c r="V129" s="416"/>
      <c r="W129" s="416"/>
      <c r="X129" s="416"/>
      <c r="Y129" s="416"/>
      <c r="Z129" s="416"/>
    </row>
    <row r="130">
      <c r="A130" s="413"/>
      <c r="B130" s="414" t="s">
        <v>16</v>
      </c>
      <c r="C130" s="56" t="s">
        <v>1216</v>
      </c>
      <c r="D130" s="201" t="s">
        <v>1217</v>
      </c>
      <c r="E130" s="56" t="s">
        <v>35</v>
      </c>
      <c r="F130" s="56" t="s">
        <v>20</v>
      </c>
      <c r="G130" s="56">
        <v>10.0</v>
      </c>
      <c r="H130" s="56" t="s">
        <v>92</v>
      </c>
      <c r="I130" s="415"/>
      <c r="J130" s="415"/>
      <c r="K130" s="56">
        <v>10.0</v>
      </c>
      <c r="L130" s="56">
        <v>0.0</v>
      </c>
      <c r="M130" s="56">
        <v>10.0</v>
      </c>
      <c r="N130" s="56">
        <v>0.0</v>
      </c>
      <c r="O130" s="201" t="s">
        <v>1218</v>
      </c>
      <c r="P130" s="56" t="s">
        <v>70</v>
      </c>
      <c r="Q130" s="416"/>
      <c r="R130" s="416"/>
      <c r="S130" s="416"/>
      <c r="T130" s="416"/>
      <c r="U130" s="416"/>
      <c r="V130" s="416"/>
      <c r="W130" s="416"/>
      <c r="X130" s="416"/>
      <c r="Y130" s="416"/>
      <c r="Z130" s="416"/>
    </row>
    <row r="131">
      <c r="A131" s="413"/>
      <c r="B131" s="414" t="s">
        <v>16</v>
      </c>
      <c r="C131" s="56" t="s">
        <v>1219</v>
      </c>
      <c r="D131" s="201" t="s">
        <v>1220</v>
      </c>
      <c r="E131" s="56" t="s">
        <v>35</v>
      </c>
      <c r="F131" s="56" t="s">
        <v>22</v>
      </c>
      <c r="G131" s="56">
        <v>19.0</v>
      </c>
      <c r="H131" s="56" t="s">
        <v>92</v>
      </c>
      <c r="I131" s="415"/>
      <c r="J131" s="415"/>
      <c r="K131" s="56">
        <v>39.0</v>
      </c>
      <c r="L131" s="56">
        <v>0.0</v>
      </c>
      <c r="M131" s="56">
        <v>39.0</v>
      </c>
      <c r="N131" s="56">
        <f>K131-L131-M131</f>
        <v>0</v>
      </c>
      <c r="O131" s="201" t="s">
        <v>1147</v>
      </c>
      <c r="P131" s="56" t="s">
        <v>70</v>
      </c>
      <c r="Q131" s="416"/>
      <c r="R131" s="416"/>
      <c r="S131" s="416"/>
      <c r="T131" s="416"/>
      <c r="U131" s="416"/>
      <c r="V131" s="416"/>
      <c r="W131" s="416"/>
      <c r="X131" s="416"/>
      <c r="Y131" s="416"/>
      <c r="Z131" s="416"/>
    </row>
    <row r="132">
      <c r="A132" s="413"/>
      <c r="B132" s="414" t="s">
        <v>16</v>
      </c>
      <c r="C132" s="56" t="s">
        <v>1221</v>
      </c>
      <c r="D132" s="201" t="s">
        <v>1155</v>
      </c>
      <c r="E132" s="56" t="s">
        <v>35</v>
      </c>
      <c r="F132" s="56" t="s">
        <v>23</v>
      </c>
      <c r="G132" s="56">
        <v>10.0</v>
      </c>
      <c r="H132" s="56" t="s">
        <v>92</v>
      </c>
      <c r="I132" s="415"/>
      <c r="J132" s="415"/>
      <c r="K132" s="56">
        <v>10.0</v>
      </c>
      <c r="L132" s="56">
        <v>0.0</v>
      </c>
      <c r="M132" s="56">
        <v>10.0</v>
      </c>
      <c r="N132" s="56">
        <v>0.0</v>
      </c>
      <c r="O132" s="201" t="s">
        <v>1073</v>
      </c>
      <c r="P132" s="56" t="s">
        <v>70</v>
      </c>
      <c r="Q132" s="416"/>
      <c r="R132" s="416"/>
      <c r="S132" s="416"/>
      <c r="T132" s="416"/>
      <c r="U132" s="416"/>
      <c r="V132" s="416"/>
      <c r="W132" s="416"/>
      <c r="X132" s="416"/>
      <c r="Y132" s="416"/>
      <c r="Z132" s="416"/>
    </row>
    <row r="133">
      <c r="A133" s="413"/>
      <c r="B133" s="414" t="s">
        <v>16</v>
      </c>
      <c r="C133" s="56" t="s">
        <v>1221</v>
      </c>
      <c r="D133" s="201" t="s">
        <v>1222</v>
      </c>
      <c r="E133" s="56" t="s">
        <v>34</v>
      </c>
      <c r="F133" s="56" t="s">
        <v>23</v>
      </c>
      <c r="G133" s="56">
        <v>50.0</v>
      </c>
      <c r="H133" s="56" t="s">
        <v>92</v>
      </c>
      <c r="I133" s="415">
        <v>45870.0</v>
      </c>
      <c r="J133" s="415">
        <v>46050.0</v>
      </c>
      <c r="K133" s="56">
        <v>180.0</v>
      </c>
      <c r="L133" s="56">
        <v>0.0</v>
      </c>
      <c r="M133" s="56">
        <v>180.0</v>
      </c>
      <c r="N133" s="56">
        <v>0.0</v>
      </c>
      <c r="O133" s="201" t="s">
        <v>1223</v>
      </c>
      <c r="P133" s="56" t="s">
        <v>70</v>
      </c>
      <c r="Q133" s="416"/>
      <c r="R133" s="416"/>
      <c r="S133" s="416"/>
      <c r="T133" s="416"/>
      <c r="U133" s="416"/>
      <c r="V133" s="416"/>
      <c r="W133" s="416"/>
      <c r="X133" s="416"/>
      <c r="Y133" s="416"/>
      <c r="Z133" s="416"/>
    </row>
    <row r="134" ht="30.0" customHeight="1">
      <c r="A134" s="409"/>
      <c r="B134" s="405" t="s">
        <v>16</v>
      </c>
      <c r="C134" s="406" t="s">
        <v>1221</v>
      </c>
      <c r="D134" s="406" t="s">
        <v>1224</v>
      </c>
      <c r="E134" s="405" t="s">
        <v>35</v>
      </c>
      <c r="F134" s="406" t="s">
        <v>20</v>
      </c>
      <c r="G134" s="406">
        <v>8.0</v>
      </c>
      <c r="H134" s="405" t="s">
        <v>92</v>
      </c>
      <c r="I134" s="407"/>
      <c r="J134" s="408"/>
      <c r="K134" s="406">
        <v>8.0</v>
      </c>
      <c r="L134" s="406">
        <v>0.0</v>
      </c>
      <c r="M134" s="405">
        <v>8.0</v>
      </c>
      <c r="N134" s="409">
        <v>0.0</v>
      </c>
      <c r="O134" s="405" t="s">
        <v>1160</v>
      </c>
      <c r="P134" s="405" t="s">
        <v>70</v>
      </c>
      <c r="Q134" s="410"/>
      <c r="R134" s="410"/>
      <c r="S134" s="410"/>
      <c r="T134" s="410"/>
      <c r="U134" s="410"/>
      <c r="V134" s="410"/>
      <c r="W134" s="410"/>
      <c r="X134" s="410"/>
      <c r="Y134" s="410"/>
      <c r="Z134" s="410"/>
    </row>
    <row r="135">
      <c r="A135" s="413"/>
      <c r="B135" s="417" t="s">
        <v>16</v>
      </c>
      <c r="C135" s="418" t="s">
        <v>1225</v>
      </c>
      <c r="D135" s="186" t="s">
        <v>1226</v>
      </c>
      <c r="E135" s="418" t="s">
        <v>35</v>
      </c>
      <c r="F135" s="418" t="s">
        <v>19</v>
      </c>
      <c r="G135" s="418">
        <v>8.0</v>
      </c>
      <c r="H135" s="56" t="s">
        <v>92</v>
      </c>
      <c r="I135" s="426"/>
      <c r="J135" s="426"/>
      <c r="K135" s="418">
        <v>8.0</v>
      </c>
      <c r="L135" s="418">
        <v>0.0</v>
      </c>
      <c r="M135" s="56">
        <v>8.0</v>
      </c>
      <c r="N135" s="418">
        <f>sum(K135,-L11, -M135, )</f>
        <v>0</v>
      </c>
      <c r="O135" s="186" t="s">
        <v>320</v>
      </c>
      <c r="P135" s="56" t="s">
        <v>70</v>
      </c>
      <c r="Q135" s="416"/>
      <c r="R135" s="416"/>
      <c r="S135" s="416"/>
      <c r="T135" s="416"/>
      <c r="U135" s="416"/>
      <c r="V135" s="416"/>
      <c r="W135" s="416"/>
      <c r="X135" s="416"/>
      <c r="Y135" s="416"/>
      <c r="Z135" s="416"/>
    </row>
    <row r="136">
      <c r="A136" s="413"/>
      <c r="B136" s="417" t="s">
        <v>16</v>
      </c>
      <c r="C136" s="418" t="s">
        <v>1225</v>
      </c>
      <c r="D136" s="201" t="s">
        <v>1227</v>
      </c>
      <c r="E136" s="418" t="s">
        <v>34</v>
      </c>
      <c r="F136" s="56" t="s">
        <v>22</v>
      </c>
      <c r="G136" s="56">
        <v>30.0</v>
      </c>
      <c r="H136" s="56" t="s">
        <v>92</v>
      </c>
      <c r="I136" s="426">
        <v>45863.0</v>
      </c>
      <c r="J136" s="426">
        <v>45912.0</v>
      </c>
      <c r="K136" s="418">
        <v>65.0</v>
      </c>
      <c r="L136" s="418">
        <v>0.0</v>
      </c>
      <c r="M136" s="56">
        <v>65.0</v>
      </c>
      <c r="N136" s="56">
        <f>K136-L136-M136</f>
        <v>0</v>
      </c>
      <c r="O136" s="186" t="s">
        <v>1228</v>
      </c>
      <c r="P136" s="56" t="s">
        <v>70</v>
      </c>
      <c r="Q136" s="416"/>
      <c r="R136" s="416"/>
      <c r="S136" s="416"/>
      <c r="T136" s="416"/>
      <c r="U136" s="416"/>
      <c r="V136" s="416"/>
      <c r="W136" s="416"/>
      <c r="X136" s="416"/>
      <c r="Y136" s="416"/>
      <c r="Z136" s="416"/>
    </row>
    <row r="137">
      <c r="A137" s="413"/>
      <c r="B137" s="414" t="s">
        <v>17</v>
      </c>
      <c r="C137" s="56" t="s">
        <v>1229</v>
      </c>
      <c r="D137" s="201" t="s">
        <v>1230</v>
      </c>
      <c r="E137" s="56" t="s">
        <v>35</v>
      </c>
      <c r="F137" s="56" t="s">
        <v>20</v>
      </c>
      <c r="G137" s="56">
        <v>8.0</v>
      </c>
      <c r="H137" s="56" t="s">
        <v>92</v>
      </c>
      <c r="I137" s="423"/>
      <c r="J137" s="56"/>
      <c r="K137" s="56">
        <v>8.0</v>
      </c>
      <c r="L137" s="56">
        <v>0.0</v>
      </c>
      <c r="M137" s="56">
        <v>8.0</v>
      </c>
      <c r="N137" s="56">
        <v>0.0</v>
      </c>
      <c r="O137" s="201" t="s">
        <v>1108</v>
      </c>
      <c r="P137" s="56" t="s">
        <v>70</v>
      </c>
      <c r="Q137" s="416"/>
      <c r="R137" s="416"/>
      <c r="S137" s="416"/>
      <c r="T137" s="416"/>
      <c r="U137" s="416"/>
      <c r="V137" s="416"/>
      <c r="W137" s="416"/>
      <c r="X137" s="416"/>
      <c r="Y137" s="416"/>
      <c r="Z137" s="416"/>
    </row>
    <row r="138">
      <c r="A138" s="186"/>
      <c r="B138" s="206" t="s">
        <v>17</v>
      </c>
      <c r="C138" s="254" t="s">
        <v>1231</v>
      </c>
      <c r="D138" s="254" t="s">
        <v>1232</v>
      </c>
      <c r="E138" s="207" t="s">
        <v>34</v>
      </c>
      <c r="F138" s="254" t="s">
        <v>23</v>
      </c>
      <c r="G138" s="254">
        <v>20.0</v>
      </c>
      <c r="H138" s="205" t="s">
        <v>92</v>
      </c>
      <c r="I138" s="432">
        <v>46105.0</v>
      </c>
      <c r="J138" s="432">
        <v>46119.0</v>
      </c>
      <c r="K138" s="254">
        <v>40.0</v>
      </c>
      <c r="L138" s="255">
        <v>0.0</v>
      </c>
      <c r="M138" s="205">
        <v>40.0</v>
      </c>
      <c r="N138" s="201">
        <f t="shared" ref="N138:N140" si="13">K138-L138-M138</f>
        <v>0</v>
      </c>
      <c r="O138" s="207" t="s">
        <v>1086</v>
      </c>
      <c r="P138" s="205" t="s">
        <v>70</v>
      </c>
      <c r="Q138" s="410"/>
      <c r="R138" s="410"/>
      <c r="S138" s="410"/>
      <c r="T138" s="410"/>
      <c r="U138" s="410"/>
      <c r="V138" s="410"/>
      <c r="W138" s="410"/>
      <c r="X138" s="410"/>
      <c r="Y138" s="410"/>
      <c r="Z138" s="410"/>
    </row>
    <row r="139">
      <c r="A139" s="413"/>
      <c r="B139" s="424" t="s">
        <v>17</v>
      </c>
      <c r="C139" s="418" t="s">
        <v>1233</v>
      </c>
      <c r="D139" s="390" t="s">
        <v>1234</v>
      </c>
      <c r="E139" s="418" t="s">
        <v>34</v>
      </c>
      <c r="F139" s="418" t="s">
        <v>21</v>
      </c>
      <c r="G139" s="418">
        <v>20.0</v>
      </c>
      <c r="H139" s="56" t="s">
        <v>92</v>
      </c>
      <c r="I139" s="436">
        <v>45819.0</v>
      </c>
      <c r="J139" s="426">
        <v>46198.0</v>
      </c>
      <c r="K139" s="418">
        <v>40.0</v>
      </c>
      <c r="L139" s="418">
        <v>0.0</v>
      </c>
      <c r="M139" s="56">
        <v>40.0</v>
      </c>
      <c r="N139" s="56">
        <f t="shared" si="13"/>
        <v>0</v>
      </c>
      <c r="O139" s="186" t="s">
        <v>1235</v>
      </c>
      <c r="P139" s="56" t="s">
        <v>70</v>
      </c>
      <c r="Q139" s="416"/>
      <c r="R139" s="416"/>
      <c r="S139" s="416"/>
      <c r="T139" s="416"/>
      <c r="U139" s="416"/>
      <c r="V139" s="416"/>
      <c r="W139" s="416"/>
      <c r="X139" s="416"/>
      <c r="Y139" s="416"/>
      <c r="Z139" s="416"/>
    </row>
    <row r="140">
      <c r="A140" s="413"/>
      <c r="B140" s="414" t="s">
        <v>17</v>
      </c>
      <c r="C140" s="56" t="s">
        <v>1236</v>
      </c>
      <c r="D140" s="201" t="s">
        <v>1237</v>
      </c>
      <c r="E140" s="56" t="s">
        <v>35</v>
      </c>
      <c r="F140" s="56" t="s">
        <v>20</v>
      </c>
      <c r="G140" s="56">
        <v>13.0</v>
      </c>
      <c r="H140" s="56" t="s">
        <v>92</v>
      </c>
      <c r="I140" s="423"/>
      <c r="J140" s="426"/>
      <c r="K140" s="56">
        <v>19.0</v>
      </c>
      <c r="L140" s="56">
        <v>0.0</v>
      </c>
      <c r="M140" s="56">
        <v>19.0</v>
      </c>
      <c r="N140" s="56">
        <f t="shared" si="13"/>
        <v>0</v>
      </c>
      <c r="O140" s="201" t="s">
        <v>1188</v>
      </c>
      <c r="P140" s="56" t="s">
        <v>70</v>
      </c>
      <c r="Q140" s="416"/>
      <c r="R140" s="416"/>
      <c r="S140" s="416"/>
      <c r="T140" s="416"/>
      <c r="U140" s="416"/>
      <c r="V140" s="416"/>
      <c r="W140" s="416"/>
      <c r="X140" s="416"/>
      <c r="Y140" s="416"/>
      <c r="Z140" s="416"/>
    </row>
    <row r="141">
      <c r="A141" s="413"/>
      <c r="B141" s="414" t="s">
        <v>17</v>
      </c>
      <c r="C141" s="56" t="s">
        <v>1238</v>
      </c>
      <c r="D141" s="201" t="s">
        <v>1239</v>
      </c>
      <c r="E141" s="56" t="s">
        <v>35</v>
      </c>
      <c r="F141" s="56" t="s">
        <v>20</v>
      </c>
      <c r="G141" s="56">
        <v>8.0</v>
      </c>
      <c r="H141" s="56" t="s">
        <v>92</v>
      </c>
      <c r="I141" s="423"/>
      <c r="J141" s="56"/>
      <c r="K141" s="56">
        <v>8.0</v>
      </c>
      <c r="L141" s="56">
        <v>0.0</v>
      </c>
      <c r="M141" s="56">
        <v>8.0</v>
      </c>
      <c r="N141" s="56">
        <v>0.0</v>
      </c>
      <c r="O141" s="201" t="s">
        <v>1108</v>
      </c>
      <c r="P141" s="56" t="s">
        <v>70</v>
      </c>
      <c r="Q141" s="416"/>
      <c r="R141" s="416"/>
      <c r="S141" s="416"/>
      <c r="T141" s="416"/>
      <c r="U141" s="416"/>
      <c r="V141" s="416"/>
      <c r="W141" s="416"/>
      <c r="X141" s="416"/>
      <c r="Y141" s="416"/>
      <c r="Z141" s="416"/>
    </row>
    <row r="142">
      <c r="A142" s="413"/>
      <c r="B142" s="417" t="s">
        <v>17</v>
      </c>
      <c r="C142" s="418" t="s">
        <v>1238</v>
      </c>
      <c r="D142" s="186" t="s">
        <v>1240</v>
      </c>
      <c r="E142" s="418" t="s">
        <v>35</v>
      </c>
      <c r="F142" s="56" t="s">
        <v>22</v>
      </c>
      <c r="G142" s="418">
        <v>19.0</v>
      </c>
      <c r="H142" s="56" t="s">
        <v>92</v>
      </c>
      <c r="I142" s="426"/>
      <c r="J142" s="426"/>
      <c r="K142" s="418">
        <v>39.0</v>
      </c>
      <c r="L142" s="418">
        <v>0.0</v>
      </c>
      <c r="M142" s="56">
        <v>39.0</v>
      </c>
      <c r="N142" s="56">
        <f>K142-L142-M142</f>
        <v>0</v>
      </c>
      <c r="O142" s="186" t="s">
        <v>1241</v>
      </c>
      <c r="P142" s="56" t="s">
        <v>70</v>
      </c>
      <c r="Q142" s="416"/>
      <c r="R142" s="416"/>
      <c r="S142" s="416"/>
      <c r="T142" s="416"/>
      <c r="U142" s="416"/>
      <c r="V142" s="416"/>
      <c r="W142" s="416"/>
      <c r="X142" s="416"/>
      <c r="Y142" s="416"/>
      <c r="Z142" s="416"/>
    </row>
    <row r="143">
      <c r="A143" s="409"/>
      <c r="B143" s="405" t="s">
        <v>17</v>
      </c>
      <c r="C143" s="406" t="s">
        <v>1242</v>
      </c>
      <c r="D143" s="406" t="s">
        <v>1243</v>
      </c>
      <c r="E143" s="437" t="s">
        <v>34</v>
      </c>
      <c r="F143" s="406" t="s">
        <v>21</v>
      </c>
      <c r="G143" s="406">
        <v>30.0</v>
      </c>
      <c r="H143" s="405" t="s">
        <v>92</v>
      </c>
      <c r="I143" s="407">
        <v>46055.0</v>
      </c>
      <c r="J143" s="408">
        <v>46104.0</v>
      </c>
      <c r="K143" s="406">
        <v>65.0</v>
      </c>
      <c r="L143" s="438">
        <v>0.0</v>
      </c>
      <c r="M143" s="405">
        <v>65.0</v>
      </c>
      <c r="N143" s="409">
        <v>0.0</v>
      </c>
      <c r="O143" s="437" t="s">
        <v>1086</v>
      </c>
      <c r="P143" s="405" t="s">
        <v>70</v>
      </c>
      <c r="Q143" s="410"/>
      <c r="R143" s="410"/>
      <c r="S143" s="410"/>
      <c r="T143" s="410"/>
      <c r="U143" s="410"/>
      <c r="V143" s="410"/>
      <c r="W143" s="410"/>
      <c r="X143" s="410"/>
      <c r="Y143" s="410"/>
      <c r="Z143" s="410"/>
    </row>
    <row r="144" ht="29.25" customHeight="1">
      <c r="A144" s="413"/>
      <c r="B144" s="433" t="s">
        <v>17</v>
      </c>
      <c r="C144" s="418" t="s">
        <v>1244</v>
      </c>
      <c r="D144" s="186" t="s">
        <v>1185</v>
      </c>
      <c r="E144" s="418" t="s">
        <v>35</v>
      </c>
      <c r="F144" s="418" t="s">
        <v>19</v>
      </c>
      <c r="G144" s="418">
        <v>8.0</v>
      </c>
      <c r="H144" s="56" t="s">
        <v>92</v>
      </c>
      <c r="I144" s="426"/>
      <c r="J144" s="426"/>
      <c r="K144" s="418">
        <v>8.0</v>
      </c>
      <c r="L144" s="418">
        <v>0.0</v>
      </c>
      <c r="M144" s="56">
        <v>8.0</v>
      </c>
      <c r="N144" s="418">
        <f>sum(K144,-L150, -M144, )</f>
        <v>0</v>
      </c>
      <c r="O144" s="186" t="s">
        <v>320</v>
      </c>
      <c r="P144" s="56" t="s">
        <v>70</v>
      </c>
      <c r="Q144" s="416"/>
      <c r="R144" s="416"/>
      <c r="S144" s="416"/>
      <c r="T144" s="416"/>
      <c r="U144" s="416"/>
      <c r="V144" s="416"/>
      <c r="W144" s="416"/>
      <c r="X144" s="416"/>
      <c r="Y144" s="416"/>
      <c r="Z144" s="416"/>
    </row>
    <row r="145">
      <c r="A145" s="413"/>
      <c r="B145" s="417" t="s">
        <v>17</v>
      </c>
      <c r="C145" s="418" t="s">
        <v>1245</v>
      </c>
      <c r="D145" s="186" t="s">
        <v>1240</v>
      </c>
      <c r="E145" s="418" t="s">
        <v>35</v>
      </c>
      <c r="F145" s="56" t="s">
        <v>22</v>
      </c>
      <c r="G145" s="418">
        <v>19.0</v>
      </c>
      <c r="H145" s="56" t="s">
        <v>92</v>
      </c>
      <c r="I145" s="426"/>
      <c r="J145" s="426"/>
      <c r="K145" s="418">
        <v>39.0</v>
      </c>
      <c r="L145" s="418">
        <v>0.0</v>
      </c>
      <c r="M145" s="56">
        <v>39.0</v>
      </c>
      <c r="N145" s="56">
        <f>K145-L145-M145</f>
        <v>0</v>
      </c>
      <c r="O145" s="186" t="s">
        <v>1241</v>
      </c>
      <c r="P145" s="56" t="s">
        <v>70</v>
      </c>
      <c r="Q145" s="416"/>
      <c r="R145" s="416"/>
      <c r="S145" s="416"/>
      <c r="T145" s="416"/>
      <c r="U145" s="416"/>
      <c r="V145" s="416"/>
      <c r="W145" s="416"/>
      <c r="X145" s="416"/>
      <c r="Y145" s="416"/>
      <c r="Z145" s="416"/>
    </row>
    <row r="146">
      <c r="A146" s="413"/>
      <c r="B146" s="414" t="s">
        <v>17</v>
      </c>
      <c r="C146" s="56" t="s">
        <v>1245</v>
      </c>
      <c r="D146" s="201" t="s">
        <v>1088</v>
      </c>
      <c r="E146" s="56" t="s">
        <v>35</v>
      </c>
      <c r="F146" s="56" t="s">
        <v>23</v>
      </c>
      <c r="G146" s="56">
        <v>10.0</v>
      </c>
      <c r="H146" s="56" t="s">
        <v>92</v>
      </c>
      <c r="I146" s="439"/>
      <c r="J146" s="439"/>
      <c r="K146" s="56">
        <v>10.0</v>
      </c>
      <c r="L146" s="56">
        <v>0.0</v>
      </c>
      <c r="M146" s="56">
        <v>10.0</v>
      </c>
      <c r="N146" s="56">
        <v>0.0</v>
      </c>
      <c r="O146" s="201" t="s">
        <v>1089</v>
      </c>
      <c r="P146" s="56" t="s">
        <v>70</v>
      </c>
      <c r="Q146" s="416"/>
      <c r="R146" s="416"/>
      <c r="S146" s="416"/>
      <c r="T146" s="416"/>
      <c r="U146" s="416"/>
      <c r="V146" s="416"/>
      <c r="W146" s="416"/>
      <c r="X146" s="416"/>
      <c r="Y146" s="416"/>
      <c r="Z146" s="416"/>
    </row>
    <row r="147">
      <c r="A147" s="413"/>
      <c r="B147" s="414" t="s">
        <v>17</v>
      </c>
      <c r="C147" s="56" t="s">
        <v>1245</v>
      </c>
      <c r="D147" s="201" t="s">
        <v>1246</v>
      </c>
      <c r="E147" s="56" t="s">
        <v>35</v>
      </c>
      <c r="F147" s="56" t="s">
        <v>20</v>
      </c>
      <c r="G147" s="56">
        <v>10.0</v>
      </c>
      <c r="H147" s="56" t="s">
        <v>92</v>
      </c>
      <c r="I147" s="439"/>
      <c r="J147" s="439"/>
      <c r="K147" s="56">
        <v>10.0</v>
      </c>
      <c r="L147" s="56">
        <v>0.0</v>
      </c>
      <c r="M147" s="56">
        <v>10.0</v>
      </c>
      <c r="N147" s="56">
        <v>0.0</v>
      </c>
      <c r="O147" s="201" t="s">
        <v>1218</v>
      </c>
      <c r="P147" s="56" t="s">
        <v>70</v>
      </c>
      <c r="Q147" s="416"/>
      <c r="R147" s="416"/>
      <c r="S147" s="416"/>
      <c r="T147" s="416"/>
      <c r="U147" s="416"/>
      <c r="V147" s="416"/>
      <c r="W147" s="416"/>
      <c r="X147" s="416"/>
      <c r="Y147" s="416"/>
      <c r="Z147" s="416"/>
    </row>
    <row r="148">
      <c r="A148" s="413"/>
      <c r="B148" s="414" t="s">
        <v>17</v>
      </c>
      <c r="C148" s="56" t="s">
        <v>1247</v>
      </c>
      <c r="D148" s="201" t="s">
        <v>1248</v>
      </c>
      <c r="E148" s="56" t="s">
        <v>34</v>
      </c>
      <c r="F148" s="56" t="s">
        <v>23</v>
      </c>
      <c r="G148" s="56">
        <v>20.0</v>
      </c>
      <c r="H148" s="56" t="s">
        <v>92</v>
      </c>
      <c r="I148" s="439">
        <v>45987.0</v>
      </c>
      <c r="J148" s="439">
        <v>46001.0</v>
      </c>
      <c r="K148" s="56">
        <v>40.0</v>
      </c>
      <c r="L148" s="56">
        <v>0.0</v>
      </c>
      <c r="M148" s="56">
        <v>40.0</v>
      </c>
      <c r="N148" s="56">
        <v>0.0</v>
      </c>
      <c r="O148" s="201" t="s">
        <v>1097</v>
      </c>
      <c r="P148" s="56" t="s">
        <v>70</v>
      </c>
      <c r="Q148" s="416"/>
      <c r="R148" s="416"/>
      <c r="S148" s="416"/>
      <c r="T148" s="416"/>
      <c r="U148" s="416"/>
      <c r="V148" s="416"/>
      <c r="W148" s="416"/>
      <c r="X148" s="416"/>
      <c r="Y148" s="416"/>
      <c r="Z148" s="416"/>
    </row>
    <row r="149">
      <c r="A149" s="413"/>
      <c r="B149" s="414" t="s">
        <v>17</v>
      </c>
      <c r="C149" s="56" t="s">
        <v>1249</v>
      </c>
      <c r="D149" s="201" t="s">
        <v>1250</v>
      </c>
      <c r="E149" s="56" t="s">
        <v>34</v>
      </c>
      <c r="F149" s="56" t="s">
        <v>23</v>
      </c>
      <c r="G149" s="56">
        <v>20.0</v>
      </c>
      <c r="H149" s="56" t="s">
        <v>92</v>
      </c>
      <c r="I149" s="439">
        <v>45996.0</v>
      </c>
      <c r="J149" s="439">
        <v>46010.0</v>
      </c>
      <c r="K149" s="56">
        <v>40.0</v>
      </c>
      <c r="L149" s="56">
        <v>0.0</v>
      </c>
      <c r="M149" s="56">
        <v>40.0</v>
      </c>
      <c r="N149" s="56">
        <v>0.0</v>
      </c>
      <c r="O149" s="201" t="s">
        <v>413</v>
      </c>
      <c r="P149" s="56" t="s">
        <v>70</v>
      </c>
      <c r="Q149" s="416"/>
      <c r="R149" s="416"/>
      <c r="S149" s="416"/>
      <c r="T149" s="416"/>
      <c r="U149" s="416"/>
      <c r="V149" s="416"/>
      <c r="W149" s="416"/>
      <c r="X149" s="416"/>
      <c r="Y149" s="416"/>
      <c r="Z149" s="416"/>
    </row>
    <row r="150">
      <c r="A150" s="413"/>
      <c r="B150" s="417" t="s">
        <v>17</v>
      </c>
      <c r="C150" s="418" t="s">
        <v>1251</v>
      </c>
      <c r="D150" s="186" t="s">
        <v>1185</v>
      </c>
      <c r="E150" s="418" t="s">
        <v>35</v>
      </c>
      <c r="F150" s="418" t="s">
        <v>19</v>
      </c>
      <c r="G150" s="418">
        <v>8.0</v>
      </c>
      <c r="H150" s="56" t="s">
        <v>92</v>
      </c>
      <c r="I150" s="119"/>
      <c r="J150" s="119"/>
      <c r="K150" s="418">
        <v>8.0</v>
      </c>
      <c r="L150" s="418">
        <v>0.0</v>
      </c>
      <c r="M150" s="56">
        <v>8.0</v>
      </c>
      <c r="N150" s="418">
        <f>sum(K150,-L155, -M150, )</f>
        <v>0</v>
      </c>
      <c r="O150" s="186" t="s">
        <v>320</v>
      </c>
      <c r="P150" s="56" t="s">
        <v>70</v>
      </c>
      <c r="Q150" s="416"/>
      <c r="R150" s="416"/>
      <c r="S150" s="416"/>
      <c r="T150" s="416"/>
      <c r="U150" s="416"/>
      <c r="V150" s="416"/>
      <c r="W150" s="416"/>
      <c r="X150" s="416"/>
      <c r="Y150" s="416"/>
      <c r="Z150" s="416"/>
    </row>
    <row r="151">
      <c r="A151" s="413"/>
      <c r="B151" s="414" t="s">
        <v>17</v>
      </c>
      <c r="C151" s="56" t="s">
        <v>173</v>
      </c>
      <c r="D151" s="201" t="s">
        <v>1252</v>
      </c>
      <c r="E151" s="56" t="s">
        <v>35</v>
      </c>
      <c r="F151" s="56" t="s">
        <v>19</v>
      </c>
      <c r="G151" s="56">
        <v>10.0</v>
      </c>
      <c r="H151" s="56" t="s">
        <v>92</v>
      </c>
      <c r="I151" s="415"/>
      <c r="J151" s="415"/>
      <c r="K151" s="56">
        <v>10.0</v>
      </c>
      <c r="L151" s="56">
        <v>10.0</v>
      </c>
      <c r="M151" s="56">
        <v>0.0</v>
      </c>
      <c r="N151" s="56">
        <f t="shared" ref="N151:N152" si="14">K151-L151-M151</f>
        <v>0</v>
      </c>
      <c r="O151" s="201" t="s">
        <v>1147</v>
      </c>
      <c r="P151" s="56" t="s">
        <v>70</v>
      </c>
      <c r="Q151" s="416"/>
      <c r="R151" s="416"/>
      <c r="S151" s="416"/>
      <c r="T151" s="416"/>
      <c r="U151" s="416"/>
      <c r="V151" s="416"/>
      <c r="W151" s="416"/>
      <c r="X151" s="416"/>
      <c r="Y151" s="416"/>
      <c r="Z151" s="416"/>
    </row>
    <row r="152">
      <c r="A152" s="413"/>
      <c r="B152" s="414" t="s">
        <v>17</v>
      </c>
      <c r="C152" s="56" t="s">
        <v>173</v>
      </c>
      <c r="D152" s="201" t="s">
        <v>1253</v>
      </c>
      <c r="E152" s="56" t="s">
        <v>35</v>
      </c>
      <c r="F152" s="56" t="s">
        <v>19</v>
      </c>
      <c r="G152" s="56">
        <v>10.0</v>
      </c>
      <c r="H152" s="56" t="s">
        <v>92</v>
      </c>
      <c r="I152" s="415"/>
      <c r="J152" s="415"/>
      <c r="K152" s="56">
        <v>10.0</v>
      </c>
      <c r="L152" s="56">
        <v>10.0</v>
      </c>
      <c r="M152" s="56">
        <v>0.0</v>
      </c>
      <c r="N152" s="56">
        <f t="shared" si="14"/>
        <v>0</v>
      </c>
      <c r="O152" s="201" t="s">
        <v>1147</v>
      </c>
      <c r="P152" s="56" t="s">
        <v>70</v>
      </c>
      <c r="Q152" s="416"/>
      <c r="R152" s="416"/>
      <c r="S152" s="416"/>
      <c r="T152" s="416"/>
      <c r="U152" s="416"/>
      <c r="V152" s="416"/>
      <c r="W152" s="416"/>
      <c r="X152" s="416"/>
      <c r="Y152" s="416"/>
      <c r="Z152" s="416"/>
    </row>
    <row r="153">
      <c r="A153" s="413"/>
      <c r="B153" s="414" t="s">
        <v>17</v>
      </c>
      <c r="C153" s="56" t="s">
        <v>173</v>
      </c>
      <c r="D153" s="201" t="s">
        <v>1254</v>
      </c>
      <c r="E153" s="56" t="s">
        <v>35</v>
      </c>
      <c r="F153" s="56" t="s">
        <v>19</v>
      </c>
      <c r="G153" s="56">
        <v>10.0</v>
      </c>
      <c r="H153" s="56" t="s">
        <v>92</v>
      </c>
      <c r="I153" s="439"/>
      <c r="J153" s="439"/>
      <c r="K153" s="56">
        <v>10.0</v>
      </c>
      <c r="L153" s="56">
        <v>0.0</v>
      </c>
      <c r="M153" s="56">
        <v>10.0</v>
      </c>
      <c r="N153" s="56">
        <v>0.0</v>
      </c>
      <c r="O153" s="201" t="s">
        <v>1073</v>
      </c>
      <c r="P153" s="56" t="s">
        <v>70</v>
      </c>
      <c r="Q153" s="416"/>
      <c r="R153" s="416"/>
      <c r="S153" s="416"/>
      <c r="T153" s="416"/>
      <c r="U153" s="416"/>
      <c r="V153" s="416"/>
      <c r="W153" s="416"/>
      <c r="X153" s="416"/>
      <c r="Y153" s="416"/>
      <c r="Z153" s="416"/>
    </row>
    <row r="154">
      <c r="A154" s="413"/>
      <c r="B154" s="414" t="s">
        <v>17</v>
      </c>
      <c r="C154" s="56" t="s">
        <v>1255</v>
      </c>
      <c r="D154" s="201" t="s">
        <v>1088</v>
      </c>
      <c r="E154" s="56" t="s">
        <v>35</v>
      </c>
      <c r="F154" s="56" t="s">
        <v>23</v>
      </c>
      <c r="G154" s="56">
        <v>10.0</v>
      </c>
      <c r="H154" s="56" t="s">
        <v>92</v>
      </c>
      <c r="I154" s="439"/>
      <c r="J154" s="439"/>
      <c r="K154" s="56">
        <v>10.0</v>
      </c>
      <c r="L154" s="56">
        <v>0.0</v>
      </c>
      <c r="M154" s="56">
        <v>10.0</v>
      </c>
      <c r="N154" s="56">
        <v>0.0</v>
      </c>
      <c r="O154" s="201" t="s">
        <v>1089</v>
      </c>
      <c r="P154" s="56" t="s">
        <v>70</v>
      </c>
      <c r="Q154" s="416"/>
      <c r="R154" s="416"/>
      <c r="S154" s="416"/>
      <c r="T154" s="416"/>
      <c r="U154" s="416"/>
      <c r="V154" s="416"/>
      <c r="W154" s="416"/>
      <c r="X154" s="416"/>
      <c r="Y154" s="416"/>
      <c r="Z154" s="416"/>
    </row>
    <row r="155">
      <c r="A155" s="413"/>
      <c r="B155" s="417" t="s">
        <v>17</v>
      </c>
      <c r="C155" s="418" t="s">
        <v>1255</v>
      </c>
      <c r="D155" s="186" t="s">
        <v>1185</v>
      </c>
      <c r="E155" s="418" t="s">
        <v>35</v>
      </c>
      <c r="F155" s="418" t="s">
        <v>19</v>
      </c>
      <c r="G155" s="418">
        <v>8.0</v>
      </c>
      <c r="H155" s="56" t="s">
        <v>92</v>
      </c>
      <c r="I155" s="426"/>
      <c r="J155" s="426"/>
      <c r="K155" s="418">
        <v>8.0</v>
      </c>
      <c r="L155" s="418">
        <v>0.0</v>
      </c>
      <c r="M155" s="56">
        <v>8.0</v>
      </c>
      <c r="N155" s="418">
        <f>sum(K155,-L159, -M155, )</f>
        <v>0</v>
      </c>
      <c r="O155" s="186" t="s">
        <v>320</v>
      </c>
      <c r="P155" s="56" t="s">
        <v>70</v>
      </c>
      <c r="Q155" s="416"/>
      <c r="R155" s="416"/>
      <c r="S155" s="416"/>
      <c r="T155" s="416"/>
      <c r="U155" s="416"/>
      <c r="V155" s="416"/>
      <c r="W155" s="416"/>
      <c r="X155" s="416"/>
      <c r="Y155" s="416"/>
      <c r="Z155" s="416"/>
    </row>
    <row r="156">
      <c r="A156" s="413"/>
      <c r="B156" s="414" t="s">
        <v>17</v>
      </c>
      <c r="C156" s="56" t="s">
        <v>1255</v>
      </c>
      <c r="D156" s="201" t="s">
        <v>1256</v>
      </c>
      <c r="E156" s="56" t="s">
        <v>35</v>
      </c>
      <c r="F156" s="56" t="s">
        <v>20</v>
      </c>
      <c r="G156" s="56">
        <v>12.0</v>
      </c>
      <c r="H156" s="56" t="s">
        <v>92</v>
      </c>
      <c r="I156" s="423"/>
      <c r="J156" s="56"/>
      <c r="K156" s="56">
        <v>16.0</v>
      </c>
      <c r="L156" s="56">
        <v>0.0</v>
      </c>
      <c r="M156" s="56">
        <v>16.0</v>
      </c>
      <c r="N156" s="56">
        <v>0.0</v>
      </c>
      <c r="O156" s="201" t="s">
        <v>1108</v>
      </c>
      <c r="P156" s="56" t="s">
        <v>70</v>
      </c>
      <c r="Q156" s="416"/>
      <c r="R156" s="416"/>
      <c r="S156" s="416"/>
      <c r="T156" s="416"/>
      <c r="U156" s="416"/>
      <c r="V156" s="416"/>
      <c r="W156" s="416"/>
      <c r="X156" s="416"/>
      <c r="Y156" s="416"/>
      <c r="Z156" s="416"/>
    </row>
    <row r="157">
      <c r="A157" s="413"/>
      <c r="B157" s="417" t="s">
        <v>17</v>
      </c>
      <c r="C157" s="418" t="s">
        <v>1257</v>
      </c>
      <c r="D157" s="186" t="s">
        <v>1226</v>
      </c>
      <c r="E157" s="418" t="s">
        <v>35</v>
      </c>
      <c r="F157" s="418" t="s">
        <v>19</v>
      </c>
      <c r="G157" s="418">
        <v>8.0</v>
      </c>
      <c r="H157" s="56" t="s">
        <v>92</v>
      </c>
      <c r="I157" s="426"/>
      <c r="J157" s="426"/>
      <c r="K157" s="418">
        <v>8.0</v>
      </c>
      <c r="L157" s="418">
        <v>0.0</v>
      </c>
      <c r="M157" s="56">
        <v>8.0</v>
      </c>
      <c r="N157" s="418">
        <f>sum(K157,-L160, -M157, )</f>
        <v>0</v>
      </c>
      <c r="O157" s="186" t="s">
        <v>320</v>
      </c>
      <c r="P157" s="56" t="s">
        <v>70</v>
      </c>
      <c r="Q157" s="416"/>
      <c r="R157" s="416"/>
      <c r="S157" s="416"/>
      <c r="T157" s="416"/>
      <c r="U157" s="416"/>
      <c r="V157" s="416"/>
      <c r="W157" s="416"/>
      <c r="X157" s="416"/>
      <c r="Y157" s="416"/>
      <c r="Z157" s="416"/>
    </row>
    <row r="158">
      <c r="A158" s="413"/>
      <c r="B158" s="414" t="s">
        <v>17</v>
      </c>
      <c r="C158" s="56" t="s">
        <v>1258</v>
      </c>
      <c r="D158" s="201" t="s">
        <v>1259</v>
      </c>
      <c r="E158" s="56" t="s">
        <v>35</v>
      </c>
      <c r="F158" s="56" t="s">
        <v>20</v>
      </c>
      <c r="G158" s="56">
        <v>13.0</v>
      </c>
      <c r="H158" s="56" t="s">
        <v>92</v>
      </c>
      <c r="I158" s="423"/>
      <c r="J158" s="56"/>
      <c r="K158" s="56">
        <v>13.0</v>
      </c>
      <c r="L158" s="56">
        <v>0.0</v>
      </c>
      <c r="M158" s="56">
        <v>13.0</v>
      </c>
      <c r="N158" s="56">
        <v>0.0</v>
      </c>
      <c r="O158" s="201" t="s">
        <v>1108</v>
      </c>
      <c r="P158" s="56" t="s">
        <v>70</v>
      </c>
      <c r="Q158" s="416"/>
      <c r="R158" s="416"/>
      <c r="S158" s="416"/>
      <c r="T158" s="416"/>
      <c r="U158" s="416"/>
      <c r="V158" s="416"/>
      <c r="W158" s="416"/>
      <c r="X158" s="416"/>
      <c r="Y158" s="416"/>
      <c r="Z158" s="416"/>
    </row>
    <row r="159">
      <c r="A159" s="413"/>
      <c r="B159" s="417" t="s">
        <v>17</v>
      </c>
      <c r="C159" s="418" t="s">
        <v>1258</v>
      </c>
      <c r="D159" s="186" t="s">
        <v>1185</v>
      </c>
      <c r="E159" s="418" t="s">
        <v>35</v>
      </c>
      <c r="F159" s="418" t="s">
        <v>19</v>
      </c>
      <c r="G159" s="418">
        <v>8.0</v>
      </c>
      <c r="H159" s="56" t="s">
        <v>92</v>
      </c>
      <c r="I159" s="426"/>
      <c r="J159" s="426"/>
      <c r="K159" s="418">
        <v>8.0</v>
      </c>
      <c r="L159" s="418">
        <v>0.0</v>
      </c>
      <c r="M159" s="56">
        <v>8.0</v>
      </c>
      <c r="N159" s="418">
        <f>sum(K159,-L157, -M159, )</f>
        <v>0</v>
      </c>
      <c r="O159" s="186" t="s">
        <v>320</v>
      </c>
      <c r="P159" s="56" t="s">
        <v>70</v>
      </c>
      <c r="Q159" s="416"/>
      <c r="R159" s="416"/>
      <c r="S159" s="416"/>
      <c r="T159" s="416"/>
      <c r="U159" s="416"/>
      <c r="V159" s="416"/>
      <c r="W159" s="416"/>
      <c r="X159" s="416"/>
      <c r="Y159" s="416"/>
      <c r="Z159" s="416"/>
    </row>
    <row r="160">
      <c r="A160" s="413"/>
      <c r="B160" s="417" t="s">
        <v>17</v>
      </c>
      <c r="C160" s="418" t="s">
        <v>1258</v>
      </c>
      <c r="D160" s="186" t="s">
        <v>1260</v>
      </c>
      <c r="E160" s="418" t="s">
        <v>35</v>
      </c>
      <c r="F160" s="418" t="s">
        <v>20</v>
      </c>
      <c r="G160" s="418">
        <v>8.0</v>
      </c>
      <c r="H160" s="56" t="s">
        <v>92</v>
      </c>
      <c r="I160" s="426"/>
      <c r="J160" s="426"/>
      <c r="K160" s="418">
        <v>8.0</v>
      </c>
      <c r="L160" s="418">
        <v>0.0</v>
      </c>
      <c r="M160" s="56">
        <v>8.0</v>
      </c>
      <c r="N160" s="418">
        <f>sum(K160,-L168, -M160, )</f>
        <v>0</v>
      </c>
      <c r="O160" s="186" t="s">
        <v>320</v>
      </c>
      <c r="P160" s="56" t="s">
        <v>70</v>
      </c>
      <c r="Q160" s="416"/>
      <c r="R160" s="416"/>
      <c r="S160" s="416"/>
      <c r="T160" s="416"/>
      <c r="U160" s="416"/>
      <c r="V160" s="416"/>
      <c r="W160" s="416"/>
      <c r="X160" s="416"/>
      <c r="Y160" s="416"/>
      <c r="Z160" s="416"/>
    </row>
    <row r="161">
      <c r="A161" s="413"/>
      <c r="B161" s="414" t="s">
        <v>17</v>
      </c>
      <c r="C161" s="56" t="s">
        <v>1261</v>
      </c>
      <c r="D161" s="201" t="s">
        <v>1262</v>
      </c>
      <c r="E161" s="56" t="s">
        <v>35</v>
      </c>
      <c r="F161" s="56" t="s">
        <v>23</v>
      </c>
      <c r="G161" s="56">
        <v>19.0</v>
      </c>
      <c r="H161" s="56" t="s">
        <v>92</v>
      </c>
      <c r="I161" s="439"/>
      <c r="J161" s="439"/>
      <c r="K161" s="56">
        <v>39.0</v>
      </c>
      <c r="L161" s="56">
        <v>0.0</v>
      </c>
      <c r="M161" s="56">
        <v>39.0</v>
      </c>
      <c r="N161" s="56">
        <v>0.0</v>
      </c>
      <c r="O161" s="201" t="s">
        <v>1073</v>
      </c>
      <c r="P161" s="56" t="s">
        <v>70</v>
      </c>
      <c r="Q161" s="416"/>
      <c r="R161" s="416"/>
      <c r="S161" s="416"/>
      <c r="T161" s="416"/>
      <c r="U161" s="416"/>
      <c r="V161" s="416"/>
      <c r="W161" s="416"/>
      <c r="X161" s="416"/>
      <c r="Y161" s="416"/>
      <c r="Z161" s="416"/>
    </row>
    <row r="162">
      <c r="A162" s="413"/>
      <c r="B162" s="414" t="s">
        <v>17</v>
      </c>
      <c r="C162" s="56" t="s">
        <v>1263</v>
      </c>
      <c r="D162" s="201" t="s">
        <v>1264</v>
      </c>
      <c r="E162" s="56" t="s">
        <v>35</v>
      </c>
      <c r="F162" s="56" t="s">
        <v>19</v>
      </c>
      <c r="G162" s="56">
        <v>10.0</v>
      </c>
      <c r="H162" s="56" t="s">
        <v>92</v>
      </c>
      <c r="I162" s="423"/>
      <c r="J162" s="426"/>
      <c r="K162" s="56">
        <v>10.0</v>
      </c>
      <c r="L162" s="56">
        <v>0.0</v>
      </c>
      <c r="M162" s="56">
        <v>10.0</v>
      </c>
      <c r="N162" s="56">
        <f t="shared" ref="N162:N165" si="15">K162-L162-M162</f>
        <v>0</v>
      </c>
      <c r="O162" s="201" t="s">
        <v>1188</v>
      </c>
      <c r="P162" s="56" t="s">
        <v>70</v>
      </c>
      <c r="Q162" s="416"/>
      <c r="R162" s="416"/>
      <c r="S162" s="416"/>
      <c r="T162" s="416"/>
      <c r="U162" s="416"/>
      <c r="V162" s="416"/>
      <c r="W162" s="416"/>
      <c r="X162" s="416"/>
      <c r="Y162" s="416"/>
      <c r="Z162" s="416"/>
    </row>
    <row r="163">
      <c r="A163" s="409"/>
      <c r="B163" s="405" t="s">
        <v>17</v>
      </c>
      <c r="C163" s="406" t="s">
        <v>1263</v>
      </c>
      <c r="D163" s="406" t="s">
        <v>1265</v>
      </c>
      <c r="E163" s="437" t="s">
        <v>34</v>
      </c>
      <c r="F163" s="406" t="s">
        <v>21</v>
      </c>
      <c r="G163" s="406">
        <v>30.0</v>
      </c>
      <c r="H163" s="405" t="s">
        <v>92</v>
      </c>
      <c r="I163" s="407">
        <v>46055.0</v>
      </c>
      <c r="J163" s="408">
        <v>46104.0</v>
      </c>
      <c r="K163" s="406">
        <v>65.0</v>
      </c>
      <c r="L163" s="438">
        <v>0.0</v>
      </c>
      <c r="M163" s="205">
        <v>65.0</v>
      </c>
      <c r="N163" s="409">
        <f t="shared" si="15"/>
        <v>0</v>
      </c>
      <c r="O163" s="437" t="s">
        <v>1086</v>
      </c>
      <c r="P163" s="205" t="s">
        <v>70</v>
      </c>
      <c r="Q163" s="410"/>
      <c r="R163" s="410"/>
      <c r="S163" s="410"/>
      <c r="T163" s="410"/>
      <c r="U163" s="410"/>
      <c r="V163" s="410"/>
      <c r="W163" s="410"/>
      <c r="X163" s="410"/>
      <c r="Y163" s="410"/>
      <c r="Z163" s="410"/>
    </row>
    <row r="164">
      <c r="A164" s="409"/>
      <c r="B164" s="405" t="s">
        <v>17</v>
      </c>
      <c r="C164" s="406" t="s">
        <v>1263</v>
      </c>
      <c r="D164" s="406" t="s">
        <v>1266</v>
      </c>
      <c r="E164" s="437" t="s">
        <v>34</v>
      </c>
      <c r="F164" s="406" t="s">
        <v>23</v>
      </c>
      <c r="G164" s="406">
        <v>20.0</v>
      </c>
      <c r="H164" s="405" t="s">
        <v>92</v>
      </c>
      <c r="I164" s="408">
        <v>46105.0</v>
      </c>
      <c r="J164" s="408">
        <v>46119.0</v>
      </c>
      <c r="K164" s="406">
        <v>40.0</v>
      </c>
      <c r="L164" s="438">
        <v>0.0</v>
      </c>
      <c r="M164" s="405">
        <v>40.0</v>
      </c>
      <c r="N164" s="409">
        <f t="shared" si="15"/>
        <v>0</v>
      </c>
      <c r="O164" s="437" t="s">
        <v>1086</v>
      </c>
      <c r="P164" s="205" t="s">
        <v>70</v>
      </c>
      <c r="Q164" s="410"/>
      <c r="R164" s="410"/>
      <c r="S164" s="410"/>
      <c r="T164" s="410"/>
      <c r="U164" s="410"/>
      <c r="V164" s="410"/>
      <c r="W164" s="410"/>
      <c r="X164" s="410"/>
      <c r="Y164" s="410"/>
      <c r="Z164" s="410"/>
    </row>
    <row r="165">
      <c r="A165" s="413"/>
      <c r="B165" s="414" t="s">
        <v>17</v>
      </c>
      <c r="C165" s="56" t="s">
        <v>1267</v>
      </c>
      <c r="D165" s="201" t="s">
        <v>1268</v>
      </c>
      <c r="E165" s="56" t="s">
        <v>35</v>
      </c>
      <c r="F165" s="56" t="s">
        <v>23</v>
      </c>
      <c r="G165" s="56">
        <v>10.0</v>
      </c>
      <c r="H165" s="56" t="s">
        <v>92</v>
      </c>
      <c r="I165" s="415"/>
      <c r="J165" s="415"/>
      <c r="K165" s="56">
        <v>10.0</v>
      </c>
      <c r="L165" s="56">
        <v>0.0</v>
      </c>
      <c r="M165" s="56">
        <v>10.0</v>
      </c>
      <c r="N165" s="56">
        <f t="shared" si="15"/>
        <v>0</v>
      </c>
      <c r="O165" s="201" t="s">
        <v>1147</v>
      </c>
      <c r="P165" s="56" t="s">
        <v>70</v>
      </c>
      <c r="Q165" s="416"/>
      <c r="R165" s="416"/>
      <c r="S165" s="416"/>
      <c r="T165" s="416"/>
      <c r="U165" s="416"/>
      <c r="V165" s="416"/>
      <c r="W165" s="416"/>
      <c r="X165" s="416"/>
      <c r="Y165" s="416"/>
      <c r="Z165" s="416"/>
    </row>
    <row r="166">
      <c r="A166" s="413"/>
      <c r="B166" s="414" t="s">
        <v>17</v>
      </c>
      <c r="C166" s="56" t="s">
        <v>1269</v>
      </c>
      <c r="D166" s="201" t="s">
        <v>1239</v>
      </c>
      <c r="E166" s="56" t="s">
        <v>35</v>
      </c>
      <c r="F166" s="56" t="s">
        <v>20</v>
      </c>
      <c r="G166" s="56">
        <v>8.0</v>
      </c>
      <c r="H166" s="56" t="s">
        <v>92</v>
      </c>
      <c r="I166" s="423"/>
      <c r="J166" s="56"/>
      <c r="K166" s="56">
        <v>8.0</v>
      </c>
      <c r="L166" s="56">
        <v>0.0</v>
      </c>
      <c r="M166" s="56">
        <v>8.0</v>
      </c>
      <c r="N166" s="56">
        <v>0.0</v>
      </c>
      <c r="O166" s="201" t="s">
        <v>1108</v>
      </c>
      <c r="P166" s="56" t="s">
        <v>70</v>
      </c>
      <c r="Q166" s="416"/>
      <c r="R166" s="416"/>
      <c r="S166" s="416"/>
      <c r="T166" s="416"/>
      <c r="U166" s="416"/>
      <c r="V166" s="416"/>
      <c r="W166" s="416"/>
      <c r="X166" s="416"/>
      <c r="Y166" s="416"/>
      <c r="Z166" s="416"/>
    </row>
    <row r="167">
      <c r="A167" s="413"/>
      <c r="B167" s="414" t="s">
        <v>17</v>
      </c>
      <c r="C167" s="56" t="s">
        <v>881</v>
      </c>
      <c r="D167" s="201" t="s">
        <v>1270</v>
      </c>
      <c r="E167" s="56" t="s">
        <v>34</v>
      </c>
      <c r="F167" s="56" t="s">
        <v>19</v>
      </c>
      <c r="G167" s="56">
        <v>20.0</v>
      </c>
      <c r="H167" s="56" t="s">
        <v>92</v>
      </c>
      <c r="I167" s="439">
        <v>45987.0</v>
      </c>
      <c r="J167" s="439">
        <v>46001.0</v>
      </c>
      <c r="K167" s="56">
        <v>40.0</v>
      </c>
      <c r="L167" s="56">
        <v>0.0</v>
      </c>
      <c r="M167" s="56">
        <v>40.0</v>
      </c>
      <c r="N167" s="56">
        <v>0.0</v>
      </c>
      <c r="O167" s="201" t="s">
        <v>1271</v>
      </c>
      <c r="P167" s="56" t="s">
        <v>70</v>
      </c>
      <c r="Q167" s="416"/>
      <c r="R167" s="416"/>
      <c r="S167" s="416"/>
      <c r="T167" s="416"/>
      <c r="U167" s="416"/>
      <c r="V167" s="416"/>
      <c r="W167" s="416"/>
      <c r="X167" s="416"/>
      <c r="Y167" s="416"/>
      <c r="Z167" s="416"/>
    </row>
    <row r="168">
      <c r="A168" s="413"/>
      <c r="B168" s="417" t="s">
        <v>17</v>
      </c>
      <c r="C168" s="418" t="s">
        <v>1272</v>
      </c>
      <c r="D168" s="186" t="s">
        <v>1260</v>
      </c>
      <c r="E168" s="418" t="s">
        <v>35</v>
      </c>
      <c r="F168" s="418" t="s">
        <v>20</v>
      </c>
      <c r="G168" s="418">
        <v>8.0</v>
      </c>
      <c r="H168" s="56" t="s">
        <v>92</v>
      </c>
      <c r="I168" s="426"/>
      <c r="J168" s="426"/>
      <c r="K168" s="418">
        <v>8.0</v>
      </c>
      <c r="L168" s="418">
        <v>0.0</v>
      </c>
      <c r="M168" s="56">
        <v>8.0</v>
      </c>
      <c r="N168" s="418">
        <f>sum(K168,-L170, -M168, )</f>
        <v>0</v>
      </c>
      <c r="O168" s="186" t="s">
        <v>320</v>
      </c>
      <c r="P168" s="56" t="s">
        <v>70</v>
      </c>
      <c r="Q168" s="416"/>
      <c r="R168" s="416"/>
      <c r="S168" s="416"/>
      <c r="T168" s="416"/>
      <c r="U168" s="416"/>
      <c r="V168" s="416"/>
      <c r="W168" s="416"/>
      <c r="X168" s="416"/>
      <c r="Y168" s="416"/>
      <c r="Z168" s="416"/>
    </row>
    <row r="169">
      <c r="A169" s="413"/>
      <c r="B169" s="414" t="s">
        <v>17</v>
      </c>
      <c r="C169" s="56" t="s">
        <v>1273</v>
      </c>
      <c r="D169" s="201" t="s">
        <v>1274</v>
      </c>
      <c r="E169" s="56" t="s">
        <v>35</v>
      </c>
      <c r="F169" s="56" t="s">
        <v>23</v>
      </c>
      <c r="G169" s="56">
        <v>10.0</v>
      </c>
      <c r="H169" s="56" t="s">
        <v>92</v>
      </c>
      <c r="I169" s="415"/>
      <c r="J169" s="415"/>
      <c r="K169" s="56">
        <v>10.0</v>
      </c>
      <c r="L169" s="56">
        <v>0.0</v>
      </c>
      <c r="M169" s="56">
        <v>10.0</v>
      </c>
      <c r="N169" s="56">
        <f t="shared" ref="N169:N170" si="16">K169-L169-M169</f>
        <v>0</v>
      </c>
      <c r="O169" s="201" t="s">
        <v>1147</v>
      </c>
      <c r="P169" s="56" t="s">
        <v>70</v>
      </c>
      <c r="Q169" s="416"/>
      <c r="R169" s="416"/>
      <c r="S169" s="416"/>
      <c r="T169" s="416"/>
      <c r="U169" s="416"/>
      <c r="V169" s="416"/>
      <c r="W169" s="416"/>
      <c r="X169" s="416"/>
      <c r="Y169" s="416"/>
      <c r="Z169" s="416"/>
    </row>
    <row r="170">
      <c r="A170" s="413"/>
      <c r="B170" s="417" t="s">
        <v>17</v>
      </c>
      <c r="C170" s="56" t="s">
        <v>1275</v>
      </c>
      <c r="D170" s="201" t="s">
        <v>1276</v>
      </c>
      <c r="E170" s="418" t="s">
        <v>34</v>
      </c>
      <c r="F170" s="418" t="s">
        <v>21</v>
      </c>
      <c r="G170" s="418">
        <v>30.0</v>
      </c>
      <c r="H170" s="56" t="s">
        <v>92</v>
      </c>
      <c r="I170" s="423">
        <v>45852.0</v>
      </c>
      <c r="J170" s="426">
        <v>45901.0</v>
      </c>
      <c r="K170" s="418">
        <v>65.0</v>
      </c>
      <c r="L170" s="418">
        <v>0.0</v>
      </c>
      <c r="M170" s="56">
        <v>65.0</v>
      </c>
      <c r="N170" s="56">
        <f t="shared" si="16"/>
        <v>0</v>
      </c>
      <c r="O170" s="186" t="s">
        <v>320</v>
      </c>
      <c r="P170" s="56" t="s">
        <v>70</v>
      </c>
      <c r="Q170" s="416"/>
      <c r="R170" s="416"/>
      <c r="S170" s="416"/>
      <c r="T170" s="416"/>
      <c r="U170" s="416"/>
      <c r="V170" s="416"/>
      <c r="W170" s="416"/>
      <c r="X170" s="416"/>
      <c r="Y170" s="416"/>
      <c r="Z170" s="416"/>
    </row>
    <row r="171">
      <c r="A171" s="413"/>
      <c r="B171" s="414" t="s">
        <v>17</v>
      </c>
      <c r="C171" s="56" t="s">
        <v>1277</v>
      </c>
      <c r="D171" s="201" t="s">
        <v>1278</v>
      </c>
      <c r="E171" s="56" t="s">
        <v>35</v>
      </c>
      <c r="F171" s="56" t="s">
        <v>19</v>
      </c>
      <c r="G171" s="56">
        <v>10.0</v>
      </c>
      <c r="H171" s="56" t="s">
        <v>92</v>
      </c>
      <c r="I171" s="423"/>
      <c r="J171" s="56"/>
      <c r="K171" s="56">
        <v>10.0</v>
      </c>
      <c r="L171" s="56">
        <v>0.0</v>
      </c>
      <c r="M171" s="56">
        <v>10.0</v>
      </c>
      <c r="N171" s="56">
        <v>0.0</v>
      </c>
      <c r="O171" s="201" t="s">
        <v>1108</v>
      </c>
      <c r="P171" s="56" t="s">
        <v>70</v>
      </c>
      <c r="Q171" s="416"/>
      <c r="R171" s="416"/>
      <c r="S171" s="416"/>
      <c r="T171" s="416"/>
      <c r="U171" s="416"/>
      <c r="V171" s="416"/>
      <c r="W171" s="416"/>
      <c r="X171" s="416"/>
      <c r="Y171" s="416"/>
      <c r="Z171" s="416"/>
    </row>
    <row r="172">
      <c r="A172" s="413"/>
      <c r="B172" s="414" t="s">
        <v>17</v>
      </c>
      <c r="C172" s="56" t="s">
        <v>1279</v>
      </c>
      <c r="D172" s="201" t="s">
        <v>1280</v>
      </c>
      <c r="E172" s="56" t="s">
        <v>35</v>
      </c>
      <c r="F172" s="56" t="s">
        <v>23</v>
      </c>
      <c r="G172" s="56">
        <v>19.0</v>
      </c>
      <c r="H172" s="56" t="s">
        <v>92</v>
      </c>
      <c r="I172" s="423"/>
      <c r="J172" s="426"/>
      <c r="K172" s="56">
        <v>39.0</v>
      </c>
      <c r="L172" s="56">
        <v>0.0</v>
      </c>
      <c r="M172" s="56">
        <v>39.0</v>
      </c>
      <c r="N172" s="56">
        <f>K172-L172-M172</f>
        <v>0</v>
      </c>
      <c r="O172" s="201" t="s">
        <v>1188</v>
      </c>
      <c r="P172" s="56" t="s">
        <v>70</v>
      </c>
      <c r="Q172" s="416"/>
      <c r="R172" s="416"/>
      <c r="S172" s="416"/>
      <c r="T172" s="416"/>
      <c r="U172" s="416"/>
      <c r="V172" s="416"/>
      <c r="W172" s="416"/>
      <c r="X172" s="416"/>
      <c r="Y172" s="416"/>
      <c r="Z172" s="416"/>
    </row>
    <row r="173">
      <c r="A173" s="413"/>
      <c r="B173" s="414" t="s">
        <v>17</v>
      </c>
      <c r="C173" s="56" t="s">
        <v>1279</v>
      </c>
      <c r="D173" s="201" t="s">
        <v>1281</v>
      </c>
      <c r="E173" s="56" t="s">
        <v>34</v>
      </c>
      <c r="F173" s="56" t="s">
        <v>23</v>
      </c>
      <c r="G173" s="56">
        <v>20.0</v>
      </c>
      <c r="H173" s="56" t="s">
        <v>92</v>
      </c>
      <c r="I173" s="439">
        <v>45953.0</v>
      </c>
      <c r="J173" s="439">
        <v>45972.0</v>
      </c>
      <c r="K173" s="56">
        <v>40.0</v>
      </c>
      <c r="L173" s="56">
        <v>0.0</v>
      </c>
      <c r="M173" s="56">
        <v>40.0</v>
      </c>
      <c r="N173" s="56">
        <v>0.0</v>
      </c>
      <c r="O173" s="201" t="s">
        <v>1282</v>
      </c>
      <c r="P173" s="56" t="s">
        <v>70</v>
      </c>
      <c r="Q173" s="416"/>
      <c r="R173" s="416"/>
      <c r="S173" s="416"/>
      <c r="T173" s="416"/>
      <c r="U173" s="416"/>
      <c r="V173" s="416"/>
      <c r="W173" s="416"/>
      <c r="X173" s="416"/>
      <c r="Y173" s="416"/>
      <c r="Z173" s="416"/>
    </row>
    <row r="174">
      <c r="A174" s="413"/>
      <c r="B174" s="414" t="s">
        <v>17</v>
      </c>
      <c r="C174" s="56" t="s">
        <v>1279</v>
      </c>
      <c r="D174" s="201" t="s">
        <v>1283</v>
      </c>
      <c r="E174" s="56" t="s">
        <v>35</v>
      </c>
      <c r="F174" s="56" t="s">
        <v>23</v>
      </c>
      <c r="G174" s="56">
        <v>10.0</v>
      </c>
      <c r="H174" s="56" t="s">
        <v>92</v>
      </c>
      <c r="I174" s="423"/>
      <c r="J174" s="426"/>
      <c r="K174" s="56">
        <v>10.0</v>
      </c>
      <c r="L174" s="56">
        <v>0.0</v>
      </c>
      <c r="M174" s="56">
        <v>10.0</v>
      </c>
      <c r="N174" s="56">
        <f>K174-L174-M174</f>
        <v>0</v>
      </c>
      <c r="O174" s="201" t="s">
        <v>1188</v>
      </c>
      <c r="P174" s="56" t="s">
        <v>70</v>
      </c>
      <c r="Q174" s="416"/>
      <c r="R174" s="416"/>
      <c r="S174" s="416"/>
      <c r="T174" s="416"/>
      <c r="U174" s="416"/>
      <c r="V174" s="416"/>
      <c r="W174" s="416"/>
      <c r="X174" s="416"/>
      <c r="Y174" s="416"/>
      <c r="Z174" s="416"/>
    </row>
    <row r="175">
      <c r="A175" s="413"/>
      <c r="B175" s="414" t="s">
        <v>17</v>
      </c>
      <c r="C175" s="56" t="s">
        <v>1284</v>
      </c>
      <c r="D175" s="201" t="s">
        <v>1285</v>
      </c>
      <c r="E175" s="56" t="s">
        <v>34</v>
      </c>
      <c r="F175" s="56" t="s">
        <v>23</v>
      </c>
      <c r="G175" s="56">
        <v>20.0</v>
      </c>
      <c r="H175" s="56" t="s">
        <v>92</v>
      </c>
      <c r="I175" s="439">
        <v>45996.0</v>
      </c>
      <c r="J175" s="439">
        <v>46010.0</v>
      </c>
      <c r="K175" s="56">
        <v>40.0</v>
      </c>
      <c r="L175" s="56">
        <v>0.0</v>
      </c>
      <c r="M175" s="56">
        <v>40.0</v>
      </c>
      <c r="N175" s="56">
        <v>0.0</v>
      </c>
      <c r="O175" s="201" t="s">
        <v>1286</v>
      </c>
      <c r="P175" s="56" t="s">
        <v>70</v>
      </c>
      <c r="Q175" s="416"/>
      <c r="R175" s="416"/>
      <c r="S175" s="416"/>
      <c r="T175" s="416"/>
      <c r="U175" s="416"/>
      <c r="V175" s="416"/>
      <c r="W175" s="416"/>
      <c r="X175" s="416"/>
      <c r="Y175" s="416"/>
      <c r="Z175" s="416"/>
    </row>
    <row r="176">
      <c r="A176" s="413"/>
      <c r="B176" s="414" t="s">
        <v>18</v>
      </c>
      <c r="C176" s="56" t="s">
        <v>1287</v>
      </c>
      <c r="D176" s="201" t="s">
        <v>1288</v>
      </c>
      <c r="E176" s="56" t="s">
        <v>35</v>
      </c>
      <c r="F176" s="56" t="s">
        <v>19</v>
      </c>
      <c r="G176" s="56">
        <v>8.0</v>
      </c>
      <c r="H176" s="56" t="s">
        <v>92</v>
      </c>
      <c r="I176" s="423"/>
      <c r="J176" s="56"/>
      <c r="K176" s="56">
        <v>8.0</v>
      </c>
      <c r="L176" s="56">
        <v>0.0</v>
      </c>
      <c r="M176" s="56">
        <v>8.0</v>
      </c>
      <c r="N176" s="56">
        <v>0.0</v>
      </c>
      <c r="O176" s="201" t="s">
        <v>1108</v>
      </c>
      <c r="P176" s="56" t="s">
        <v>70</v>
      </c>
      <c r="Q176" s="416"/>
      <c r="R176" s="416"/>
      <c r="S176" s="416"/>
      <c r="T176" s="416"/>
      <c r="U176" s="416"/>
      <c r="V176" s="416"/>
      <c r="W176" s="416"/>
      <c r="X176" s="416"/>
      <c r="Y176" s="416"/>
      <c r="Z176" s="416"/>
    </row>
    <row r="177" ht="36.75" customHeight="1">
      <c r="A177" s="186"/>
      <c r="B177" s="414" t="s">
        <v>18</v>
      </c>
      <c r="C177" s="56" t="s">
        <v>1289</v>
      </c>
      <c r="D177" s="201" t="s">
        <v>1290</v>
      </c>
      <c r="E177" s="56" t="s">
        <v>35</v>
      </c>
      <c r="F177" s="56" t="s">
        <v>19</v>
      </c>
      <c r="G177" s="56">
        <v>8.0</v>
      </c>
      <c r="H177" s="56" t="s">
        <v>92</v>
      </c>
      <c r="I177" s="439"/>
      <c r="J177" s="439"/>
      <c r="K177" s="56">
        <v>8.0</v>
      </c>
      <c r="L177" s="56">
        <v>0.0</v>
      </c>
      <c r="M177" s="56">
        <v>8.0</v>
      </c>
      <c r="N177" s="56">
        <v>0.0</v>
      </c>
      <c r="O177" s="201" t="s">
        <v>1291</v>
      </c>
      <c r="P177" s="56" t="s">
        <v>70</v>
      </c>
      <c r="Q177" s="416"/>
      <c r="R177" s="416"/>
      <c r="S177" s="416"/>
      <c r="T177" s="416"/>
      <c r="U177" s="416"/>
      <c r="V177" s="416"/>
      <c r="W177" s="416"/>
      <c r="X177" s="416"/>
      <c r="Y177" s="416"/>
      <c r="Z177" s="416"/>
    </row>
    <row r="178" ht="36.75" customHeight="1">
      <c r="A178" s="186"/>
      <c r="B178" s="181" t="s">
        <v>18</v>
      </c>
      <c r="C178" s="266" t="s">
        <v>1292</v>
      </c>
      <c r="D178" s="266" t="s">
        <v>1293</v>
      </c>
      <c r="E178" s="181" t="s">
        <v>35</v>
      </c>
      <c r="F178" s="266" t="s">
        <v>19</v>
      </c>
      <c r="G178" s="266">
        <v>8.0</v>
      </c>
      <c r="H178" s="56" t="s">
        <v>92</v>
      </c>
      <c r="I178" s="440"/>
      <c r="J178" s="440"/>
      <c r="K178" s="266">
        <v>8.0</v>
      </c>
      <c r="L178" s="264">
        <v>0.0</v>
      </c>
      <c r="M178" s="139">
        <v>8.0</v>
      </c>
      <c r="N178" s="139">
        <v>0.0</v>
      </c>
      <c r="O178" s="141" t="s">
        <v>1086</v>
      </c>
      <c r="P178" s="139" t="s">
        <v>70</v>
      </c>
      <c r="Q178" s="416"/>
      <c r="R178" s="416"/>
      <c r="S178" s="416"/>
      <c r="T178" s="416"/>
      <c r="U178" s="416"/>
      <c r="V178" s="416"/>
      <c r="W178" s="416"/>
      <c r="X178" s="416"/>
      <c r="Y178" s="416"/>
      <c r="Z178" s="416"/>
    </row>
    <row r="179">
      <c r="A179" s="413"/>
      <c r="B179" s="414" t="s">
        <v>18</v>
      </c>
      <c r="C179" s="56" t="s">
        <v>1294</v>
      </c>
      <c r="D179" s="201" t="s">
        <v>1295</v>
      </c>
      <c r="E179" s="56" t="s">
        <v>35</v>
      </c>
      <c r="F179" s="56" t="s">
        <v>23</v>
      </c>
      <c r="G179" s="56">
        <v>19.0</v>
      </c>
      <c r="H179" s="56" t="s">
        <v>92</v>
      </c>
      <c r="I179" s="439"/>
      <c r="J179" s="439"/>
      <c r="K179" s="56">
        <v>39.0</v>
      </c>
      <c r="L179" s="56">
        <v>0.0</v>
      </c>
      <c r="M179" s="56">
        <v>39.0</v>
      </c>
      <c r="N179" s="56">
        <v>0.0</v>
      </c>
      <c r="O179" s="201" t="s">
        <v>1291</v>
      </c>
      <c r="P179" s="56" t="s">
        <v>70</v>
      </c>
      <c r="Q179" s="416"/>
      <c r="R179" s="416"/>
      <c r="S179" s="416"/>
      <c r="T179" s="416"/>
      <c r="U179" s="416"/>
      <c r="V179" s="416"/>
      <c r="W179" s="416"/>
      <c r="X179" s="416"/>
      <c r="Y179" s="416"/>
      <c r="Z179" s="416"/>
    </row>
    <row r="180" ht="37.5" customHeight="1">
      <c r="A180" s="409"/>
      <c r="B180" s="441" t="s">
        <v>18</v>
      </c>
      <c r="C180" s="442" t="s">
        <v>1296</v>
      </c>
      <c r="D180" s="442" t="s">
        <v>1297</v>
      </c>
      <c r="E180" s="441" t="s">
        <v>35</v>
      </c>
      <c r="F180" s="442" t="s">
        <v>19</v>
      </c>
      <c r="G180" s="442">
        <v>8.0</v>
      </c>
      <c r="H180" s="60" t="s">
        <v>92</v>
      </c>
      <c r="I180" s="443"/>
      <c r="J180" s="443"/>
      <c r="K180" s="442">
        <v>8.0</v>
      </c>
      <c r="L180" s="442">
        <v>0.0</v>
      </c>
      <c r="M180" s="139">
        <v>8.0</v>
      </c>
      <c r="N180" s="201">
        <v>0.0</v>
      </c>
      <c r="O180" s="405" t="s">
        <v>1160</v>
      </c>
      <c r="P180" s="139" t="s">
        <v>70</v>
      </c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ht="36.75" customHeight="1">
      <c r="A181" s="186"/>
      <c r="B181" s="181" t="s">
        <v>18</v>
      </c>
      <c r="C181" s="266" t="s">
        <v>1298</v>
      </c>
      <c r="D181" s="266" t="s">
        <v>1299</v>
      </c>
      <c r="E181" s="181" t="s">
        <v>35</v>
      </c>
      <c r="F181" s="266" t="s">
        <v>19</v>
      </c>
      <c r="G181" s="266">
        <v>10.0</v>
      </c>
      <c r="H181" s="56" t="s">
        <v>92</v>
      </c>
      <c r="I181" s="440"/>
      <c r="J181" s="440"/>
      <c r="K181" s="266">
        <v>10.0</v>
      </c>
      <c r="L181" s="264">
        <v>0.0</v>
      </c>
      <c r="M181" s="139">
        <v>10.0</v>
      </c>
      <c r="N181" s="142">
        <f>K181-L181-M181</f>
        <v>0</v>
      </c>
      <c r="O181" s="141" t="s">
        <v>1086</v>
      </c>
      <c r="P181" s="139" t="s">
        <v>70</v>
      </c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>
      <c r="A182" s="186"/>
      <c r="B182" s="414" t="s">
        <v>18</v>
      </c>
      <c r="C182" s="56" t="s">
        <v>1298</v>
      </c>
      <c r="D182" s="201" t="s">
        <v>1290</v>
      </c>
      <c r="E182" s="56" t="s">
        <v>35</v>
      </c>
      <c r="F182" s="56" t="s">
        <v>19</v>
      </c>
      <c r="G182" s="56">
        <v>8.0</v>
      </c>
      <c r="H182" s="56" t="s">
        <v>92</v>
      </c>
      <c r="I182" s="439"/>
      <c r="J182" s="439"/>
      <c r="K182" s="56">
        <v>8.0</v>
      </c>
      <c r="L182" s="56">
        <v>0.0</v>
      </c>
      <c r="M182" s="56">
        <v>8.0</v>
      </c>
      <c r="N182" s="56">
        <v>0.0</v>
      </c>
      <c r="O182" s="201" t="s">
        <v>1291</v>
      </c>
      <c r="P182" s="56" t="s">
        <v>70</v>
      </c>
      <c r="Q182" s="416"/>
      <c r="R182" s="416"/>
      <c r="S182" s="416"/>
      <c r="T182" s="416"/>
      <c r="U182" s="416"/>
      <c r="V182" s="416"/>
      <c r="W182" s="416"/>
      <c r="X182" s="416"/>
      <c r="Y182" s="416"/>
      <c r="Z182" s="416"/>
    </row>
    <row r="183" ht="30.75" customHeight="1">
      <c r="A183" s="409"/>
      <c r="B183" s="444" t="s">
        <v>18</v>
      </c>
      <c r="C183" s="60" t="s">
        <v>1300</v>
      </c>
      <c r="D183" s="409" t="s">
        <v>1301</v>
      </c>
      <c r="E183" s="60" t="s">
        <v>34</v>
      </c>
      <c r="F183" s="60" t="s">
        <v>23</v>
      </c>
      <c r="G183" s="60">
        <v>25.0</v>
      </c>
      <c r="H183" s="60" t="s">
        <v>92</v>
      </c>
      <c r="I183" s="445">
        <v>46083.0</v>
      </c>
      <c r="J183" s="445">
        <v>46112.0</v>
      </c>
      <c r="K183" s="60">
        <v>50.0</v>
      </c>
      <c r="L183" s="60">
        <v>0.0</v>
      </c>
      <c r="M183" s="60">
        <v>50.0</v>
      </c>
      <c r="N183" s="409">
        <f t="shared" ref="N183:N184" si="17">K183-L183-M183</f>
        <v>0</v>
      </c>
      <c r="O183" s="409" t="s">
        <v>1192</v>
      </c>
      <c r="P183" s="60" t="s">
        <v>70</v>
      </c>
      <c r="Q183" s="416"/>
      <c r="R183" s="416"/>
      <c r="S183" s="416"/>
      <c r="T183" s="416"/>
      <c r="U183" s="416"/>
      <c r="V183" s="416"/>
      <c r="W183" s="416"/>
      <c r="X183" s="416"/>
      <c r="Y183" s="416"/>
      <c r="Z183" s="416"/>
    </row>
    <row r="184" ht="51.75" customHeight="1">
      <c r="A184" s="413"/>
      <c r="B184" s="414" t="s">
        <v>18</v>
      </c>
      <c r="C184" s="266" t="s">
        <v>1302</v>
      </c>
      <c r="D184" s="266" t="s">
        <v>1303</v>
      </c>
      <c r="E184" s="181" t="s">
        <v>35</v>
      </c>
      <c r="F184" s="266" t="s">
        <v>20</v>
      </c>
      <c r="G184" s="266">
        <v>8.0</v>
      </c>
      <c r="H184" s="56" t="s">
        <v>92</v>
      </c>
      <c r="I184" s="440"/>
      <c r="J184" s="440"/>
      <c r="K184" s="266">
        <v>8.0</v>
      </c>
      <c r="L184" s="264">
        <v>0.0</v>
      </c>
      <c r="M184" s="139">
        <v>8.0</v>
      </c>
      <c r="N184" s="142">
        <f t="shared" si="17"/>
        <v>0</v>
      </c>
      <c r="O184" s="141" t="s">
        <v>1086</v>
      </c>
      <c r="P184" s="139" t="s">
        <v>70</v>
      </c>
      <c r="Q184" s="155"/>
      <c r="R184" s="416"/>
      <c r="S184" s="416"/>
      <c r="T184" s="416"/>
      <c r="U184" s="416"/>
      <c r="V184" s="416"/>
      <c r="W184" s="416"/>
      <c r="X184" s="416"/>
      <c r="Y184" s="416"/>
      <c r="Z184" s="416"/>
    </row>
    <row r="185">
      <c r="A185" s="413"/>
      <c r="B185" s="414" t="s">
        <v>18</v>
      </c>
      <c r="C185" s="56" t="s">
        <v>1302</v>
      </c>
      <c r="D185" s="201" t="s">
        <v>1290</v>
      </c>
      <c r="E185" s="56" t="s">
        <v>35</v>
      </c>
      <c r="F185" s="56" t="s">
        <v>19</v>
      </c>
      <c r="G185" s="56">
        <v>8.0</v>
      </c>
      <c r="H185" s="56" t="s">
        <v>92</v>
      </c>
      <c r="I185" s="439"/>
      <c r="J185" s="439"/>
      <c r="K185" s="56">
        <v>8.0</v>
      </c>
      <c r="L185" s="56">
        <v>0.0</v>
      </c>
      <c r="M185" s="56">
        <v>8.0</v>
      </c>
      <c r="N185" s="56">
        <v>0.0</v>
      </c>
      <c r="O185" s="201" t="s">
        <v>1291</v>
      </c>
      <c r="P185" s="56" t="s">
        <v>70</v>
      </c>
      <c r="Q185" s="416"/>
      <c r="R185" s="416"/>
      <c r="S185" s="416"/>
      <c r="T185" s="416"/>
      <c r="U185" s="416"/>
      <c r="V185" s="416"/>
      <c r="W185" s="416"/>
      <c r="X185" s="416"/>
      <c r="Y185" s="416"/>
      <c r="Z185" s="416"/>
    </row>
    <row r="186">
      <c r="A186" s="413"/>
      <c r="B186" s="414" t="s">
        <v>18</v>
      </c>
      <c r="C186" s="56" t="s">
        <v>1302</v>
      </c>
      <c r="D186" s="201" t="s">
        <v>1304</v>
      </c>
      <c r="E186" s="56" t="s">
        <v>35</v>
      </c>
      <c r="F186" s="56" t="s">
        <v>19</v>
      </c>
      <c r="G186" s="56">
        <v>10.0</v>
      </c>
      <c r="H186" s="56" t="s">
        <v>92</v>
      </c>
      <c r="I186" s="439"/>
      <c r="J186" s="439"/>
      <c r="K186" s="56">
        <v>10.0</v>
      </c>
      <c r="L186" s="56">
        <v>0.0</v>
      </c>
      <c r="M186" s="56">
        <v>10.0</v>
      </c>
      <c r="N186" s="56">
        <v>0.0</v>
      </c>
      <c r="O186" s="201" t="s">
        <v>1305</v>
      </c>
      <c r="P186" s="56" t="s">
        <v>70</v>
      </c>
      <c r="Q186" s="416"/>
      <c r="R186" s="416"/>
      <c r="S186" s="416"/>
      <c r="T186" s="416"/>
      <c r="U186" s="416"/>
      <c r="V186" s="416"/>
      <c r="W186" s="416"/>
      <c r="X186" s="416"/>
      <c r="Y186" s="416"/>
      <c r="Z186" s="416"/>
    </row>
    <row r="187" ht="36.75" customHeight="1">
      <c r="A187" s="186"/>
      <c r="B187" s="181" t="s">
        <v>18</v>
      </c>
      <c r="C187" s="266" t="s">
        <v>1306</v>
      </c>
      <c r="D187" s="266" t="s">
        <v>1307</v>
      </c>
      <c r="E187" s="181" t="s">
        <v>35</v>
      </c>
      <c r="F187" s="266" t="s">
        <v>19</v>
      </c>
      <c r="G187" s="266">
        <v>10.0</v>
      </c>
      <c r="H187" s="56" t="s">
        <v>92</v>
      </c>
      <c r="I187" s="440"/>
      <c r="J187" s="440"/>
      <c r="K187" s="266">
        <v>10.0</v>
      </c>
      <c r="L187" s="264">
        <v>0.0</v>
      </c>
      <c r="M187" s="139">
        <v>10.0</v>
      </c>
      <c r="N187" s="142">
        <f t="shared" ref="N187:N188" si="18">K187-L187-M187</f>
        <v>0</v>
      </c>
      <c r="O187" s="141" t="s">
        <v>1086</v>
      </c>
      <c r="P187" s="139" t="s">
        <v>70</v>
      </c>
      <c r="Q187" s="416"/>
      <c r="R187" s="416"/>
      <c r="S187" s="416"/>
      <c r="T187" s="416"/>
      <c r="U187" s="416"/>
      <c r="V187" s="416"/>
      <c r="W187" s="416"/>
      <c r="X187" s="416"/>
      <c r="Y187" s="416"/>
      <c r="Z187" s="416"/>
    </row>
    <row r="188" ht="36.75" customHeight="1">
      <c r="A188" s="186"/>
      <c r="B188" s="181" t="s">
        <v>18</v>
      </c>
      <c r="C188" s="266" t="s">
        <v>1306</v>
      </c>
      <c r="D188" s="266" t="s">
        <v>1308</v>
      </c>
      <c r="E188" s="181" t="s">
        <v>35</v>
      </c>
      <c r="F188" s="266" t="s">
        <v>19</v>
      </c>
      <c r="G188" s="266">
        <v>10.0</v>
      </c>
      <c r="H188" s="56" t="s">
        <v>92</v>
      </c>
      <c r="I188" s="440"/>
      <c r="J188" s="440"/>
      <c r="K188" s="266">
        <v>10.0</v>
      </c>
      <c r="L188" s="264">
        <v>0.0</v>
      </c>
      <c r="M188" s="139">
        <v>10.0</v>
      </c>
      <c r="N188" s="142">
        <f t="shared" si="18"/>
        <v>0</v>
      </c>
      <c r="O188" s="141" t="s">
        <v>1086</v>
      </c>
      <c r="P188" s="139" t="s">
        <v>70</v>
      </c>
      <c r="Q188" s="416"/>
      <c r="R188" s="416"/>
      <c r="S188" s="416"/>
      <c r="T188" s="416"/>
      <c r="U188" s="416"/>
      <c r="V188" s="416"/>
      <c r="W188" s="416"/>
      <c r="X188" s="416"/>
      <c r="Y188" s="416"/>
      <c r="Z188" s="416"/>
    </row>
    <row r="189" ht="28.5" customHeight="1">
      <c r="A189" s="186"/>
      <c r="B189" s="181" t="s">
        <v>18</v>
      </c>
      <c r="C189" s="266" t="s">
        <v>1309</v>
      </c>
      <c r="D189" s="266" t="s">
        <v>1310</v>
      </c>
      <c r="E189" s="181" t="s">
        <v>34</v>
      </c>
      <c r="F189" s="266" t="s">
        <v>23</v>
      </c>
      <c r="G189" s="266">
        <v>25.0</v>
      </c>
      <c r="H189" s="56" t="s">
        <v>92</v>
      </c>
      <c r="I189" s="446">
        <v>46083.0</v>
      </c>
      <c r="J189" s="446">
        <v>46112.0</v>
      </c>
      <c r="K189" s="266">
        <v>50.0</v>
      </c>
      <c r="L189" s="266">
        <v>0.0</v>
      </c>
      <c r="M189" s="139">
        <v>50.0</v>
      </c>
      <c r="N189" s="139">
        <v>0.0</v>
      </c>
      <c r="O189" s="181" t="s">
        <v>1311</v>
      </c>
      <c r="P189" s="139" t="s">
        <v>70</v>
      </c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ht="37.5" customHeight="1">
      <c r="A190" s="409"/>
      <c r="B190" s="441" t="s">
        <v>18</v>
      </c>
      <c r="C190" s="442" t="s">
        <v>1309</v>
      </c>
      <c r="D190" s="442" t="s">
        <v>1312</v>
      </c>
      <c r="E190" s="441" t="s">
        <v>35</v>
      </c>
      <c r="F190" s="442" t="s">
        <v>23</v>
      </c>
      <c r="G190" s="442">
        <v>8.0</v>
      </c>
      <c r="H190" s="60" t="s">
        <v>92</v>
      </c>
      <c r="I190" s="443"/>
      <c r="J190" s="443"/>
      <c r="K190" s="442">
        <v>8.0</v>
      </c>
      <c r="L190" s="442">
        <v>0.0</v>
      </c>
      <c r="M190" s="441">
        <v>8.0</v>
      </c>
      <c r="N190" s="409">
        <v>0.0</v>
      </c>
      <c r="O190" s="447" t="s">
        <v>1160</v>
      </c>
      <c r="P190" s="441" t="s">
        <v>70</v>
      </c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ht="37.5" customHeight="1">
      <c r="A191" s="409"/>
      <c r="B191" s="441" t="s">
        <v>18</v>
      </c>
      <c r="C191" s="442" t="s">
        <v>1313</v>
      </c>
      <c r="D191" s="442" t="s">
        <v>1314</v>
      </c>
      <c r="E191" s="441" t="s">
        <v>34</v>
      </c>
      <c r="F191" s="442" t="s">
        <v>23</v>
      </c>
      <c r="G191" s="442">
        <v>25.0</v>
      </c>
      <c r="H191" s="60" t="s">
        <v>92</v>
      </c>
      <c r="I191" s="443">
        <v>46083.0</v>
      </c>
      <c r="J191" s="443">
        <v>46112.0</v>
      </c>
      <c r="K191" s="442">
        <v>50.0</v>
      </c>
      <c r="L191" s="442">
        <v>0.0</v>
      </c>
      <c r="M191" s="441">
        <v>50.0</v>
      </c>
      <c r="N191" s="409">
        <f>K191-L191-M191</f>
        <v>0</v>
      </c>
      <c r="O191" s="441" t="s">
        <v>1192</v>
      </c>
      <c r="P191" s="441" t="s">
        <v>70</v>
      </c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ht="37.5" customHeight="1">
      <c r="A192" s="409"/>
      <c r="B192" s="441" t="s">
        <v>18</v>
      </c>
      <c r="C192" s="442" t="s">
        <v>219</v>
      </c>
      <c r="D192" s="442" t="s">
        <v>1312</v>
      </c>
      <c r="E192" s="441" t="s">
        <v>35</v>
      </c>
      <c r="F192" s="442" t="s">
        <v>23</v>
      </c>
      <c r="G192" s="442">
        <v>8.0</v>
      </c>
      <c r="H192" s="60" t="s">
        <v>92</v>
      </c>
      <c r="I192" s="443"/>
      <c r="J192" s="443"/>
      <c r="K192" s="442">
        <v>8.0</v>
      </c>
      <c r="L192" s="442">
        <v>0.0</v>
      </c>
      <c r="M192" s="441">
        <v>8.0</v>
      </c>
      <c r="N192" s="409">
        <v>0.0</v>
      </c>
      <c r="O192" s="405" t="s">
        <v>1160</v>
      </c>
      <c r="P192" s="441" t="s">
        <v>70</v>
      </c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>
      <c r="A193" s="413"/>
      <c r="B193" s="414" t="s">
        <v>18</v>
      </c>
      <c r="C193" s="60" t="s">
        <v>1315</v>
      </c>
      <c r="D193" s="409" t="s">
        <v>1316</v>
      </c>
      <c r="E193" s="60" t="s">
        <v>35</v>
      </c>
      <c r="F193" s="60" t="s">
        <v>20</v>
      </c>
      <c r="G193" s="60">
        <v>8.0</v>
      </c>
      <c r="H193" s="60" t="s">
        <v>92</v>
      </c>
      <c r="I193" s="439"/>
      <c r="J193" s="439"/>
      <c r="K193" s="60">
        <v>8.0</v>
      </c>
      <c r="L193" s="60">
        <v>0.0</v>
      </c>
      <c r="M193" s="60">
        <v>8.0</v>
      </c>
      <c r="N193" s="60">
        <v>0.0</v>
      </c>
      <c r="O193" s="409" t="s">
        <v>1291</v>
      </c>
      <c r="P193" s="60" t="s">
        <v>70</v>
      </c>
      <c r="Q193" s="416"/>
      <c r="R193" s="416"/>
      <c r="S193" s="416"/>
      <c r="T193" s="416"/>
      <c r="U193" s="416"/>
      <c r="V193" s="416"/>
      <c r="W193" s="416"/>
      <c r="X193" s="416"/>
      <c r="Y193" s="416"/>
      <c r="Z193" s="416"/>
    </row>
    <row r="194" ht="37.5" customHeight="1">
      <c r="A194" s="409"/>
      <c r="B194" s="441" t="s">
        <v>18</v>
      </c>
      <c r="C194" s="442" t="s">
        <v>1315</v>
      </c>
      <c r="D194" s="442" t="s">
        <v>1312</v>
      </c>
      <c r="E194" s="441" t="s">
        <v>35</v>
      </c>
      <c r="F194" s="442" t="s">
        <v>23</v>
      </c>
      <c r="G194" s="442">
        <v>8.0</v>
      </c>
      <c r="H194" s="60" t="s">
        <v>92</v>
      </c>
      <c r="I194" s="443"/>
      <c r="J194" s="443"/>
      <c r="K194" s="442">
        <v>8.0</v>
      </c>
      <c r="L194" s="442">
        <v>0.0</v>
      </c>
      <c r="M194" s="441">
        <v>8.0</v>
      </c>
      <c r="N194" s="409">
        <v>0.0</v>
      </c>
      <c r="O194" s="405" t="s">
        <v>1160</v>
      </c>
      <c r="P194" s="441" t="s">
        <v>70</v>
      </c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ht="42.0" customHeight="1">
      <c r="A195" s="409"/>
      <c r="B195" s="441" t="s">
        <v>18</v>
      </c>
      <c r="C195" s="442" t="s">
        <v>1317</v>
      </c>
      <c r="D195" s="442" t="s">
        <v>1318</v>
      </c>
      <c r="E195" s="441" t="s">
        <v>35</v>
      </c>
      <c r="F195" s="442" t="s">
        <v>23</v>
      </c>
      <c r="G195" s="442">
        <v>19.0</v>
      </c>
      <c r="H195" s="60" t="s">
        <v>92</v>
      </c>
      <c r="I195" s="443"/>
      <c r="J195" s="443"/>
      <c r="K195" s="442">
        <v>39.0</v>
      </c>
      <c r="L195" s="442">
        <v>0.0</v>
      </c>
      <c r="M195" s="139">
        <v>39.0</v>
      </c>
      <c r="N195" s="201">
        <v>0.0</v>
      </c>
      <c r="O195" s="405" t="s">
        <v>1160</v>
      </c>
      <c r="P195" s="441" t="s">
        <v>70</v>
      </c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ht="42.0" customHeight="1">
      <c r="A196" s="409"/>
      <c r="B196" s="441" t="s">
        <v>18</v>
      </c>
      <c r="C196" s="442" t="s">
        <v>1319</v>
      </c>
      <c r="D196" s="442" t="s">
        <v>1320</v>
      </c>
      <c r="E196" s="441" t="s">
        <v>35</v>
      </c>
      <c r="F196" s="442" t="s">
        <v>22</v>
      </c>
      <c r="G196" s="442">
        <v>19.0</v>
      </c>
      <c r="H196" s="60" t="s">
        <v>92</v>
      </c>
      <c r="I196" s="443"/>
      <c r="J196" s="443"/>
      <c r="K196" s="442">
        <v>39.0</v>
      </c>
      <c r="L196" s="442">
        <v>0.0</v>
      </c>
      <c r="M196" s="139">
        <v>39.0</v>
      </c>
      <c r="N196" s="201">
        <v>0.0</v>
      </c>
      <c r="O196" s="405" t="s">
        <v>1160</v>
      </c>
      <c r="P196" s="441" t="s">
        <v>70</v>
      </c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>
      <c r="A197" s="413"/>
      <c r="B197" s="414" t="s">
        <v>18</v>
      </c>
      <c r="C197" s="56" t="s">
        <v>1321</v>
      </c>
      <c r="D197" s="201" t="s">
        <v>1322</v>
      </c>
      <c r="E197" s="56" t="s">
        <v>35</v>
      </c>
      <c r="F197" s="56" t="s">
        <v>20</v>
      </c>
      <c r="G197" s="56">
        <v>8.0</v>
      </c>
      <c r="H197" s="56" t="s">
        <v>92</v>
      </c>
      <c r="I197" s="439"/>
      <c r="J197" s="439"/>
      <c r="K197" s="56">
        <v>8.0</v>
      </c>
      <c r="L197" s="56">
        <v>0.0</v>
      </c>
      <c r="M197" s="56">
        <v>8.0</v>
      </c>
      <c r="N197" s="56">
        <v>0.0</v>
      </c>
      <c r="O197" s="201" t="s">
        <v>1323</v>
      </c>
      <c r="P197" s="56" t="s">
        <v>70</v>
      </c>
      <c r="Q197" s="416"/>
      <c r="R197" s="416"/>
      <c r="S197" s="416"/>
      <c r="T197" s="416"/>
      <c r="U197" s="416"/>
      <c r="V197" s="416"/>
      <c r="W197" s="416"/>
      <c r="X197" s="416"/>
      <c r="Y197" s="416"/>
      <c r="Z197" s="416"/>
    </row>
    <row r="198" ht="42.0" customHeight="1">
      <c r="A198" s="409"/>
      <c r="B198" s="441" t="s">
        <v>18</v>
      </c>
      <c r="C198" s="442" t="s">
        <v>1324</v>
      </c>
      <c r="D198" s="442" t="s">
        <v>1325</v>
      </c>
      <c r="E198" s="441" t="s">
        <v>35</v>
      </c>
      <c r="F198" s="442" t="s">
        <v>22</v>
      </c>
      <c r="G198" s="442">
        <v>19.0</v>
      </c>
      <c r="H198" s="60" t="s">
        <v>92</v>
      </c>
      <c r="I198" s="443"/>
      <c r="J198" s="443"/>
      <c r="K198" s="442">
        <v>39.0</v>
      </c>
      <c r="L198" s="442">
        <v>0.0</v>
      </c>
      <c r="M198" s="441">
        <v>39.0</v>
      </c>
      <c r="N198" s="409">
        <v>0.0</v>
      </c>
      <c r="O198" s="405" t="s">
        <v>1160</v>
      </c>
      <c r="P198" s="441" t="s">
        <v>70</v>
      </c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ht="42.0" customHeight="1">
      <c r="A199" s="409"/>
      <c r="B199" s="441" t="s">
        <v>18</v>
      </c>
      <c r="C199" s="442" t="s">
        <v>1324</v>
      </c>
      <c r="D199" s="442" t="s">
        <v>1326</v>
      </c>
      <c r="E199" s="441" t="s">
        <v>35</v>
      </c>
      <c r="F199" s="442" t="s">
        <v>22</v>
      </c>
      <c r="G199" s="442">
        <v>10.0</v>
      </c>
      <c r="H199" s="60" t="s">
        <v>92</v>
      </c>
      <c r="I199" s="443"/>
      <c r="J199" s="443"/>
      <c r="K199" s="442">
        <v>10.0</v>
      </c>
      <c r="L199" s="442">
        <v>0.0</v>
      </c>
      <c r="M199" s="139">
        <v>10.0</v>
      </c>
      <c r="N199" s="201">
        <v>0.0</v>
      </c>
      <c r="O199" s="405" t="s">
        <v>1160</v>
      </c>
      <c r="P199" s="441" t="s">
        <v>70</v>
      </c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ht="37.5" customHeight="1">
      <c r="A200" s="409"/>
      <c r="B200" s="441" t="s">
        <v>18</v>
      </c>
      <c r="C200" s="442" t="s">
        <v>1327</v>
      </c>
      <c r="D200" s="442" t="s">
        <v>1312</v>
      </c>
      <c r="E200" s="441" t="s">
        <v>35</v>
      </c>
      <c r="F200" s="442" t="s">
        <v>23</v>
      </c>
      <c r="G200" s="442">
        <v>8.0</v>
      </c>
      <c r="H200" s="60" t="s">
        <v>92</v>
      </c>
      <c r="I200" s="443"/>
      <c r="J200" s="443"/>
      <c r="K200" s="442">
        <v>8.0</v>
      </c>
      <c r="L200" s="442">
        <v>0.0</v>
      </c>
      <c r="M200" s="441">
        <v>8.0</v>
      </c>
      <c r="N200" s="409">
        <v>0.0</v>
      </c>
      <c r="O200" s="405" t="s">
        <v>1160</v>
      </c>
      <c r="P200" s="441" t="s">
        <v>70</v>
      </c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409" t="s">
        <v>1328</v>
      </c>
      <c r="B208" s="444" t="s">
        <v>16</v>
      </c>
      <c r="C208" s="60" t="s">
        <v>1174</v>
      </c>
      <c r="D208" s="409" t="s">
        <v>1329</v>
      </c>
      <c r="E208" s="60" t="s">
        <v>35</v>
      </c>
      <c r="F208" s="60" t="s">
        <v>25</v>
      </c>
      <c r="G208" s="60">
        <v>19.0</v>
      </c>
      <c r="H208" s="60" t="s">
        <v>92</v>
      </c>
      <c r="I208" s="448"/>
      <c r="J208" s="448"/>
      <c r="K208" s="60">
        <v>39.0</v>
      </c>
      <c r="L208" s="60">
        <v>0.0</v>
      </c>
      <c r="M208" s="60">
        <v>0.0</v>
      </c>
      <c r="N208" s="409">
        <f t="shared" ref="N208:N212" si="19">K208-L208-M208</f>
        <v>39</v>
      </c>
      <c r="O208" s="409" t="s">
        <v>1069</v>
      </c>
      <c r="P208" s="60" t="s">
        <v>100</v>
      </c>
      <c r="Q208" s="416"/>
      <c r="R208" s="416"/>
      <c r="S208" s="416"/>
      <c r="T208" s="416"/>
      <c r="U208" s="416"/>
      <c r="V208" s="416"/>
      <c r="W208" s="416"/>
      <c r="X208" s="416"/>
      <c r="Y208" s="416"/>
      <c r="Z208" s="416"/>
    </row>
    <row r="209">
      <c r="A209" s="409" t="s">
        <v>1328</v>
      </c>
      <c r="B209" s="444" t="s">
        <v>16</v>
      </c>
      <c r="C209" s="60" t="s">
        <v>1174</v>
      </c>
      <c r="D209" s="409" t="s">
        <v>1330</v>
      </c>
      <c r="E209" s="60" t="s">
        <v>34</v>
      </c>
      <c r="F209" s="60" t="s">
        <v>22</v>
      </c>
      <c r="G209" s="60">
        <v>30.0</v>
      </c>
      <c r="H209" s="60" t="s">
        <v>92</v>
      </c>
      <c r="I209" s="448">
        <v>45897.0</v>
      </c>
      <c r="J209" s="448">
        <v>45946.0</v>
      </c>
      <c r="K209" s="60">
        <v>65.0</v>
      </c>
      <c r="L209" s="60">
        <v>0.0</v>
      </c>
      <c r="M209" s="60">
        <v>26.0</v>
      </c>
      <c r="N209" s="409">
        <f t="shared" si="19"/>
        <v>39</v>
      </c>
      <c r="O209" s="409" t="s">
        <v>1144</v>
      </c>
      <c r="P209" s="60" t="s">
        <v>100</v>
      </c>
      <c r="Q209" s="416"/>
      <c r="R209" s="416"/>
      <c r="S209" s="416"/>
      <c r="T209" s="416"/>
      <c r="U209" s="416"/>
      <c r="V209" s="416"/>
      <c r="W209" s="416"/>
      <c r="X209" s="416"/>
      <c r="Y209" s="416"/>
      <c r="Z209" s="416"/>
    </row>
    <row r="210" ht="51.75" customHeight="1">
      <c r="A210" s="409" t="s">
        <v>1331</v>
      </c>
      <c r="B210" s="444" t="s">
        <v>18</v>
      </c>
      <c r="C210" s="60" t="s">
        <v>1332</v>
      </c>
      <c r="D210" s="409" t="s">
        <v>1290</v>
      </c>
      <c r="E210" s="60" t="s">
        <v>35</v>
      </c>
      <c r="F210" s="60" t="s">
        <v>19</v>
      </c>
      <c r="G210" s="60">
        <v>8.0</v>
      </c>
      <c r="H210" s="60" t="s">
        <v>92</v>
      </c>
      <c r="I210" s="445"/>
      <c r="J210" s="445"/>
      <c r="K210" s="60">
        <v>8.0</v>
      </c>
      <c r="L210" s="60">
        <v>0.0</v>
      </c>
      <c r="M210" s="60">
        <v>0.0</v>
      </c>
      <c r="N210" s="409">
        <f t="shared" si="19"/>
        <v>8</v>
      </c>
      <c r="O210" s="409" t="s">
        <v>1291</v>
      </c>
      <c r="P210" s="60" t="s">
        <v>100</v>
      </c>
      <c r="Q210" s="416"/>
      <c r="R210" s="416"/>
      <c r="S210" s="416"/>
      <c r="T210" s="416"/>
      <c r="U210" s="416"/>
      <c r="V210" s="416"/>
      <c r="W210" s="416"/>
      <c r="X210" s="416"/>
      <c r="Y210" s="416"/>
      <c r="Z210" s="416"/>
    </row>
    <row r="211" ht="51.75" customHeight="1">
      <c r="A211" s="409" t="s">
        <v>1328</v>
      </c>
      <c r="B211" s="444" t="s">
        <v>18</v>
      </c>
      <c r="C211" s="60" t="s">
        <v>1333</v>
      </c>
      <c r="D211" s="409" t="s">
        <v>1334</v>
      </c>
      <c r="E211" s="60" t="s">
        <v>34</v>
      </c>
      <c r="F211" s="60" t="s">
        <v>23</v>
      </c>
      <c r="G211" s="60">
        <v>30.0</v>
      </c>
      <c r="H211" s="60" t="s">
        <v>92</v>
      </c>
      <c r="I211" s="445">
        <v>45973.0</v>
      </c>
      <c r="J211" s="445">
        <v>46022.0</v>
      </c>
      <c r="K211" s="60">
        <v>65.0</v>
      </c>
      <c r="L211" s="60">
        <v>0.0</v>
      </c>
      <c r="M211" s="60">
        <v>0.0</v>
      </c>
      <c r="N211" s="409">
        <f t="shared" si="19"/>
        <v>65</v>
      </c>
      <c r="O211" s="409" t="s">
        <v>1089</v>
      </c>
      <c r="P211" s="60" t="s">
        <v>100</v>
      </c>
      <c r="Q211" s="155"/>
      <c r="R211" s="416"/>
      <c r="S211" s="416"/>
      <c r="T211" s="416"/>
      <c r="U211" s="416"/>
      <c r="V211" s="416"/>
      <c r="W211" s="416"/>
      <c r="X211" s="416"/>
      <c r="Y211" s="416"/>
      <c r="Z211" s="416"/>
    </row>
    <row r="212">
      <c r="A212" s="449" t="s">
        <v>1328</v>
      </c>
      <c r="B212" s="444" t="s">
        <v>18</v>
      </c>
      <c r="C212" s="60" t="s">
        <v>1333</v>
      </c>
      <c r="D212" s="409" t="s">
        <v>1335</v>
      </c>
      <c r="E212" s="60" t="s">
        <v>35</v>
      </c>
      <c r="F212" s="60" t="s">
        <v>19</v>
      </c>
      <c r="G212" s="60">
        <v>10.0</v>
      </c>
      <c r="H212" s="60" t="s">
        <v>92</v>
      </c>
      <c r="I212" s="445"/>
      <c r="J212" s="60"/>
      <c r="K212" s="60">
        <v>10.0</v>
      </c>
      <c r="L212" s="60">
        <v>0.0</v>
      </c>
      <c r="M212" s="60">
        <v>0.0</v>
      </c>
      <c r="N212" s="409">
        <f t="shared" si="19"/>
        <v>10</v>
      </c>
      <c r="O212" s="409" t="s">
        <v>1108</v>
      </c>
      <c r="P212" s="60" t="s">
        <v>100</v>
      </c>
      <c r="Q212" s="416"/>
      <c r="R212" s="416"/>
      <c r="S212" s="416"/>
      <c r="T212" s="416"/>
      <c r="U212" s="416"/>
      <c r="V212" s="416"/>
      <c r="W212" s="416"/>
      <c r="X212" s="416"/>
      <c r="Y212" s="416"/>
      <c r="Z212" s="416"/>
    </row>
    <row r="213" ht="37.5" customHeight="1">
      <c r="A213" s="409" t="s">
        <v>1328</v>
      </c>
      <c r="B213" s="441" t="s">
        <v>18</v>
      </c>
      <c r="C213" s="442" t="s">
        <v>1336</v>
      </c>
      <c r="D213" s="442" t="s">
        <v>1337</v>
      </c>
      <c r="E213" s="441" t="s">
        <v>35</v>
      </c>
      <c r="F213" s="442" t="s">
        <v>19</v>
      </c>
      <c r="G213" s="442">
        <v>10.0</v>
      </c>
      <c r="H213" s="60" t="s">
        <v>92</v>
      </c>
      <c r="I213" s="443"/>
      <c r="J213" s="443"/>
      <c r="K213" s="442">
        <v>10.0</v>
      </c>
      <c r="L213" s="442">
        <v>0.0</v>
      </c>
      <c r="M213" s="441">
        <v>0.0</v>
      </c>
      <c r="N213" s="409">
        <v>10.0</v>
      </c>
      <c r="O213" s="405" t="s">
        <v>1160</v>
      </c>
      <c r="P213" s="441" t="s">
        <v>100</v>
      </c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ht="51.75" customHeight="1">
      <c r="A214" s="409" t="s">
        <v>1328</v>
      </c>
      <c r="B214" s="444" t="s">
        <v>18</v>
      </c>
      <c r="C214" s="60" t="s">
        <v>411</v>
      </c>
      <c r="D214" s="409" t="s">
        <v>1290</v>
      </c>
      <c r="E214" s="60" t="s">
        <v>35</v>
      </c>
      <c r="F214" s="60" t="s">
        <v>19</v>
      </c>
      <c r="G214" s="60">
        <v>8.0</v>
      </c>
      <c r="H214" s="60" t="s">
        <v>92</v>
      </c>
      <c r="I214" s="445"/>
      <c r="J214" s="445"/>
      <c r="K214" s="60">
        <v>8.0</v>
      </c>
      <c r="L214" s="60">
        <v>0.0</v>
      </c>
      <c r="M214" s="60">
        <v>0.0</v>
      </c>
      <c r="N214" s="409">
        <f t="shared" ref="N214:N217" si="20">K214-L214-M214</f>
        <v>8</v>
      </c>
      <c r="O214" s="409" t="s">
        <v>1291</v>
      </c>
      <c r="P214" s="60" t="s">
        <v>100</v>
      </c>
      <c r="Q214" s="155"/>
      <c r="R214" s="416"/>
      <c r="S214" s="416"/>
      <c r="T214" s="416"/>
      <c r="U214" s="416"/>
      <c r="V214" s="416"/>
      <c r="W214" s="416"/>
      <c r="X214" s="416"/>
      <c r="Y214" s="416"/>
      <c r="Z214" s="416"/>
    </row>
    <row r="215" ht="51.75" customHeight="1">
      <c r="A215" s="409" t="s">
        <v>1328</v>
      </c>
      <c r="B215" s="444" t="s">
        <v>18</v>
      </c>
      <c r="C215" s="60" t="s">
        <v>411</v>
      </c>
      <c r="D215" s="409" t="s">
        <v>1338</v>
      </c>
      <c r="E215" s="60" t="s">
        <v>35</v>
      </c>
      <c r="F215" s="60" t="s">
        <v>19</v>
      </c>
      <c r="G215" s="60">
        <v>10.0</v>
      </c>
      <c r="H215" s="60" t="s">
        <v>92</v>
      </c>
      <c r="I215" s="445"/>
      <c r="J215" s="445"/>
      <c r="K215" s="60">
        <v>10.0</v>
      </c>
      <c r="L215" s="60">
        <v>0.0</v>
      </c>
      <c r="M215" s="60">
        <v>0.0</v>
      </c>
      <c r="N215" s="409">
        <f t="shared" si="20"/>
        <v>10</v>
      </c>
      <c r="O215" s="409" t="s">
        <v>1291</v>
      </c>
      <c r="P215" s="60" t="s">
        <v>100</v>
      </c>
      <c r="Q215" s="155"/>
      <c r="R215" s="416"/>
      <c r="S215" s="416"/>
      <c r="T215" s="416"/>
      <c r="U215" s="416"/>
      <c r="V215" s="416"/>
      <c r="W215" s="416"/>
      <c r="X215" s="416"/>
      <c r="Y215" s="416"/>
      <c r="Z215" s="416"/>
    </row>
    <row r="216" ht="51.75" customHeight="1">
      <c r="A216" s="409" t="s">
        <v>1328</v>
      </c>
      <c r="B216" s="444" t="s">
        <v>18</v>
      </c>
      <c r="C216" s="60" t="s">
        <v>411</v>
      </c>
      <c r="D216" s="409" t="s">
        <v>1339</v>
      </c>
      <c r="E216" s="60" t="s">
        <v>35</v>
      </c>
      <c r="F216" s="60" t="s">
        <v>19</v>
      </c>
      <c r="G216" s="60">
        <v>10.0</v>
      </c>
      <c r="H216" s="60" t="s">
        <v>92</v>
      </c>
      <c r="I216" s="445"/>
      <c r="J216" s="445"/>
      <c r="K216" s="60">
        <v>10.0</v>
      </c>
      <c r="L216" s="60">
        <v>0.0</v>
      </c>
      <c r="M216" s="60">
        <v>0.0</v>
      </c>
      <c r="N216" s="409">
        <f t="shared" si="20"/>
        <v>10</v>
      </c>
      <c r="O216" s="409" t="s">
        <v>1291</v>
      </c>
      <c r="P216" s="60" t="s">
        <v>100</v>
      </c>
      <c r="Q216" s="155"/>
      <c r="R216" s="416"/>
      <c r="S216" s="416"/>
      <c r="T216" s="416"/>
      <c r="U216" s="416"/>
      <c r="V216" s="416"/>
      <c r="W216" s="416"/>
      <c r="X216" s="416"/>
      <c r="Y216" s="416"/>
      <c r="Z216" s="416"/>
    </row>
    <row r="217" ht="51.75" customHeight="1">
      <c r="A217" s="409" t="s">
        <v>1328</v>
      </c>
      <c r="B217" s="444" t="s">
        <v>18</v>
      </c>
      <c r="C217" s="60" t="s">
        <v>1340</v>
      </c>
      <c r="D217" s="409" t="s">
        <v>1316</v>
      </c>
      <c r="E217" s="60" t="s">
        <v>35</v>
      </c>
      <c r="F217" s="60" t="s">
        <v>20</v>
      </c>
      <c r="G217" s="60">
        <v>8.0</v>
      </c>
      <c r="H217" s="60" t="s">
        <v>92</v>
      </c>
      <c r="I217" s="445"/>
      <c r="J217" s="445"/>
      <c r="K217" s="60">
        <v>8.0</v>
      </c>
      <c r="L217" s="60">
        <v>0.0</v>
      </c>
      <c r="M217" s="60">
        <v>0.0</v>
      </c>
      <c r="N217" s="409">
        <f t="shared" si="20"/>
        <v>8</v>
      </c>
      <c r="O217" s="409" t="s">
        <v>1291</v>
      </c>
      <c r="P217" s="60" t="s">
        <v>100</v>
      </c>
      <c r="Q217" s="155"/>
      <c r="R217" s="416"/>
      <c r="S217" s="416"/>
      <c r="T217" s="416"/>
      <c r="U217" s="416"/>
      <c r="V217" s="416"/>
      <c r="W217" s="416"/>
      <c r="X217" s="416"/>
      <c r="Y217" s="416"/>
      <c r="Z217" s="416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</sheetData>
  <autoFilter ref="$A$9:$P$168"/>
  <mergeCells count="18">
    <mergeCell ref="B6:B7"/>
    <mergeCell ref="C6:C7"/>
    <mergeCell ref="D6:D7"/>
    <mergeCell ref="E6:E7"/>
    <mergeCell ref="F6:F7"/>
    <mergeCell ref="G6:G7"/>
    <mergeCell ref="H6:J6"/>
    <mergeCell ref="K6:N6"/>
    <mergeCell ref="O6:O7"/>
    <mergeCell ref="P6:P7"/>
    <mergeCell ref="A1:P1"/>
    <mergeCell ref="A2:P2"/>
    <mergeCell ref="A3:D3"/>
    <mergeCell ref="E3:P3"/>
    <mergeCell ref="A4:P4"/>
    <mergeCell ref="A5:P5"/>
    <mergeCell ref="A6:A7"/>
    <mergeCell ref="A11:P11"/>
  </mergeCells>
  <dataValidations>
    <dataValidation type="list" allowBlank="1" showErrorMessage="1" sqref="B10 B12:B200 B208:B217">
      <formula1>"1CL,2CL,3CL,4CL"</formula1>
    </dataValidation>
    <dataValidation type="list" allowBlank="1" showErrorMessage="1" sqref="Q10:Z10 P12:Z25 P27:Z34 P36:Z51 P53:Z72 P74:Z88 Q89:Z89 P90:Z93 Q94:Z95 Q98:Z98 P99:Z101 P103:Z103 P105:Z110 Q111:Z111 P112:Z115 Q116:Z116 P117:Z118 Q119:Z120 P121:Z126 Q127:Z128 P129:Z133 Q134:Z134 P135:Z137 Q138:Z138 P140:Z142 Q143:Z143 P144:Z162 Q163:Z164 P165:Z177 Q178:Z178 P179:Z179 Q180:Z181 P182:Z183 Q184:Z184 P185:Z186 Q187:Z192 P193:Z193 Q194:Z196 P197:Z197 Q198:Z200 P208:Z212 Q213:Z213 P214:Z217">
      <formula1>"SERVED,ONGOING,CLEARED OUT,PARDONED,CONFINED,ONGOING/CONFINED"</formula1>
    </dataValidation>
    <dataValidation type="list" allowBlank="1" showErrorMessage="1" sqref="E10 E12:E200 E208:E217">
      <formula1>"I,II,III"</formula1>
    </dataValidation>
    <dataValidation type="list" allowBlank="1" showErrorMessage="1" sqref="P10 P26 P35 P52:Z52 P73 P89 P94:P95 P98 P111 P116 P119:P120 P127:P128 P134 P138 P139:Z139 P143 P163:P164 P178 P180:P181 P184 P187:P192 P194:P196 P198:P200 P213">
      <formula1>"SERVED,ONGOING,CONFINED,ONGOING/CONFINED"</formula1>
    </dataValidation>
    <dataValidation type="list" allowBlank="1" sqref="F10 F12:F200 F208:F217">
      <formula1>SUMMARY!$E$10:$E$19</formula1>
    </dataValidation>
    <dataValidation type="list" allowBlank="1" showErrorMessage="1" sqref="P96:Z96 P104:Z104">
      <formula1>"SERVED,ONGOING,CONFINED,PARDONED,ONGOING/CONFINED"</formula1>
    </dataValidation>
    <dataValidation type="custom" allowBlank="1" showDropDown="1" sqref="E3 Q3:Z3 I10:J10 I12:J19 I22:J44 I45 I46:J51 J52 I53:J55 I56 I57:J63 I64 I65:J66 I67 I69:J81 I82 I83:J100 I101 I102:J102 I105:J106 I108:J112 I113 I114:J123 I125:J125 I126 I127:J136 I137 I138:J138 J139 I140:J140 I141 I142:J149 I151:J155 I156 I157:J157 I158 I159:J165 I166 I167:J170 I171 I172:J175 I176 I177:J200 I208:J211 I212 I213:J217">
      <formula1>OR(NOT(ISERROR(DATEVALUE(E3))), AND(ISNUMBER(E3), LEFT(CELL("format", E3))="D"))</formula1>
    </dataValidation>
    <dataValidation type="list" allowBlank="1" showErrorMessage="1" sqref="P97:Z97 P102:Z102">
      <formula1>"SERVED,ONGOING,CONFINED,CLEARED OUT,ONGOING/CONFINED"</formula1>
    </dataValidation>
    <dataValidation type="list" allowBlank="1" showDropDown="1" showErrorMessage="1" sqref="H10 H12:H200 H208:H217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5"/>
    <col customWidth="1" min="2" max="2" width="9.13"/>
    <col customWidth="1" min="3" max="3" width="16.25"/>
    <col customWidth="1" hidden="1" min="4" max="4" width="100.75"/>
    <col customWidth="1" hidden="1" min="5" max="5" width="10.25"/>
    <col customWidth="1" hidden="1" min="6" max="6" width="33.13"/>
    <col hidden="1" min="7" max="7" width="12.63"/>
    <col customWidth="1" min="10" max="10" width="10.75"/>
    <col customWidth="1" min="15" max="15" width="16.5"/>
    <col customWidth="1" min="16" max="16" width="16.25"/>
  </cols>
  <sheetData>
    <row r="1">
      <c r="A1" s="450" t="s">
        <v>1341</v>
      </c>
    </row>
    <row r="2">
      <c r="A2" s="450" t="s">
        <v>1342</v>
      </c>
    </row>
    <row r="3">
      <c r="A3" s="451" t="s">
        <v>72</v>
      </c>
      <c r="E3" s="452">
        <v>46175.0</v>
      </c>
    </row>
    <row r="4" ht="34.5" customHeight="1">
      <c r="A4" s="453" t="s">
        <v>229</v>
      </c>
    </row>
    <row r="5">
      <c r="A5" s="454" t="s">
        <v>54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7"/>
    </row>
    <row r="6">
      <c r="A6" s="455" t="s">
        <v>55</v>
      </c>
      <c r="B6" s="455" t="s">
        <v>56</v>
      </c>
      <c r="C6" s="455" t="s">
        <v>57</v>
      </c>
      <c r="D6" s="455" t="s">
        <v>58</v>
      </c>
      <c r="E6" s="455" t="s">
        <v>59</v>
      </c>
      <c r="F6" s="455" t="s">
        <v>60</v>
      </c>
      <c r="G6" s="455" t="s">
        <v>61</v>
      </c>
      <c r="H6" s="456" t="s">
        <v>62</v>
      </c>
      <c r="I6" s="96"/>
      <c r="J6" s="97"/>
      <c r="K6" s="456" t="s">
        <v>63</v>
      </c>
      <c r="L6" s="96"/>
      <c r="M6" s="96"/>
      <c r="N6" s="97"/>
      <c r="O6" s="455" t="s">
        <v>64</v>
      </c>
      <c r="P6" s="455" t="s">
        <v>65</v>
      </c>
    </row>
    <row r="7">
      <c r="A7" s="68"/>
      <c r="B7" s="68"/>
      <c r="C7" s="68"/>
      <c r="D7" s="68"/>
      <c r="E7" s="68"/>
      <c r="F7" s="68"/>
      <c r="G7" s="68"/>
      <c r="H7" s="457" t="s">
        <v>66</v>
      </c>
      <c r="I7" s="458" t="s">
        <v>67</v>
      </c>
      <c r="J7" s="458" t="s">
        <v>68</v>
      </c>
      <c r="K7" s="458" t="s">
        <v>30</v>
      </c>
      <c r="L7" s="458" t="s">
        <v>69</v>
      </c>
      <c r="M7" s="458" t="s">
        <v>70</v>
      </c>
      <c r="N7" s="458" t="s">
        <v>71</v>
      </c>
      <c r="O7" s="68"/>
      <c r="P7" s="68"/>
    </row>
    <row r="8" ht="33.0" customHeight="1">
      <c r="A8" s="201">
        <v>1.0</v>
      </c>
      <c r="B8" s="384" t="s">
        <v>17</v>
      </c>
      <c r="C8" s="201" t="s">
        <v>1343</v>
      </c>
      <c r="D8" s="201"/>
      <c r="E8" s="201"/>
      <c r="F8" s="201"/>
      <c r="G8" s="201"/>
      <c r="H8" s="201" t="s">
        <v>76</v>
      </c>
      <c r="I8" s="459">
        <v>46171.0</v>
      </c>
      <c r="J8" s="459">
        <v>46185.0</v>
      </c>
      <c r="K8" s="201">
        <v>40.0</v>
      </c>
      <c r="L8" s="201">
        <v>0.0</v>
      </c>
      <c r="M8" s="201">
        <v>0.0</v>
      </c>
      <c r="N8" s="201">
        <v>40.0</v>
      </c>
      <c r="O8" s="201" t="s">
        <v>1344</v>
      </c>
      <c r="P8" s="201" t="s">
        <v>78</v>
      </c>
    </row>
    <row r="9" ht="33.0" customHeight="1">
      <c r="A9" s="201">
        <v>2.0</v>
      </c>
      <c r="B9" s="384" t="s">
        <v>17</v>
      </c>
      <c r="C9" s="201" t="s">
        <v>1345</v>
      </c>
      <c r="D9" s="201"/>
      <c r="E9" s="201"/>
      <c r="F9" s="201"/>
      <c r="G9" s="201"/>
      <c r="H9" s="201" t="s">
        <v>76</v>
      </c>
      <c r="I9" s="459">
        <v>46171.0</v>
      </c>
      <c r="J9" s="459">
        <v>46185.0</v>
      </c>
      <c r="K9" s="201">
        <v>40.0</v>
      </c>
      <c r="L9" s="201">
        <v>0.0</v>
      </c>
      <c r="M9" s="201">
        <v>0.0</v>
      </c>
      <c r="N9" s="201">
        <v>40.0</v>
      </c>
      <c r="O9" s="201" t="s">
        <v>1346</v>
      </c>
      <c r="P9" s="201" t="s">
        <v>78</v>
      </c>
    </row>
    <row r="10" ht="33.0" customHeight="1">
      <c r="A10" s="201">
        <v>3.0</v>
      </c>
      <c r="B10" s="384" t="s">
        <v>17</v>
      </c>
      <c r="C10" s="201" t="s">
        <v>1347</v>
      </c>
      <c r="D10" s="201"/>
      <c r="E10" s="201"/>
      <c r="F10" s="201"/>
      <c r="G10" s="201"/>
      <c r="H10" s="201" t="s">
        <v>76</v>
      </c>
      <c r="I10" s="459">
        <v>46171.0</v>
      </c>
      <c r="J10" s="459">
        <v>46220.0</v>
      </c>
      <c r="K10" s="201">
        <v>65.0</v>
      </c>
      <c r="L10" s="201">
        <v>0.0</v>
      </c>
      <c r="M10" s="201">
        <v>0.0</v>
      </c>
      <c r="N10" s="201">
        <v>65.0</v>
      </c>
      <c r="O10" s="201" t="s">
        <v>1346</v>
      </c>
      <c r="P10" s="201" t="s">
        <v>78</v>
      </c>
    </row>
    <row r="11" ht="33.0" customHeight="1">
      <c r="A11" s="201">
        <v>4.0</v>
      </c>
      <c r="B11" s="384" t="s">
        <v>16</v>
      </c>
      <c r="C11" s="201" t="s">
        <v>1348</v>
      </c>
      <c r="D11" s="201" t="s">
        <v>1349</v>
      </c>
      <c r="E11" s="201" t="s">
        <v>34</v>
      </c>
      <c r="F11" s="201" t="s">
        <v>22</v>
      </c>
      <c r="G11" s="201">
        <v>50.0</v>
      </c>
      <c r="H11" s="201" t="s">
        <v>76</v>
      </c>
      <c r="I11" s="459">
        <v>46107.0</v>
      </c>
      <c r="J11" s="459">
        <v>46286.0</v>
      </c>
      <c r="K11" s="201">
        <v>180.0</v>
      </c>
      <c r="L11" s="201">
        <v>0.0</v>
      </c>
      <c r="M11" s="201">
        <v>180.0</v>
      </c>
      <c r="N11" s="201">
        <f>K11-L11-M11</f>
        <v>0</v>
      </c>
      <c r="O11" s="201" t="s">
        <v>1350</v>
      </c>
      <c r="P11" s="201" t="s">
        <v>84</v>
      </c>
    </row>
    <row r="12" ht="30.75" customHeight="1">
      <c r="A12" s="460" t="s">
        <v>1351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7"/>
    </row>
    <row r="13" ht="33.0" customHeight="1">
      <c r="A13" s="201"/>
      <c r="B13" s="384"/>
      <c r="C13" s="201"/>
      <c r="D13" s="201"/>
      <c r="E13" s="201"/>
      <c r="F13" s="201"/>
      <c r="G13" s="201"/>
      <c r="H13" s="201"/>
      <c r="I13" s="459"/>
      <c r="J13" s="459"/>
      <c r="K13" s="201"/>
      <c r="L13" s="201"/>
      <c r="M13" s="201"/>
      <c r="N13" s="201"/>
      <c r="O13" s="201"/>
      <c r="P13" s="201"/>
    </row>
    <row r="14" ht="33.0" customHeight="1">
      <c r="A14" s="201"/>
      <c r="B14" s="384"/>
      <c r="C14" s="201"/>
      <c r="D14" s="201"/>
      <c r="E14" s="201"/>
      <c r="F14" s="201"/>
      <c r="G14" s="201"/>
      <c r="H14" s="201"/>
      <c r="I14" s="459"/>
      <c r="J14" s="459"/>
      <c r="K14" s="201"/>
      <c r="L14" s="201"/>
      <c r="M14" s="201"/>
      <c r="N14" s="201"/>
      <c r="O14" s="201"/>
      <c r="P14" s="201"/>
    </row>
    <row r="15" ht="33.0" customHeight="1">
      <c r="A15" s="201"/>
      <c r="B15" s="384"/>
      <c r="C15" s="201"/>
      <c r="D15" s="201"/>
      <c r="E15" s="201"/>
      <c r="F15" s="201"/>
      <c r="G15" s="201"/>
      <c r="H15" s="201"/>
      <c r="I15" s="459"/>
      <c r="J15" s="459"/>
      <c r="K15" s="201"/>
      <c r="L15" s="201"/>
      <c r="M15" s="201"/>
      <c r="N15" s="201"/>
      <c r="O15" s="201"/>
      <c r="P15" s="201"/>
    </row>
    <row r="16" ht="33.0" customHeight="1">
      <c r="A16" s="201"/>
      <c r="B16" s="384"/>
      <c r="C16" s="201"/>
      <c r="D16" s="201"/>
      <c r="E16" s="201"/>
      <c r="F16" s="201"/>
      <c r="G16" s="201"/>
      <c r="H16" s="201"/>
      <c r="I16" s="459"/>
      <c r="J16" s="459"/>
      <c r="K16" s="201"/>
      <c r="L16" s="201"/>
      <c r="M16" s="201"/>
      <c r="N16" s="201"/>
      <c r="O16" s="201"/>
      <c r="P16" s="201"/>
    </row>
    <row r="17" ht="33.0" customHeight="1">
      <c r="A17" s="201"/>
      <c r="B17" s="384"/>
      <c r="C17" s="201"/>
      <c r="D17" s="201"/>
      <c r="E17" s="201"/>
      <c r="F17" s="201"/>
      <c r="G17" s="201"/>
      <c r="H17" s="201"/>
      <c r="I17" s="202"/>
      <c r="J17" s="202"/>
      <c r="K17" s="201"/>
      <c r="L17" s="201"/>
      <c r="M17" s="201"/>
      <c r="N17" s="201"/>
      <c r="O17" s="201"/>
      <c r="P17" s="201"/>
    </row>
    <row r="18" ht="33.0" customHeight="1">
      <c r="A18" s="201"/>
      <c r="B18" s="384"/>
      <c r="C18" s="201"/>
      <c r="D18" s="201"/>
      <c r="E18" s="201"/>
      <c r="F18" s="201"/>
      <c r="G18" s="201"/>
      <c r="H18" s="201"/>
      <c r="I18" s="202"/>
      <c r="J18" s="202"/>
      <c r="K18" s="201"/>
      <c r="L18" s="201"/>
      <c r="M18" s="201"/>
      <c r="N18" s="201"/>
      <c r="O18" s="201"/>
      <c r="P18" s="201"/>
    </row>
    <row r="19" ht="33.0" customHeight="1">
      <c r="A19" s="201"/>
      <c r="B19" s="384"/>
      <c r="C19" s="201"/>
      <c r="D19" s="201"/>
      <c r="E19" s="201"/>
      <c r="F19" s="201"/>
      <c r="G19" s="201"/>
      <c r="H19" s="201"/>
      <c r="I19" s="202"/>
      <c r="J19" s="202"/>
      <c r="K19" s="201"/>
      <c r="L19" s="201"/>
      <c r="M19" s="201"/>
      <c r="N19" s="201"/>
      <c r="O19" s="201"/>
      <c r="P19" s="201"/>
    </row>
    <row r="20" ht="33.0" customHeight="1">
      <c r="A20" s="201"/>
      <c r="B20" s="384"/>
      <c r="C20" s="201"/>
      <c r="D20" s="201"/>
      <c r="E20" s="201"/>
      <c r="F20" s="201"/>
      <c r="G20" s="201"/>
      <c r="H20" s="201"/>
      <c r="I20" s="459"/>
      <c r="J20" s="459"/>
      <c r="K20" s="201"/>
      <c r="L20" s="201"/>
      <c r="M20" s="201"/>
      <c r="N20" s="201"/>
      <c r="O20" s="201"/>
      <c r="P20" s="201"/>
    </row>
    <row r="21" ht="33.0" customHeight="1">
      <c r="A21" s="201"/>
      <c r="B21" s="384"/>
      <c r="C21" s="201"/>
      <c r="D21" s="201"/>
      <c r="E21" s="201"/>
      <c r="F21" s="201"/>
      <c r="G21" s="201"/>
      <c r="H21" s="201"/>
      <c r="I21" s="459"/>
      <c r="J21" s="459"/>
      <c r="K21" s="201"/>
      <c r="L21" s="201"/>
      <c r="M21" s="201"/>
      <c r="N21" s="201"/>
      <c r="O21" s="201"/>
      <c r="P21" s="201"/>
    </row>
    <row r="22" ht="33.0" customHeight="1">
      <c r="A22" s="201"/>
      <c r="B22" s="384"/>
      <c r="C22" s="201"/>
      <c r="D22" s="201"/>
      <c r="E22" s="201"/>
      <c r="F22" s="201"/>
      <c r="G22" s="201"/>
      <c r="H22" s="201"/>
      <c r="I22" s="459"/>
      <c r="J22" s="459"/>
      <c r="K22" s="201"/>
      <c r="L22" s="201"/>
      <c r="M22" s="201"/>
      <c r="N22" s="201"/>
      <c r="O22" s="201"/>
      <c r="P22" s="201"/>
    </row>
    <row r="23" ht="33.0" customHeight="1">
      <c r="A23" s="201"/>
      <c r="B23" s="384"/>
      <c r="C23" s="201"/>
      <c r="D23" s="201"/>
      <c r="E23" s="201"/>
      <c r="F23" s="201"/>
      <c r="G23" s="201"/>
      <c r="H23" s="201"/>
      <c r="I23" s="459"/>
      <c r="J23" s="459"/>
      <c r="K23" s="201"/>
      <c r="L23" s="201"/>
      <c r="M23" s="201"/>
      <c r="N23" s="201"/>
      <c r="O23" s="201"/>
      <c r="P23" s="201"/>
    </row>
    <row r="24" ht="33.0" customHeight="1">
      <c r="A24" s="201"/>
      <c r="B24" s="384"/>
      <c r="C24" s="201"/>
      <c r="D24" s="201"/>
      <c r="E24" s="201"/>
      <c r="F24" s="201"/>
      <c r="G24" s="201"/>
      <c r="H24" s="201"/>
      <c r="I24" s="459"/>
      <c r="J24" s="459"/>
      <c r="K24" s="201"/>
      <c r="L24" s="201"/>
      <c r="M24" s="201"/>
      <c r="N24" s="201"/>
      <c r="O24" s="201"/>
      <c r="P24" s="201"/>
    </row>
    <row r="25" ht="33.0" customHeight="1">
      <c r="A25" s="201"/>
      <c r="B25" s="384"/>
      <c r="C25" s="201"/>
      <c r="D25" s="201"/>
      <c r="E25" s="201"/>
      <c r="F25" s="201"/>
      <c r="G25" s="201"/>
      <c r="H25" s="201"/>
      <c r="I25" s="459"/>
      <c r="J25" s="459"/>
      <c r="K25" s="201"/>
      <c r="L25" s="201"/>
      <c r="M25" s="201"/>
      <c r="N25" s="201"/>
      <c r="O25" s="201"/>
      <c r="P25" s="201"/>
    </row>
    <row r="26" ht="33.0" customHeight="1">
      <c r="A26" s="208"/>
      <c r="B26" s="208"/>
      <c r="C26" s="208"/>
      <c r="D26" s="208"/>
      <c r="E26" s="208"/>
      <c r="F26" s="208"/>
      <c r="G26" s="208"/>
      <c r="H26" s="208"/>
      <c r="I26" s="461"/>
      <c r="J26" s="461"/>
      <c r="K26" s="208"/>
      <c r="L26" s="208"/>
      <c r="M26" s="208"/>
      <c r="N26" s="221"/>
      <c r="O26" s="208"/>
      <c r="P26" s="208"/>
    </row>
    <row r="27" ht="33.0" customHeight="1">
      <c r="A27" s="208"/>
      <c r="B27" s="208"/>
      <c r="C27" s="208"/>
      <c r="D27" s="208"/>
      <c r="E27" s="208"/>
      <c r="F27" s="208"/>
      <c r="G27" s="208"/>
      <c r="H27" s="208"/>
      <c r="I27" s="461"/>
      <c r="J27" s="461"/>
      <c r="K27" s="208"/>
      <c r="L27" s="208"/>
      <c r="M27" s="208"/>
      <c r="N27" s="221"/>
      <c r="O27" s="208"/>
      <c r="P27" s="208"/>
    </row>
    <row r="28" ht="33.0" customHeight="1">
      <c r="A28" s="208"/>
      <c r="B28" s="208"/>
      <c r="C28" s="208"/>
      <c r="D28" s="208"/>
      <c r="E28" s="208"/>
      <c r="F28" s="208"/>
      <c r="G28" s="208"/>
      <c r="H28" s="208"/>
      <c r="I28" s="461"/>
      <c r="J28" s="461"/>
      <c r="K28" s="208"/>
      <c r="L28" s="208"/>
      <c r="M28" s="208"/>
      <c r="N28" s="221"/>
      <c r="O28" s="208"/>
      <c r="P28" s="208"/>
    </row>
    <row r="29" ht="33.0" customHeight="1">
      <c r="A29" s="208"/>
      <c r="B29" s="208"/>
      <c r="C29" s="208"/>
      <c r="D29" s="208"/>
      <c r="E29" s="208"/>
      <c r="F29" s="208"/>
      <c r="G29" s="208"/>
      <c r="H29" s="208"/>
      <c r="I29" s="461"/>
      <c r="J29" s="461"/>
      <c r="K29" s="208"/>
      <c r="L29" s="208"/>
      <c r="M29" s="208"/>
      <c r="N29" s="221"/>
      <c r="O29" s="208"/>
      <c r="P29" s="208"/>
    </row>
    <row r="30" ht="33.0" customHeight="1">
      <c r="A30" s="208"/>
      <c r="B30" s="208"/>
      <c r="C30" s="208"/>
      <c r="D30" s="208"/>
      <c r="E30" s="208"/>
      <c r="F30" s="208"/>
      <c r="G30" s="208"/>
      <c r="H30" s="208"/>
      <c r="I30" s="461"/>
      <c r="J30" s="461"/>
      <c r="K30" s="208"/>
      <c r="L30" s="208"/>
      <c r="M30" s="208"/>
      <c r="N30" s="221"/>
      <c r="O30" s="208"/>
      <c r="P30" s="208"/>
    </row>
    <row r="31" ht="33.0" customHeight="1">
      <c r="A31" s="208"/>
      <c r="B31" s="208"/>
      <c r="C31" s="208"/>
      <c r="D31" s="208"/>
      <c r="E31" s="208"/>
      <c r="F31" s="208"/>
      <c r="G31" s="208"/>
      <c r="H31" s="208"/>
      <c r="I31" s="461"/>
      <c r="J31" s="461"/>
      <c r="K31" s="208"/>
      <c r="L31" s="208"/>
      <c r="M31" s="208"/>
      <c r="N31" s="221"/>
      <c r="O31" s="208"/>
      <c r="P31" s="208"/>
    </row>
    <row r="32" ht="33.0" customHeight="1">
      <c r="A32" s="201"/>
      <c r="B32" s="384"/>
      <c r="C32" s="201"/>
      <c r="D32" s="201"/>
      <c r="E32" s="201"/>
      <c r="F32" s="201"/>
      <c r="G32" s="201"/>
      <c r="H32" s="201"/>
      <c r="I32" s="459"/>
      <c r="J32" s="459"/>
      <c r="K32" s="201"/>
      <c r="L32" s="201"/>
      <c r="M32" s="201"/>
      <c r="N32" s="201"/>
      <c r="O32" s="201"/>
      <c r="P32" s="201"/>
    </row>
    <row r="33" ht="33.0" customHeight="1">
      <c r="A33" s="201"/>
      <c r="B33" s="384"/>
      <c r="C33" s="201"/>
      <c r="D33" s="201"/>
      <c r="E33" s="201"/>
      <c r="F33" s="201"/>
      <c r="G33" s="201"/>
      <c r="H33" s="201"/>
      <c r="I33" s="202"/>
      <c r="J33" s="202"/>
      <c r="K33" s="201"/>
      <c r="L33" s="201"/>
      <c r="M33" s="201"/>
      <c r="N33" s="462"/>
      <c r="O33" s="201"/>
      <c r="P33" s="201"/>
    </row>
    <row r="34" ht="33.0" customHeight="1">
      <c r="A34" s="201"/>
      <c r="B34" s="384"/>
      <c r="C34" s="201"/>
      <c r="D34" s="201"/>
      <c r="E34" s="201"/>
      <c r="F34" s="201"/>
      <c r="G34" s="201"/>
      <c r="H34" s="201"/>
      <c r="I34" s="459"/>
      <c r="J34" s="459"/>
      <c r="K34" s="201"/>
      <c r="L34" s="201"/>
      <c r="M34" s="201"/>
      <c r="N34" s="201"/>
      <c r="O34" s="201"/>
      <c r="P34" s="201"/>
    </row>
    <row r="35" ht="33.0" customHeight="1">
      <c r="A35" s="201"/>
      <c r="B35" s="384"/>
      <c r="C35" s="201"/>
      <c r="D35" s="201"/>
      <c r="E35" s="201"/>
      <c r="F35" s="201"/>
      <c r="G35" s="201"/>
      <c r="H35" s="201"/>
      <c r="I35" s="459"/>
      <c r="J35" s="459"/>
      <c r="K35" s="201"/>
      <c r="L35" s="201"/>
      <c r="M35" s="201"/>
      <c r="N35" s="201"/>
      <c r="O35" s="201"/>
      <c r="P35" s="201"/>
    </row>
    <row r="36" ht="33.0" customHeight="1">
      <c r="A36" s="201"/>
      <c r="B36" s="384"/>
      <c r="C36" s="201"/>
      <c r="D36" s="201"/>
      <c r="E36" s="201"/>
      <c r="F36" s="201"/>
      <c r="G36" s="201"/>
      <c r="H36" s="201"/>
      <c r="I36" s="459"/>
      <c r="J36" s="459"/>
      <c r="K36" s="201"/>
      <c r="L36" s="201"/>
      <c r="M36" s="201"/>
      <c r="N36" s="201"/>
      <c r="O36" s="201"/>
      <c r="P36" s="201"/>
    </row>
    <row r="37" ht="33.0" customHeight="1">
      <c r="A37" s="201"/>
      <c r="B37" s="384"/>
      <c r="C37" s="201"/>
      <c r="D37" s="201"/>
      <c r="E37" s="201"/>
      <c r="F37" s="201"/>
      <c r="G37" s="201"/>
      <c r="H37" s="201"/>
      <c r="I37" s="459"/>
      <c r="J37" s="459"/>
      <c r="K37" s="201"/>
      <c r="L37" s="201"/>
      <c r="M37" s="201"/>
      <c r="N37" s="201"/>
      <c r="O37" s="201"/>
      <c r="P37" s="201"/>
    </row>
    <row r="38" ht="33.0" customHeight="1">
      <c r="A38" s="201"/>
      <c r="B38" s="384"/>
      <c r="C38" s="201"/>
      <c r="D38" s="201"/>
      <c r="E38" s="201"/>
      <c r="F38" s="201"/>
      <c r="G38" s="201"/>
      <c r="H38" s="201"/>
      <c r="I38" s="459"/>
      <c r="J38" s="459"/>
      <c r="K38" s="201"/>
      <c r="L38" s="201"/>
      <c r="M38" s="201"/>
      <c r="N38" s="201"/>
      <c r="O38" s="201"/>
      <c r="P38" s="201"/>
    </row>
    <row r="39" ht="33.0" customHeight="1">
      <c r="A39" s="201"/>
      <c r="B39" s="384"/>
      <c r="C39" s="201"/>
      <c r="D39" s="201"/>
      <c r="E39" s="201"/>
      <c r="F39" s="201"/>
      <c r="G39" s="201"/>
      <c r="H39" s="201"/>
      <c r="I39" s="202"/>
      <c r="J39" s="202"/>
      <c r="K39" s="201"/>
      <c r="L39" s="201"/>
      <c r="M39" s="201"/>
      <c r="N39" s="462"/>
      <c r="O39" s="201"/>
      <c r="P39" s="201"/>
    </row>
    <row r="40" ht="33.0" customHeight="1">
      <c r="A40" s="201"/>
      <c r="B40" s="384"/>
      <c r="C40" s="201"/>
      <c r="D40" s="201"/>
      <c r="E40" s="201"/>
      <c r="F40" s="201"/>
      <c r="G40" s="201"/>
      <c r="H40" s="201"/>
      <c r="I40" s="202"/>
      <c r="J40" s="202"/>
      <c r="K40" s="201"/>
      <c r="L40" s="201"/>
      <c r="M40" s="201"/>
      <c r="N40" s="462"/>
      <c r="O40" s="201"/>
      <c r="P40" s="201"/>
    </row>
    <row r="41" ht="33.0" customHeight="1">
      <c r="A41" s="201"/>
      <c r="B41" s="384"/>
      <c r="C41" s="201"/>
      <c r="D41" s="201"/>
      <c r="E41" s="201"/>
      <c r="F41" s="201"/>
      <c r="G41" s="201"/>
      <c r="H41" s="201"/>
      <c r="I41" s="202"/>
      <c r="J41" s="202"/>
      <c r="K41" s="201"/>
      <c r="L41" s="201"/>
      <c r="M41" s="201"/>
      <c r="N41" s="462"/>
      <c r="O41" s="201"/>
      <c r="P41" s="201"/>
    </row>
    <row r="42" ht="33.0" customHeight="1">
      <c r="A42" s="201"/>
      <c r="B42" s="384"/>
      <c r="C42" s="201"/>
      <c r="D42" s="201"/>
      <c r="E42" s="201"/>
      <c r="F42" s="201"/>
      <c r="G42" s="201"/>
      <c r="H42" s="201"/>
      <c r="I42" s="202"/>
      <c r="J42" s="202"/>
      <c r="K42" s="201"/>
      <c r="L42" s="201"/>
      <c r="M42" s="201"/>
      <c r="N42" s="462"/>
      <c r="O42" s="201"/>
      <c r="P42" s="201"/>
    </row>
    <row r="43" ht="33.0" customHeight="1">
      <c r="A43" s="201"/>
      <c r="B43" s="384"/>
      <c r="C43" s="201"/>
      <c r="D43" s="201"/>
      <c r="E43" s="201"/>
      <c r="F43" s="201"/>
      <c r="G43" s="201"/>
      <c r="H43" s="201"/>
      <c r="I43" s="459"/>
      <c r="J43" s="202"/>
      <c r="K43" s="201"/>
      <c r="L43" s="201"/>
      <c r="M43" s="201"/>
      <c r="N43" s="201"/>
      <c r="O43" s="201"/>
      <c r="P43" s="201"/>
    </row>
    <row r="44" ht="31.5" customHeight="1">
      <c r="A44" s="201"/>
      <c r="B44" s="186"/>
      <c r="C44" s="186"/>
      <c r="D44" s="186"/>
      <c r="E44" s="186"/>
      <c r="F44" s="186"/>
      <c r="G44" s="186"/>
      <c r="H44" s="201"/>
      <c r="I44" s="202"/>
      <c r="J44" s="202"/>
      <c r="K44" s="201"/>
      <c r="L44" s="201"/>
      <c r="M44" s="201"/>
      <c r="N44" s="201"/>
      <c r="O44" s="186"/>
      <c r="P44" s="201"/>
    </row>
    <row r="45" ht="33.0" customHeight="1">
      <c r="A45" s="201"/>
      <c r="B45" s="384"/>
      <c r="C45" s="201"/>
      <c r="D45" s="201"/>
      <c r="E45" s="201"/>
      <c r="F45" s="201"/>
      <c r="G45" s="201"/>
      <c r="H45" s="201"/>
      <c r="I45" s="201"/>
      <c r="J45" s="202"/>
      <c r="K45" s="201"/>
      <c r="L45" s="201"/>
      <c r="M45" s="201"/>
      <c r="N45" s="201"/>
      <c r="O45" s="201"/>
      <c r="P45" s="201"/>
    </row>
    <row r="46" ht="33.0" customHeight="1">
      <c r="A46" s="201"/>
      <c r="B46" s="384"/>
      <c r="C46" s="201"/>
      <c r="D46" s="201"/>
      <c r="E46" s="201"/>
      <c r="F46" s="201"/>
      <c r="G46" s="201"/>
      <c r="H46" s="201"/>
      <c r="I46" s="459"/>
      <c r="J46" s="459"/>
      <c r="K46" s="201"/>
      <c r="L46" s="201"/>
      <c r="M46" s="201"/>
      <c r="N46" s="201"/>
      <c r="O46" s="201"/>
      <c r="P46" s="201"/>
    </row>
    <row r="47" ht="33.0" customHeight="1">
      <c r="A47" s="201"/>
      <c r="B47" s="384"/>
      <c r="C47" s="201"/>
      <c r="D47" s="201"/>
      <c r="E47" s="201"/>
      <c r="F47" s="201"/>
      <c r="G47" s="201"/>
      <c r="H47" s="201"/>
      <c r="I47" s="202"/>
      <c r="J47" s="202"/>
      <c r="K47" s="201"/>
      <c r="L47" s="201"/>
      <c r="M47" s="201"/>
      <c r="N47" s="201"/>
      <c r="O47" s="201"/>
      <c r="P47" s="201"/>
    </row>
    <row r="48" ht="33.0" customHeight="1">
      <c r="A48" s="201"/>
      <c r="B48" s="384"/>
      <c r="C48" s="201"/>
      <c r="D48" s="201"/>
      <c r="E48" s="201"/>
      <c r="F48" s="201"/>
      <c r="G48" s="201"/>
      <c r="H48" s="201"/>
      <c r="I48" s="202"/>
      <c r="J48" s="202"/>
      <c r="K48" s="201"/>
      <c r="L48" s="201"/>
      <c r="M48" s="201"/>
      <c r="N48" s="462"/>
      <c r="O48" s="201"/>
      <c r="P48" s="201"/>
    </row>
    <row r="49" ht="33.0" customHeight="1">
      <c r="A49" s="201"/>
      <c r="B49" s="384"/>
      <c r="C49" s="201"/>
      <c r="D49" s="201"/>
      <c r="E49" s="201"/>
      <c r="F49" s="201"/>
      <c r="G49" s="201"/>
      <c r="H49" s="201"/>
      <c r="I49" s="202"/>
      <c r="J49" s="202"/>
      <c r="K49" s="201"/>
      <c r="L49" s="201"/>
      <c r="M49" s="201"/>
      <c r="N49" s="462"/>
      <c r="O49" s="201"/>
      <c r="P49" s="201"/>
    </row>
    <row r="50" ht="33.0" customHeight="1">
      <c r="A50" s="201"/>
      <c r="B50" s="384"/>
      <c r="C50" s="201"/>
      <c r="D50" s="201"/>
      <c r="E50" s="201"/>
      <c r="F50" s="201"/>
      <c r="G50" s="201"/>
      <c r="H50" s="201"/>
      <c r="I50" s="202"/>
      <c r="J50" s="202"/>
      <c r="K50" s="201"/>
      <c r="L50" s="201"/>
      <c r="M50" s="201"/>
      <c r="N50" s="462"/>
      <c r="O50" s="201"/>
      <c r="P50" s="201"/>
    </row>
    <row r="51" ht="33.0" customHeight="1">
      <c r="A51" s="201"/>
      <c r="B51" s="384"/>
      <c r="C51" s="201"/>
      <c r="D51" s="201"/>
      <c r="E51" s="201"/>
      <c r="F51" s="201"/>
      <c r="G51" s="201"/>
      <c r="H51" s="201"/>
      <c r="I51" s="202"/>
      <c r="J51" s="202"/>
      <c r="K51" s="201"/>
      <c r="L51" s="201"/>
      <c r="M51" s="201"/>
      <c r="N51" s="462"/>
      <c r="O51" s="201"/>
      <c r="P51" s="201"/>
    </row>
    <row r="52" ht="33.0" customHeight="1">
      <c r="A52" s="201"/>
      <c r="B52" s="384"/>
      <c r="C52" s="201"/>
      <c r="D52" s="201"/>
      <c r="E52" s="201"/>
      <c r="F52" s="201"/>
      <c r="G52" s="201"/>
      <c r="H52" s="201"/>
      <c r="I52" s="459"/>
      <c r="J52" s="202"/>
      <c r="K52" s="201"/>
      <c r="L52" s="201"/>
      <c r="M52" s="201"/>
      <c r="N52" s="201"/>
      <c r="O52" s="201"/>
      <c r="P52" s="201"/>
    </row>
    <row r="53" ht="33.0" customHeight="1">
      <c r="A53" s="201"/>
      <c r="B53" s="384"/>
      <c r="C53" s="201"/>
      <c r="D53" s="201"/>
      <c r="E53" s="201"/>
      <c r="F53" s="201"/>
      <c r="G53" s="201"/>
      <c r="H53" s="201"/>
      <c r="I53" s="459"/>
      <c r="J53" s="202"/>
      <c r="K53" s="201"/>
      <c r="L53" s="201"/>
      <c r="M53" s="201"/>
      <c r="N53" s="201"/>
      <c r="O53" s="201"/>
      <c r="P53" s="201"/>
    </row>
    <row r="54" ht="33.0" customHeight="1">
      <c r="A54" s="201"/>
      <c r="B54" s="384"/>
      <c r="C54" s="201"/>
      <c r="D54" s="201"/>
      <c r="E54" s="201"/>
      <c r="F54" s="201"/>
      <c r="G54" s="201"/>
      <c r="H54" s="201"/>
      <c r="I54" s="459"/>
      <c r="J54" s="202"/>
      <c r="K54" s="201"/>
      <c r="L54" s="201"/>
      <c r="M54" s="201"/>
      <c r="N54" s="201"/>
      <c r="O54" s="201"/>
      <c r="P54" s="201"/>
    </row>
    <row r="55" ht="33.0" customHeight="1">
      <c r="A55" s="201"/>
      <c r="B55" s="384"/>
      <c r="C55" s="201"/>
      <c r="D55" s="201"/>
      <c r="E55" s="201"/>
      <c r="F55" s="201"/>
      <c r="G55" s="201"/>
      <c r="H55" s="201"/>
      <c r="I55" s="459"/>
      <c r="J55" s="459"/>
      <c r="K55" s="201"/>
      <c r="L55" s="201"/>
      <c r="M55" s="201"/>
      <c r="N55" s="201"/>
      <c r="O55" s="201"/>
      <c r="P55" s="201"/>
    </row>
    <row r="56" ht="33.0" customHeight="1">
      <c r="A56" s="201"/>
      <c r="B56" s="384"/>
      <c r="C56" s="201"/>
      <c r="D56" s="201"/>
      <c r="E56" s="201"/>
      <c r="F56" s="201"/>
      <c r="G56" s="201"/>
      <c r="H56" s="201"/>
      <c r="I56" s="202"/>
      <c r="J56" s="202"/>
      <c r="K56" s="201"/>
      <c r="L56" s="201"/>
      <c r="M56" s="201"/>
      <c r="N56" s="201"/>
      <c r="O56" s="201"/>
      <c r="P56" s="201"/>
    </row>
    <row r="57" ht="33.0" customHeight="1">
      <c r="A57" s="201"/>
      <c r="B57" s="384"/>
      <c r="C57" s="201"/>
      <c r="D57" s="201"/>
      <c r="E57" s="201"/>
      <c r="F57" s="201"/>
      <c r="G57" s="201"/>
      <c r="H57" s="201"/>
      <c r="I57" s="459"/>
      <c r="J57" s="459"/>
      <c r="K57" s="201"/>
      <c r="L57" s="201"/>
      <c r="M57" s="201"/>
      <c r="N57" s="201"/>
      <c r="O57" s="201"/>
      <c r="P57" s="201"/>
    </row>
    <row r="58" ht="33.0" customHeight="1">
      <c r="A58" s="201"/>
      <c r="B58" s="384"/>
      <c r="C58" s="201"/>
      <c r="D58" s="201"/>
      <c r="E58" s="201"/>
      <c r="F58" s="201"/>
      <c r="G58" s="201"/>
      <c r="H58" s="201"/>
      <c r="I58" s="459"/>
      <c r="J58" s="202"/>
      <c r="K58" s="201"/>
      <c r="L58" s="201"/>
      <c r="M58" s="201"/>
      <c r="N58" s="201"/>
      <c r="O58" s="201"/>
      <c r="P58" s="201"/>
    </row>
    <row r="59" ht="33.0" customHeight="1">
      <c r="A59" s="201"/>
      <c r="B59" s="384"/>
      <c r="C59" s="201"/>
      <c r="D59" s="201"/>
      <c r="E59" s="201"/>
      <c r="F59" s="201"/>
      <c r="G59" s="201"/>
      <c r="H59" s="201"/>
      <c r="I59" s="459"/>
      <c r="J59" s="459"/>
      <c r="K59" s="201"/>
      <c r="L59" s="201"/>
      <c r="M59" s="201"/>
      <c r="N59" s="463"/>
      <c r="O59" s="201"/>
      <c r="P59" s="201"/>
    </row>
    <row r="60" ht="33.0" customHeight="1">
      <c r="A60" s="201"/>
      <c r="B60" s="384"/>
      <c r="C60" s="201"/>
      <c r="D60" s="201"/>
      <c r="E60" s="201"/>
      <c r="F60" s="201"/>
      <c r="G60" s="201"/>
      <c r="H60" s="201"/>
      <c r="I60" s="202"/>
      <c r="J60" s="202"/>
      <c r="K60" s="201"/>
      <c r="L60" s="201"/>
      <c r="M60" s="201"/>
      <c r="N60" s="463"/>
      <c r="O60" s="201"/>
      <c r="P60" s="201"/>
    </row>
    <row r="61" ht="33.0" customHeight="1">
      <c r="A61" s="201"/>
      <c r="B61" s="384"/>
      <c r="C61" s="201"/>
      <c r="D61" s="201"/>
      <c r="E61" s="201"/>
      <c r="F61" s="201"/>
      <c r="G61" s="201"/>
      <c r="H61" s="201"/>
      <c r="I61" s="459"/>
      <c r="J61" s="459"/>
      <c r="K61" s="201"/>
      <c r="L61" s="201"/>
      <c r="M61" s="201"/>
      <c r="N61" s="463"/>
      <c r="O61" s="201"/>
      <c r="P61" s="201"/>
    </row>
    <row r="62" ht="33.0" customHeight="1">
      <c r="A62" s="201"/>
      <c r="B62" s="384"/>
      <c r="C62" s="201"/>
      <c r="D62" s="201"/>
      <c r="E62" s="201"/>
      <c r="F62" s="201"/>
      <c r="G62" s="201"/>
      <c r="H62" s="201"/>
      <c r="I62" s="459"/>
      <c r="J62" s="202"/>
      <c r="K62" s="201"/>
      <c r="L62" s="201"/>
      <c r="M62" s="201"/>
      <c r="N62" s="463"/>
      <c r="O62" s="201"/>
      <c r="P62" s="201"/>
    </row>
    <row r="63" ht="33.0" customHeight="1">
      <c r="A63" s="201"/>
      <c r="B63" s="384"/>
      <c r="C63" s="201"/>
      <c r="D63" s="201"/>
      <c r="E63" s="201"/>
      <c r="F63" s="201"/>
      <c r="G63" s="201"/>
      <c r="H63" s="201"/>
      <c r="I63" s="459"/>
      <c r="J63" s="202"/>
      <c r="K63" s="201"/>
      <c r="L63" s="201"/>
      <c r="M63" s="201"/>
      <c r="N63" s="201"/>
      <c r="O63" s="201"/>
      <c r="P63" s="201"/>
    </row>
    <row r="64" ht="33.0" customHeight="1">
      <c r="A64" s="201"/>
      <c r="B64" s="384"/>
      <c r="C64" s="201"/>
      <c r="D64" s="201"/>
      <c r="E64" s="201"/>
      <c r="F64" s="201"/>
      <c r="G64" s="201"/>
      <c r="H64" s="201"/>
      <c r="I64" s="459"/>
      <c r="J64" s="202"/>
      <c r="K64" s="201"/>
      <c r="L64" s="201"/>
      <c r="M64" s="201"/>
      <c r="N64" s="463"/>
      <c r="O64" s="201"/>
      <c r="P64" s="201"/>
    </row>
    <row r="65" ht="33.0" customHeight="1">
      <c r="A65" s="201"/>
      <c r="B65" s="384"/>
      <c r="C65" s="201"/>
      <c r="D65" s="201"/>
      <c r="E65" s="201"/>
      <c r="F65" s="201"/>
      <c r="G65" s="201"/>
      <c r="H65" s="201"/>
      <c r="I65" s="459"/>
      <c r="J65" s="459"/>
      <c r="K65" s="201"/>
      <c r="L65" s="201"/>
      <c r="M65" s="201"/>
      <c r="N65" s="201"/>
      <c r="O65" s="201"/>
      <c r="P65" s="201"/>
    </row>
    <row r="66" ht="33.0" customHeight="1">
      <c r="A66" s="201"/>
      <c r="B66" s="384"/>
      <c r="C66" s="201"/>
      <c r="D66" s="201"/>
      <c r="E66" s="201"/>
      <c r="F66" s="201"/>
      <c r="G66" s="201"/>
      <c r="H66" s="201"/>
      <c r="I66" s="459"/>
      <c r="J66" s="459"/>
      <c r="K66" s="201"/>
      <c r="L66" s="201"/>
      <c r="M66" s="201"/>
      <c r="N66" s="201"/>
      <c r="O66" s="201"/>
      <c r="P66" s="201"/>
    </row>
    <row r="67" ht="33.0" customHeight="1">
      <c r="A67" s="201"/>
      <c r="B67" s="384"/>
      <c r="C67" s="201"/>
      <c r="D67" s="201"/>
      <c r="E67" s="201"/>
      <c r="F67" s="201"/>
      <c r="G67" s="201"/>
      <c r="H67" s="201"/>
      <c r="I67" s="459"/>
      <c r="J67" s="459"/>
      <c r="K67" s="201"/>
      <c r="L67" s="201"/>
      <c r="M67" s="201"/>
      <c r="N67" s="201"/>
      <c r="O67" s="201"/>
      <c r="P67" s="201"/>
    </row>
    <row r="68" ht="33.0" customHeight="1">
      <c r="A68" s="201"/>
      <c r="B68" s="384"/>
      <c r="C68" s="201"/>
      <c r="D68" s="201"/>
      <c r="E68" s="201"/>
      <c r="F68" s="201"/>
      <c r="G68" s="201"/>
      <c r="H68" s="201"/>
      <c r="I68" s="459"/>
      <c r="J68" s="459"/>
      <c r="K68" s="201"/>
      <c r="L68" s="201"/>
      <c r="M68" s="201"/>
      <c r="N68" s="201"/>
      <c r="O68" s="201"/>
      <c r="P68" s="201"/>
    </row>
    <row r="69" ht="30.75" customHeight="1">
      <c r="A69" s="201"/>
      <c r="B69" s="384"/>
      <c r="C69" s="201"/>
      <c r="D69" s="201"/>
      <c r="E69" s="201"/>
      <c r="F69" s="201"/>
      <c r="G69" s="201"/>
      <c r="H69" s="201"/>
      <c r="I69" s="202"/>
      <c r="J69" s="202"/>
      <c r="K69" s="201"/>
      <c r="L69" s="201"/>
      <c r="M69" s="201"/>
      <c r="N69" s="201"/>
      <c r="O69" s="201"/>
      <c r="P69" s="201"/>
    </row>
    <row r="70" ht="33.0" customHeight="1">
      <c r="A70" s="201"/>
      <c r="B70" s="384"/>
      <c r="C70" s="201"/>
      <c r="D70" s="201"/>
      <c r="E70" s="201"/>
      <c r="F70" s="201"/>
      <c r="G70" s="201"/>
      <c r="H70" s="201"/>
      <c r="I70" s="459"/>
      <c r="J70" s="459"/>
      <c r="K70" s="201"/>
      <c r="L70" s="201"/>
      <c r="M70" s="201"/>
      <c r="N70" s="201"/>
      <c r="O70" s="201"/>
      <c r="P70" s="201"/>
    </row>
    <row r="71" ht="33.0" customHeight="1">
      <c r="A71" s="201"/>
      <c r="B71" s="384"/>
      <c r="C71" s="201"/>
      <c r="D71" s="201"/>
      <c r="E71" s="201"/>
      <c r="F71" s="201"/>
      <c r="G71" s="201"/>
      <c r="H71" s="201"/>
      <c r="I71" s="202"/>
      <c r="J71" s="202"/>
      <c r="K71" s="201"/>
      <c r="L71" s="201"/>
      <c r="M71" s="201"/>
      <c r="N71" s="463"/>
      <c r="O71" s="201"/>
      <c r="P71" s="201"/>
    </row>
    <row r="72" ht="33.0" customHeight="1">
      <c r="A72" s="201"/>
      <c r="B72" s="384"/>
      <c r="C72" s="201"/>
      <c r="D72" s="201"/>
      <c r="E72" s="201"/>
      <c r="F72" s="201"/>
      <c r="G72" s="201"/>
      <c r="H72" s="201"/>
      <c r="I72" s="459"/>
      <c r="J72" s="202"/>
      <c r="K72" s="201"/>
      <c r="L72" s="201"/>
      <c r="M72" s="201"/>
      <c r="N72" s="463"/>
      <c r="O72" s="201"/>
      <c r="P72" s="201"/>
    </row>
    <row r="73" ht="33.0" customHeight="1">
      <c r="A73" s="201"/>
      <c r="B73" s="384"/>
      <c r="C73" s="201"/>
      <c r="D73" s="201"/>
      <c r="E73" s="201"/>
      <c r="F73" s="201"/>
      <c r="G73" s="201"/>
      <c r="H73" s="201"/>
      <c r="I73" s="459"/>
      <c r="J73" s="201"/>
      <c r="K73" s="201"/>
      <c r="L73" s="201"/>
      <c r="M73" s="201"/>
      <c r="N73" s="201"/>
      <c r="O73" s="201"/>
      <c r="P73" s="201"/>
    </row>
    <row r="74" ht="33.0" customHeight="1">
      <c r="A74" s="201"/>
      <c r="B74" s="384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</row>
    <row r="75" ht="33.0" customHeight="1">
      <c r="A75" s="201"/>
      <c r="B75" s="384"/>
      <c r="C75" s="201"/>
      <c r="D75" s="201"/>
      <c r="E75" s="201"/>
      <c r="F75" s="201"/>
      <c r="G75" s="201"/>
      <c r="H75" s="201"/>
      <c r="I75" s="459"/>
      <c r="J75" s="201"/>
      <c r="K75" s="201"/>
      <c r="L75" s="201"/>
      <c r="M75" s="201"/>
      <c r="N75" s="201"/>
      <c r="O75" s="201"/>
      <c r="P75" s="201"/>
    </row>
    <row r="76" ht="33.0" customHeight="1">
      <c r="A76" s="201"/>
      <c r="B76" s="384"/>
      <c r="C76" s="201"/>
      <c r="D76" s="201"/>
      <c r="E76" s="201"/>
      <c r="F76" s="201"/>
      <c r="G76" s="201"/>
      <c r="H76" s="201"/>
      <c r="I76" s="459"/>
      <c r="J76" s="201"/>
      <c r="K76" s="201"/>
      <c r="L76" s="201"/>
      <c r="M76" s="201"/>
      <c r="N76" s="201"/>
      <c r="O76" s="201"/>
      <c r="P76" s="201"/>
    </row>
    <row r="77" ht="33.0" customHeight="1">
      <c r="A77" s="201"/>
      <c r="B77" s="384"/>
      <c r="C77" s="201"/>
      <c r="D77" s="201"/>
      <c r="E77" s="201"/>
      <c r="F77" s="201"/>
      <c r="G77" s="201"/>
      <c r="H77" s="201"/>
      <c r="I77" s="459"/>
      <c r="J77" s="201"/>
      <c r="K77" s="201"/>
      <c r="L77" s="201"/>
      <c r="M77" s="201"/>
      <c r="N77" s="201"/>
      <c r="O77" s="201"/>
      <c r="P77" s="201"/>
    </row>
    <row r="78" ht="33.0" customHeight="1">
      <c r="A78" s="201"/>
      <c r="B78" s="384"/>
      <c r="C78" s="201"/>
      <c r="D78" s="201"/>
      <c r="E78" s="201"/>
      <c r="F78" s="201"/>
      <c r="G78" s="201"/>
      <c r="H78" s="201"/>
      <c r="I78" s="459"/>
      <c r="J78" s="201"/>
      <c r="K78" s="201"/>
      <c r="L78" s="201"/>
      <c r="M78" s="201"/>
      <c r="N78" s="201"/>
      <c r="O78" s="201"/>
      <c r="P78" s="201"/>
    </row>
    <row r="79" ht="30.75" customHeight="1">
      <c r="A79" s="208"/>
      <c r="B79" s="208"/>
      <c r="C79" s="208"/>
      <c r="D79" s="208"/>
      <c r="E79" s="208"/>
      <c r="F79" s="208"/>
      <c r="G79" s="208"/>
      <c r="H79" s="208"/>
      <c r="I79" s="464"/>
      <c r="J79" s="465"/>
      <c r="K79" s="208"/>
      <c r="L79" s="208"/>
      <c r="M79" s="208"/>
      <c r="N79" s="221"/>
      <c r="O79" s="208"/>
      <c r="P79" s="208"/>
    </row>
    <row r="80" ht="33.0" customHeight="1">
      <c r="A80" s="201"/>
      <c r="B80" s="384"/>
      <c r="C80" s="201"/>
      <c r="D80" s="201"/>
      <c r="E80" s="201"/>
      <c r="F80" s="201"/>
      <c r="G80" s="201"/>
      <c r="H80" s="201"/>
      <c r="I80" s="202"/>
      <c r="J80" s="202"/>
      <c r="K80" s="201"/>
      <c r="L80" s="201"/>
      <c r="M80" s="201"/>
      <c r="N80" s="463"/>
      <c r="O80" s="201"/>
      <c r="P80" s="201"/>
    </row>
    <row r="81" ht="33.0" customHeight="1">
      <c r="A81" s="201"/>
      <c r="B81" s="384"/>
      <c r="C81" s="201"/>
      <c r="D81" s="201"/>
      <c r="E81" s="201"/>
      <c r="F81" s="201"/>
      <c r="G81" s="201"/>
      <c r="H81" s="201"/>
      <c r="I81" s="202"/>
      <c r="J81" s="202"/>
      <c r="K81" s="201"/>
      <c r="L81" s="201"/>
      <c r="M81" s="201"/>
      <c r="N81" s="463"/>
      <c r="O81" s="201"/>
      <c r="P81" s="201"/>
    </row>
    <row r="82" ht="30.75" customHeight="1">
      <c r="A82" s="208"/>
      <c r="B82" s="208"/>
      <c r="C82" s="208"/>
      <c r="D82" s="208"/>
      <c r="E82" s="208"/>
      <c r="F82" s="208"/>
      <c r="G82" s="208"/>
      <c r="H82" s="208"/>
      <c r="I82" s="466"/>
      <c r="J82" s="209"/>
      <c r="K82" s="208"/>
      <c r="L82" s="208"/>
      <c r="M82" s="208"/>
      <c r="N82" s="221"/>
      <c r="O82" s="208"/>
      <c r="P82" s="208"/>
    </row>
    <row r="83" ht="30.75" customHeight="1">
      <c r="A83" s="467"/>
      <c r="B83" s="208"/>
      <c r="C83" s="208"/>
      <c r="D83" s="208"/>
      <c r="E83" s="208"/>
      <c r="F83" s="208"/>
      <c r="G83" s="208"/>
      <c r="H83" s="208"/>
      <c r="I83" s="464"/>
      <c r="J83" s="465"/>
      <c r="K83" s="208"/>
      <c r="L83" s="208"/>
      <c r="M83" s="208"/>
      <c r="N83" s="221"/>
      <c r="O83" s="208"/>
      <c r="P83" s="208"/>
    </row>
    <row r="84" ht="33.0" customHeight="1">
      <c r="A84" s="201"/>
      <c r="B84" s="384"/>
      <c r="C84" s="201"/>
      <c r="D84" s="201"/>
      <c r="E84" s="201"/>
      <c r="F84" s="201"/>
      <c r="G84" s="201"/>
      <c r="H84" s="201"/>
      <c r="I84" s="459"/>
      <c r="J84" s="201"/>
      <c r="K84" s="201"/>
      <c r="L84" s="201"/>
      <c r="M84" s="201"/>
      <c r="N84" s="201"/>
      <c r="O84" s="201"/>
      <c r="P84" s="201"/>
    </row>
    <row r="85" ht="33.0" customHeight="1">
      <c r="A85" s="201"/>
      <c r="B85" s="384"/>
      <c r="C85" s="201"/>
      <c r="D85" s="201"/>
      <c r="E85" s="201"/>
      <c r="F85" s="201"/>
      <c r="G85" s="201"/>
      <c r="H85" s="201"/>
      <c r="I85" s="459"/>
      <c r="J85" s="459"/>
      <c r="K85" s="201"/>
      <c r="L85" s="201"/>
      <c r="M85" s="201"/>
      <c r="N85" s="201"/>
      <c r="O85" s="201"/>
      <c r="P85" s="201"/>
    </row>
    <row r="86" ht="30.75" customHeight="1">
      <c r="A86" s="208"/>
      <c r="B86" s="208"/>
      <c r="C86" s="208"/>
      <c r="D86" s="208"/>
      <c r="E86" s="208"/>
      <c r="F86" s="208"/>
      <c r="G86" s="208"/>
      <c r="H86" s="208"/>
      <c r="I86" s="466"/>
      <c r="J86" s="209"/>
      <c r="K86" s="208"/>
      <c r="L86" s="208"/>
      <c r="M86" s="208"/>
      <c r="N86" s="221"/>
      <c r="O86" s="208"/>
      <c r="P86" s="208"/>
    </row>
    <row r="87" ht="30.75" customHeight="1">
      <c r="A87" s="208"/>
      <c r="B87" s="208"/>
      <c r="C87" s="208"/>
      <c r="D87" s="208"/>
      <c r="E87" s="208"/>
      <c r="F87" s="208"/>
      <c r="G87" s="208"/>
      <c r="H87" s="205"/>
      <c r="I87" s="466"/>
      <c r="J87" s="468"/>
      <c r="K87" s="208"/>
      <c r="L87" s="208"/>
      <c r="M87" s="208"/>
      <c r="N87" s="221"/>
      <c r="O87" s="208"/>
      <c r="P87" s="208"/>
    </row>
    <row r="88" ht="30.75" customHeight="1">
      <c r="A88" s="208"/>
      <c r="B88" s="208"/>
      <c r="C88" s="208"/>
      <c r="D88" s="208"/>
      <c r="E88" s="208"/>
      <c r="F88" s="208"/>
      <c r="G88" s="208"/>
      <c r="H88" s="205"/>
      <c r="I88" s="466"/>
      <c r="J88" s="466"/>
      <c r="K88" s="208"/>
      <c r="L88" s="208"/>
      <c r="M88" s="208"/>
      <c r="N88" s="221"/>
      <c r="O88" s="208"/>
      <c r="P88" s="208"/>
    </row>
    <row r="89" ht="30.75" customHeight="1">
      <c r="A89" s="208"/>
      <c r="B89" s="208"/>
      <c r="C89" s="208"/>
      <c r="D89" s="208"/>
      <c r="E89" s="208"/>
      <c r="F89" s="208"/>
      <c r="G89" s="208"/>
      <c r="H89" s="205"/>
      <c r="I89" s="466"/>
      <c r="J89" s="466"/>
      <c r="K89" s="208"/>
      <c r="L89" s="208"/>
      <c r="M89" s="208"/>
      <c r="N89" s="221"/>
      <c r="O89" s="208"/>
      <c r="P89" s="208"/>
    </row>
    <row r="90" ht="33.0" customHeight="1">
      <c r="A90" s="208"/>
      <c r="B90" s="208"/>
      <c r="C90" s="208"/>
      <c r="D90" s="208"/>
      <c r="E90" s="208"/>
      <c r="F90" s="208"/>
      <c r="G90" s="208"/>
      <c r="H90" s="208"/>
      <c r="I90" s="466"/>
      <c r="J90" s="209"/>
      <c r="K90" s="208"/>
      <c r="L90" s="208"/>
      <c r="M90" s="208"/>
      <c r="N90" s="221"/>
      <c r="O90" s="208"/>
      <c r="P90" s="208"/>
    </row>
    <row r="91" ht="33.0" customHeight="1">
      <c r="A91" s="201"/>
      <c r="B91" s="384"/>
      <c r="C91" s="201"/>
      <c r="D91" s="201"/>
      <c r="E91" s="201"/>
      <c r="F91" s="201"/>
      <c r="G91" s="201"/>
      <c r="H91" s="201"/>
      <c r="I91" s="459"/>
      <c r="J91" s="459"/>
      <c r="K91" s="201"/>
      <c r="L91" s="201"/>
      <c r="M91" s="201"/>
      <c r="N91" s="201"/>
      <c r="O91" s="201"/>
      <c r="P91" s="201"/>
    </row>
    <row r="92" ht="33.0" customHeight="1">
      <c r="A92" s="201"/>
      <c r="B92" s="384"/>
      <c r="C92" s="201"/>
      <c r="D92" s="201"/>
      <c r="E92" s="201"/>
      <c r="F92" s="201"/>
      <c r="G92" s="201"/>
      <c r="H92" s="201"/>
      <c r="I92" s="459"/>
      <c r="J92" s="459"/>
      <c r="K92" s="201"/>
      <c r="L92" s="201"/>
      <c r="M92" s="201"/>
      <c r="N92" s="201"/>
      <c r="O92" s="201"/>
      <c r="P92" s="201"/>
    </row>
    <row r="93" ht="33.0" customHeight="1">
      <c r="A93" s="201"/>
      <c r="B93" s="384"/>
      <c r="C93" s="201"/>
      <c r="D93" s="201"/>
      <c r="E93" s="201"/>
      <c r="F93" s="201"/>
      <c r="G93" s="201"/>
      <c r="H93" s="201"/>
      <c r="I93" s="459"/>
      <c r="J93" s="459"/>
      <c r="K93" s="201"/>
      <c r="L93" s="201"/>
      <c r="M93" s="201"/>
      <c r="N93" s="201"/>
      <c r="O93" s="201"/>
      <c r="P93" s="201"/>
    </row>
    <row r="94" ht="33.0" customHeight="1">
      <c r="A94" s="201"/>
      <c r="B94" s="384"/>
      <c r="C94" s="201"/>
      <c r="D94" s="201"/>
      <c r="E94" s="201"/>
      <c r="F94" s="201"/>
      <c r="G94" s="201"/>
      <c r="H94" s="201"/>
      <c r="I94" s="459"/>
      <c r="J94" s="459"/>
      <c r="K94" s="201"/>
      <c r="L94" s="201"/>
      <c r="M94" s="201"/>
      <c r="N94" s="201"/>
      <c r="O94" s="201"/>
      <c r="P94" s="201"/>
    </row>
    <row r="95" ht="33.0" customHeight="1">
      <c r="A95" s="201"/>
      <c r="B95" s="384"/>
      <c r="C95" s="201"/>
      <c r="D95" s="201"/>
      <c r="E95" s="201"/>
      <c r="F95" s="201"/>
      <c r="G95" s="201"/>
      <c r="H95" s="201"/>
      <c r="I95" s="459"/>
      <c r="J95" s="459"/>
      <c r="K95" s="201"/>
      <c r="L95" s="201"/>
      <c r="M95" s="201"/>
      <c r="N95" s="201"/>
      <c r="O95" s="201"/>
      <c r="P95" s="201"/>
    </row>
    <row r="96" ht="33.0" customHeight="1">
      <c r="A96" s="208"/>
      <c r="B96" s="208"/>
      <c r="C96" s="208"/>
      <c r="D96" s="208"/>
      <c r="E96" s="208"/>
      <c r="F96" s="208"/>
      <c r="G96" s="208"/>
      <c r="H96" s="205"/>
      <c r="I96" s="466"/>
      <c r="J96" s="466"/>
      <c r="K96" s="208"/>
      <c r="L96" s="208"/>
      <c r="M96" s="208"/>
      <c r="N96" s="221"/>
      <c r="O96" s="208"/>
      <c r="P96" s="208"/>
    </row>
    <row r="97" ht="33.0" customHeight="1">
      <c r="A97" s="201"/>
      <c r="B97" s="384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</row>
    <row r="98" ht="22.5" customHeight="1">
      <c r="A98" s="201"/>
      <c r="B98" s="384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</row>
    <row r="99" ht="33.0" customHeight="1">
      <c r="A99" s="201"/>
      <c r="B99" s="384"/>
      <c r="C99" s="201"/>
      <c r="D99" s="201"/>
      <c r="E99" s="201"/>
      <c r="F99" s="201"/>
      <c r="G99" s="201"/>
      <c r="H99" s="201"/>
      <c r="I99" s="459"/>
      <c r="J99" s="201"/>
      <c r="K99" s="201"/>
      <c r="L99" s="201"/>
      <c r="M99" s="201"/>
      <c r="N99" s="463"/>
      <c r="O99" s="201"/>
      <c r="P99" s="201"/>
    </row>
    <row r="100" ht="33.0" customHeight="1">
      <c r="A100" s="201"/>
      <c r="B100" s="384"/>
      <c r="C100" s="201"/>
      <c r="D100" s="201"/>
      <c r="E100" s="201"/>
      <c r="F100" s="201"/>
      <c r="G100" s="201"/>
      <c r="H100" s="201"/>
      <c r="I100" s="459"/>
      <c r="J100" s="201"/>
      <c r="K100" s="201"/>
      <c r="L100" s="201"/>
      <c r="M100" s="201"/>
      <c r="N100" s="463"/>
      <c r="O100" s="201"/>
      <c r="P100" s="201"/>
    </row>
    <row r="101" ht="33.0" customHeight="1">
      <c r="A101" s="201"/>
      <c r="B101" s="384"/>
      <c r="C101" s="201"/>
      <c r="D101" s="201"/>
      <c r="E101" s="201"/>
      <c r="F101" s="201"/>
      <c r="G101" s="201"/>
      <c r="H101" s="201"/>
      <c r="I101" s="459"/>
      <c r="J101" s="459"/>
      <c r="K101" s="201"/>
      <c r="L101" s="201"/>
      <c r="M101" s="201"/>
      <c r="N101" s="201"/>
      <c r="O101" s="201"/>
      <c r="P101" s="201"/>
    </row>
    <row r="102" ht="33.0" customHeight="1">
      <c r="A102" s="201"/>
      <c r="B102" s="384"/>
      <c r="C102" s="201"/>
      <c r="D102" s="201"/>
      <c r="E102" s="201"/>
      <c r="F102" s="201"/>
      <c r="G102" s="201"/>
      <c r="H102" s="201"/>
      <c r="I102" s="459"/>
      <c r="J102" s="202"/>
      <c r="K102" s="201"/>
      <c r="L102" s="201"/>
      <c r="M102" s="201"/>
      <c r="N102" s="463"/>
      <c r="O102" s="201"/>
      <c r="P102" s="201"/>
    </row>
    <row r="103" ht="30.75" customHeight="1">
      <c r="A103" s="208"/>
      <c r="B103" s="208"/>
      <c r="C103" s="208"/>
      <c r="D103" s="208"/>
      <c r="E103" s="208"/>
      <c r="F103" s="208"/>
      <c r="G103" s="208"/>
      <c r="H103" s="208"/>
      <c r="I103" s="465"/>
      <c r="J103" s="465"/>
      <c r="K103" s="208"/>
      <c r="L103" s="208"/>
      <c r="M103" s="208"/>
      <c r="N103" s="221"/>
      <c r="O103" s="208"/>
      <c r="P103" s="208"/>
    </row>
    <row r="104" ht="30.75" customHeight="1">
      <c r="A104" s="208"/>
      <c r="B104" s="208"/>
      <c r="C104" s="208"/>
      <c r="D104" s="208"/>
      <c r="E104" s="208"/>
      <c r="F104" s="208"/>
      <c r="G104" s="208"/>
      <c r="H104" s="208"/>
      <c r="I104" s="466"/>
      <c r="J104" s="466"/>
      <c r="K104" s="208"/>
      <c r="L104" s="208"/>
      <c r="M104" s="208"/>
      <c r="N104" s="221"/>
      <c r="O104" s="208"/>
      <c r="P104" s="208"/>
    </row>
    <row r="105" ht="33.0" customHeight="1">
      <c r="A105" s="201"/>
      <c r="B105" s="384"/>
      <c r="C105" s="201"/>
      <c r="D105" s="201"/>
      <c r="E105" s="201"/>
      <c r="F105" s="201"/>
      <c r="G105" s="201"/>
      <c r="H105" s="201"/>
      <c r="I105" s="459"/>
      <c r="J105" s="459"/>
      <c r="K105" s="201"/>
      <c r="L105" s="201"/>
      <c r="M105" s="201"/>
      <c r="N105" s="201"/>
      <c r="O105" s="201"/>
      <c r="P105" s="201"/>
    </row>
    <row r="106" ht="33.0" customHeight="1">
      <c r="A106" s="201"/>
      <c r="B106" s="384"/>
      <c r="C106" s="201"/>
      <c r="D106" s="201"/>
      <c r="E106" s="201"/>
      <c r="F106" s="201"/>
      <c r="G106" s="201"/>
      <c r="H106" s="201"/>
      <c r="I106" s="459"/>
      <c r="J106" s="201"/>
      <c r="K106" s="201"/>
      <c r="L106" s="201"/>
      <c r="M106" s="201"/>
      <c r="N106" s="201"/>
      <c r="O106" s="201"/>
      <c r="P106" s="201"/>
    </row>
    <row r="107" ht="33.0" customHeight="1">
      <c r="A107" s="201"/>
      <c r="B107" s="384"/>
      <c r="C107" s="201"/>
      <c r="D107" s="201"/>
      <c r="E107" s="201"/>
      <c r="F107" s="201"/>
      <c r="G107" s="201"/>
      <c r="H107" s="201"/>
      <c r="I107" s="202"/>
      <c r="J107" s="202"/>
      <c r="K107" s="201"/>
      <c r="L107" s="201"/>
      <c r="M107" s="201"/>
      <c r="N107" s="201"/>
      <c r="O107" s="201"/>
      <c r="P107" s="201"/>
    </row>
    <row r="108" ht="33.0" customHeight="1">
      <c r="A108" s="201"/>
      <c r="B108" s="384"/>
      <c r="C108" s="201"/>
      <c r="D108" s="201"/>
      <c r="E108" s="201"/>
      <c r="F108" s="201"/>
      <c r="G108" s="201"/>
      <c r="H108" s="201"/>
      <c r="I108" s="202"/>
      <c r="J108" s="202"/>
      <c r="K108" s="201"/>
      <c r="L108" s="201"/>
      <c r="M108" s="201"/>
      <c r="N108" s="201"/>
      <c r="O108" s="201"/>
      <c r="P108" s="201"/>
    </row>
    <row r="109" ht="30.75" customHeight="1">
      <c r="A109" s="208"/>
      <c r="B109" s="208"/>
      <c r="C109" s="208"/>
      <c r="D109" s="208"/>
      <c r="E109" s="208"/>
      <c r="F109" s="208"/>
      <c r="G109" s="208"/>
      <c r="H109" s="208"/>
      <c r="I109" s="209"/>
      <c r="J109" s="209"/>
      <c r="K109" s="208"/>
      <c r="L109" s="208"/>
      <c r="M109" s="208"/>
      <c r="N109" s="221"/>
      <c r="O109" s="208"/>
      <c r="P109" s="208"/>
    </row>
    <row r="110" ht="30.75" customHeight="1">
      <c r="A110" s="214"/>
      <c r="B110" s="208"/>
      <c r="C110" s="208"/>
      <c r="D110" s="208"/>
      <c r="E110" s="208"/>
      <c r="F110" s="208"/>
      <c r="G110" s="208"/>
      <c r="H110" s="208"/>
      <c r="I110" s="461"/>
      <c r="J110" s="461"/>
      <c r="K110" s="208"/>
      <c r="L110" s="208"/>
      <c r="M110" s="208"/>
      <c r="N110" s="221"/>
      <c r="O110" s="208"/>
      <c r="P110" s="208"/>
    </row>
    <row r="111" ht="30.75" customHeight="1">
      <c r="A111" s="214"/>
      <c r="B111" s="208"/>
      <c r="C111" s="208"/>
      <c r="D111" s="208"/>
      <c r="E111" s="208"/>
      <c r="F111" s="208"/>
      <c r="G111" s="214"/>
      <c r="H111" s="208"/>
      <c r="I111" s="461"/>
      <c r="J111" s="461"/>
      <c r="K111" s="208"/>
      <c r="L111" s="208"/>
      <c r="M111" s="208"/>
      <c r="N111" s="221"/>
      <c r="O111" s="208"/>
      <c r="P111" s="208"/>
    </row>
    <row r="112" ht="30.75" customHeight="1">
      <c r="A112" s="214"/>
      <c r="B112" s="208"/>
      <c r="C112" s="208"/>
      <c r="D112" s="208"/>
      <c r="E112" s="208"/>
      <c r="F112" s="208"/>
      <c r="G112" s="208"/>
      <c r="H112" s="208"/>
      <c r="I112" s="461"/>
      <c r="J112" s="461"/>
      <c r="K112" s="208"/>
      <c r="L112" s="208"/>
      <c r="M112" s="208"/>
      <c r="N112" s="221"/>
      <c r="O112" s="208"/>
      <c r="P112" s="208"/>
    </row>
    <row r="113" ht="33.0" customHeight="1">
      <c r="A113" s="201"/>
      <c r="B113" s="384"/>
      <c r="C113" s="201"/>
      <c r="D113" s="201"/>
      <c r="E113" s="201"/>
      <c r="F113" s="201"/>
      <c r="G113" s="201"/>
      <c r="H113" s="201"/>
      <c r="I113" s="459"/>
      <c r="J113" s="459"/>
      <c r="K113" s="201"/>
      <c r="L113" s="201"/>
      <c r="M113" s="201"/>
      <c r="N113" s="201"/>
      <c r="O113" s="201"/>
      <c r="P113" s="201"/>
    </row>
    <row r="114" ht="33.0" customHeight="1">
      <c r="A114" s="201"/>
      <c r="B114" s="384"/>
      <c r="C114" s="201"/>
      <c r="D114" s="201"/>
      <c r="E114" s="201"/>
      <c r="F114" s="201"/>
      <c r="G114" s="201"/>
      <c r="H114" s="201"/>
      <c r="I114" s="202"/>
      <c r="J114" s="202"/>
      <c r="K114" s="201"/>
      <c r="L114" s="201"/>
      <c r="M114" s="201"/>
      <c r="N114" s="201"/>
      <c r="O114" s="201"/>
      <c r="P114" s="201"/>
    </row>
    <row r="115" ht="33.0" customHeight="1">
      <c r="A115" s="201"/>
      <c r="B115" s="384"/>
      <c r="C115" s="201"/>
      <c r="D115" s="201"/>
      <c r="E115" s="201"/>
      <c r="F115" s="201"/>
      <c r="G115" s="201"/>
      <c r="H115" s="201"/>
      <c r="I115" s="202"/>
      <c r="J115" s="202"/>
      <c r="K115" s="201"/>
      <c r="L115" s="201"/>
      <c r="M115" s="201"/>
      <c r="N115" s="201"/>
      <c r="O115" s="201"/>
      <c r="P115" s="201"/>
    </row>
    <row r="116" ht="33.0" customHeight="1">
      <c r="A116" s="201"/>
      <c r="B116" s="384"/>
      <c r="C116" s="201"/>
      <c r="D116" s="201"/>
      <c r="E116" s="201"/>
      <c r="F116" s="201"/>
      <c r="G116" s="201"/>
      <c r="H116" s="201"/>
      <c r="I116" s="459"/>
      <c r="J116" s="459"/>
      <c r="K116" s="201"/>
      <c r="L116" s="201"/>
      <c r="M116" s="201"/>
      <c r="N116" s="201"/>
      <c r="O116" s="201"/>
      <c r="P116" s="201"/>
    </row>
    <row r="117" ht="33.0" customHeight="1">
      <c r="A117" s="201"/>
      <c r="B117" s="384"/>
      <c r="C117" s="201"/>
      <c r="D117" s="201"/>
      <c r="E117" s="201"/>
      <c r="F117" s="201"/>
      <c r="G117" s="201"/>
      <c r="H117" s="201"/>
      <c r="I117" s="459"/>
      <c r="J117" s="459"/>
      <c r="K117" s="201"/>
      <c r="L117" s="201"/>
      <c r="M117" s="201"/>
      <c r="N117" s="201"/>
      <c r="O117" s="201"/>
      <c r="P117" s="201"/>
    </row>
    <row r="118" ht="33.0" customHeight="1">
      <c r="A118" s="201"/>
      <c r="B118" s="384"/>
      <c r="C118" s="201"/>
      <c r="D118" s="201"/>
      <c r="E118" s="201"/>
      <c r="F118" s="201"/>
      <c r="G118" s="201"/>
      <c r="H118" s="201"/>
      <c r="I118" s="459"/>
      <c r="J118" s="459"/>
      <c r="K118" s="201"/>
      <c r="L118" s="201"/>
      <c r="M118" s="201"/>
      <c r="N118" s="201"/>
      <c r="O118" s="201"/>
      <c r="P118" s="201"/>
    </row>
    <row r="119" ht="33.0" customHeight="1">
      <c r="A119" s="201"/>
      <c r="B119" s="384"/>
      <c r="C119" s="201"/>
      <c r="D119" s="201"/>
      <c r="E119" s="201"/>
      <c r="F119" s="201"/>
      <c r="G119" s="201"/>
      <c r="H119" s="201"/>
      <c r="I119" s="459"/>
      <c r="J119" s="459"/>
      <c r="K119" s="201"/>
      <c r="L119" s="201"/>
      <c r="M119" s="201"/>
      <c r="N119" s="201"/>
      <c r="O119" s="201"/>
      <c r="P119" s="201"/>
    </row>
    <row r="120" ht="33.0" customHeight="1">
      <c r="A120" s="201"/>
      <c r="B120" s="384"/>
      <c r="C120" s="201"/>
      <c r="D120" s="201"/>
      <c r="E120" s="201"/>
      <c r="F120" s="201"/>
      <c r="G120" s="201"/>
      <c r="H120" s="201"/>
      <c r="I120" s="459"/>
      <c r="J120" s="459"/>
      <c r="K120" s="201"/>
      <c r="L120" s="201"/>
      <c r="M120" s="201"/>
      <c r="N120" s="201"/>
      <c r="O120" s="201"/>
      <c r="P120" s="201"/>
    </row>
    <row r="121" ht="33.0" customHeight="1">
      <c r="A121" s="201"/>
      <c r="B121" s="384"/>
      <c r="C121" s="201"/>
      <c r="D121" s="201"/>
      <c r="E121" s="201"/>
      <c r="F121" s="201"/>
      <c r="G121" s="201"/>
      <c r="H121" s="201"/>
      <c r="I121" s="459"/>
      <c r="J121" s="459"/>
      <c r="K121" s="201"/>
      <c r="L121" s="201"/>
      <c r="M121" s="201"/>
      <c r="N121" s="201"/>
      <c r="O121" s="201"/>
      <c r="P121" s="201"/>
    </row>
    <row r="122" ht="33.0" customHeight="1">
      <c r="A122" s="214"/>
      <c r="B122" s="208"/>
      <c r="C122" s="208"/>
      <c r="D122" s="208"/>
      <c r="E122" s="208"/>
      <c r="F122" s="208"/>
      <c r="G122" s="214"/>
      <c r="H122" s="208"/>
      <c r="I122" s="466"/>
      <c r="J122" s="466"/>
      <c r="K122" s="208"/>
      <c r="L122" s="208"/>
      <c r="M122" s="208"/>
      <c r="N122" s="221"/>
      <c r="O122" s="208"/>
      <c r="P122" s="208"/>
    </row>
    <row r="123" ht="30.75" customHeight="1">
      <c r="A123" s="208"/>
      <c r="B123" s="208"/>
      <c r="C123" s="208"/>
      <c r="D123" s="208"/>
      <c r="E123" s="208"/>
      <c r="F123" s="208"/>
      <c r="G123" s="208"/>
      <c r="H123" s="208"/>
      <c r="I123" s="461"/>
      <c r="J123" s="461"/>
      <c r="K123" s="208"/>
      <c r="L123" s="208"/>
      <c r="M123" s="208"/>
      <c r="N123" s="221"/>
      <c r="O123" s="208"/>
      <c r="P123" s="208"/>
    </row>
    <row r="124" ht="30.75" customHeight="1">
      <c r="A124" s="208"/>
      <c r="B124" s="208"/>
      <c r="C124" s="208"/>
      <c r="D124" s="208"/>
      <c r="E124" s="208"/>
      <c r="F124" s="208"/>
      <c r="G124" s="208"/>
      <c r="H124" s="208"/>
      <c r="I124" s="461"/>
      <c r="J124" s="461"/>
      <c r="K124" s="208"/>
      <c r="L124" s="208"/>
      <c r="M124" s="208"/>
      <c r="N124" s="221"/>
      <c r="O124" s="208"/>
      <c r="P124" s="208"/>
    </row>
    <row r="125" ht="33.0" customHeight="1">
      <c r="A125" s="201"/>
      <c r="B125" s="384"/>
      <c r="C125" s="201"/>
      <c r="D125" s="201"/>
      <c r="E125" s="201"/>
      <c r="F125" s="201"/>
      <c r="G125" s="201"/>
      <c r="H125" s="201"/>
      <c r="I125" s="459"/>
      <c r="J125" s="459"/>
      <c r="K125" s="201"/>
      <c r="L125" s="201"/>
      <c r="M125" s="201"/>
      <c r="N125" s="201"/>
      <c r="O125" s="201"/>
      <c r="P125" s="201"/>
    </row>
    <row r="126" ht="33.0" customHeight="1">
      <c r="A126" s="201"/>
      <c r="B126" s="384"/>
      <c r="C126" s="201"/>
      <c r="D126" s="201"/>
      <c r="E126" s="201"/>
      <c r="F126" s="201"/>
      <c r="G126" s="201"/>
      <c r="H126" s="201"/>
      <c r="I126" s="459"/>
      <c r="J126" s="459"/>
      <c r="K126" s="201"/>
      <c r="L126" s="201"/>
      <c r="M126" s="201"/>
      <c r="N126" s="201"/>
      <c r="O126" s="201"/>
      <c r="P126" s="201"/>
    </row>
    <row r="127" ht="30.75" customHeight="1">
      <c r="A127" s="208"/>
      <c r="B127" s="208"/>
      <c r="C127" s="208"/>
      <c r="D127" s="208"/>
      <c r="E127" s="208"/>
      <c r="F127" s="208"/>
      <c r="G127" s="208"/>
      <c r="H127" s="208"/>
      <c r="I127" s="209"/>
      <c r="J127" s="209"/>
      <c r="K127" s="208"/>
      <c r="L127" s="208"/>
      <c r="M127" s="208"/>
      <c r="N127" s="221"/>
      <c r="O127" s="208"/>
      <c r="P127" s="208"/>
    </row>
    <row r="128" ht="30.75" customHeight="1">
      <c r="A128" s="208"/>
      <c r="B128" s="208"/>
      <c r="C128" s="208"/>
      <c r="D128" s="208"/>
      <c r="E128" s="208"/>
      <c r="F128" s="208"/>
      <c r="G128" s="208"/>
      <c r="H128" s="208"/>
      <c r="I128" s="461"/>
      <c r="J128" s="461"/>
      <c r="K128" s="208"/>
      <c r="L128" s="208"/>
      <c r="M128" s="208"/>
      <c r="N128" s="221"/>
      <c r="O128" s="208"/>
      <c r="P128" s="208"/>
    </row>
    <row r="129" ht="30.75" customHeight="1">
      <c r="A129" s="208"/>
      <c r="B129" s="208"/>
      <c r="C129" s="208"/>
      <c r="D129" s="208"/>
      <c r="E129" s="208"/>
      <c r="F129" s="208"/>
      <c r="G129" s="208"/>
      <c r="H129" s="208"/>
      <c r="I129" s="461"/>
      <c r="J129" s="461"/>
      <c r="K129" s="208"/>
      <c r="L129" s="208"/>
      <c r="M129" s="208"/>
      <c r="N129" s="221"/>
      <c r="O129" s="208"/>
      <c r="P129" s="208"/>
    </row>
    <row r="130" ht="30.75" customHeight="1">
      <c r="A130" s="208"/>
      <c r="B130" s="208"/>
      <c r="C130" s="208"/>
      <c r="D130" s="208"/>
      <c r="E130" s="208"/>
      <c r="F130" s="208"/>
      <c r="G130" s="208"/>
      <c r="H130" s="208"/>
      <c r="I130" s="466"/>
      <c r="J130" s="466"/>
      <c r="K130" s="208"/>
      <c r="L130" s="208"/>
      <c r="M130" s="208"/>
      <c r="N130" s="221"/>
      <c r="O130" s="208"/>
      <c r="P130" s="208"/>
    </row>
    <row r="131" ht="30.75" customHeight="1">
      <c r="A131" s="208"/>
      <c r="B131" s="208"/>
      <c r="C131" s="208"/>
      <c r="D131" s="208"/>
      <c r="E131" s="208"/>
      <c r="F131" s="208"/>
      <c r="G131" s="208"/>
      <c r="H131" s="208"/>
      <c r="I131" s="461"/>
      <c r="J131" s="461"/>
      <c r="K131" s="208"/>
      <c r="L131" s="208"/>
      <c r="M131" s="208"/>
      <c r="N131" s="221"/>
      <c r="O131" s="208"/>
      <c r="P131" s="208"/>
    </row>
    <row r="132" ht="30.75" customHeight="1">
      <c r="A132" s="186"/>
      <c r="B132" s="187"/>
      <c r="C132" s="186"/>
      <c r="D132" s="186"/>
      <c r="E132" s="186"/>
      <c r="F132" s="186"/>
      <c r="G132" s="186"/>
      <c r="H132" s="186"/>
      <c r="I132" s="188"/>
      <c r="J132" s="188"/>
      <c r="K132" s="186"/>
      <c r="L132" s="186"/>
      <c r="M132" s="186"/>
      <c r="N132" s="189"/>
      <c r="O132" s="186"/>
      <c r="P132" s="186"/>
    </row>
    <row r="133" ht="30.75" customHeight="1">
      <c r="A133" s="186"/>
      <c r="B133" s="187"/>
      <c r="C133" s="186"/>
      <c r="D133" s="186"/>
      <c r="E133" s="186"/>
      <c r="F133" s="186"/>
      <c r="G133" s="186"/>
      <c r="H133" s="186"/>
      <c r="I133" s="188"/>
      <c r="J133" s="188"/>
      <c r="K133" s="186"/>
      <c r="L133" s="186"/>
      <c r="M133" s="186"/>
      <c r="N133" s="189"/>
      <c r="O133" s="186"/>
      <c r="P133" s="201"/>
    </row>
    <row r="134" ht="33.0" customHeight="1">
      <c r="A134" s="186"/>
      <c r="B134" s="187"/>
      <c r="C134" s="186"/>
      <c r="D134" s="186"/>
      <c r="E134" s="186"/>
      <c r="F134" s="186"/>
      <c r="G134" s="186"/>
      <c r="H134" s="186"/>
      <c r="I134" s="188"/>
      <c r="J134" s="188"/>
      <c r="K134" s="186"/>
      <c r="L134" s="186"/>
      <c r="M134" s="186"/>
      <c r="N134" s="190"/>
      <c r="O134" s="186"/>
      <c r="P134" s="201"/>
    </row>
    <row r="135" ht="30.75" customHeight="1">
      <c r="A135" s="186"/>
      <c r="B135" s="187"/>
      <c r="C135" s="186"/>
      <c r="D135" s="186"/>
      <c r="E135" s="186"/>
      <c r="F135" s="186"/>
      <c r="G135" s="186"/>
      <c r="H135" s="186"/>
      <c r="I135" s="188"/>
      <c r="J135" s="188"/>
      <c r="K135" s="186"/>
      <c r="L135" s="186"/>
      <c r="M135" s="186"/>
      <c r="N135" s="189"/>
      <c r="O135" s="186"/>
      <c r="P135" s="186"/>
    </row>
    <row r="136" ht="30.75" customHeight="1">
      <c r="A136" s="186"/>
      <c r="B136" s="187"/>
      <c r="C136" s="186"/>
      <c r="D136" s="186"/>
      <c r="E136" s="186"/>
      <c r="F136" s="186"/>
      <c r="G136" s="186"/>
      <c r="H136" s="186"/>
      <c r="I136" s="188"/>
      <c r="J136" s="188"/>
      <c r="K136" s="186"/>
      <c r="L136" s="186"/>
      <c r="M136" s="186"/>
      <c r="N136" s="189"/>
      <c r="O136" s="186"/>
      <c r="P136" s="186"/>
    </row>
    <row r="137" ht="30.75" customHeight="1">
      <c r="A137" s="186"/>
      <c r="B137" s="389"/>
      <c r="C137" s="186"/>
      <c r="D137" s="390"/>
      <c r="E137" s="186"/>
      <c r="F137" s="186"/>
      <c r="G137" s="186"/>
      <c r="H137" s="186"/>
      <c r="I137" s="188"/>
      <c r="J137" s="188"/>
      <c r="K137" s="186"/>
      <c r="L137" s="186"/>
      <c r="M137" s="186"/>
      <c r="N137" s="189"/>
      <c r="O137" s="186"/>
      <c r="P137" s="201"/>
    </row>
    <row r="138" ht="33.0" customHeight="1">
      <c r="A138" s="186"/>
      <c r="B138" s="187"/>
      <c r="C138" s="186"/>
      <c r="D138" s="186"/>
      <c r="E138" s="186"/>
      <c r="F138" s="186"/>
      <c r="G138" s="186"/>
      <c r="H138" s="186"/>
      <c r="I138" s="188"/>
      <c r="J138" s="188"/>
      <c r="K138" s="186"/>
      <c r="L138" s="190"/>
      <c r="M138" s="186"/>
      <c r="N138" s="190"/>
      <c r="O138" s="186"/>
      <c r="P138" s="186"/>
    </row>
    <row r="139" ht="33.0" customHeight="1">
      <c r="A139" s="186"/>
      <c r="B139" s="187"/>
      <c r="C139" s="186"/>
      <c r="D139" s="186"/>
      <c r="E139" s="186"/>
      <c r="F139" s="186"/>
      <c r="G139" s="186"/>
      <c r="H139" s="186"/>
      <c r="I139" s="188"/>
      <c r="J139" s="188"/>
      <c r="K139" s="186"/>
      <c r="L139" s="190"/>
      <c r="M139" s="186"/>
      <c r="N139" s="190"/>
      <c r="O139" s="186"/>
      <c r="P139" s="186"/>
    </row>
    <row r="140" ht="33.0" customHeight="1">
      <c r="A140" s="186"/>
      <c r="B140" s="187"/>
      <c r="C140" s="186"/>
      <c r="D140" s="186"/>
      <c r="E140" s="186"/>
      <c r="F140" s="186"/>
      <c r="G140" s="186"/>
      <c r="H140" s="186"/>
      <c r="I140" s="188"/>
      <c r="J140" s="188"/>
      <c r="K140" s="186"/>
      <c r="L140" s="186"/>
      <c r="M140" s="186"/>
      <c r="N140" s="190"/>
      <c r="O140" s="186"/>
      <c r="P140" s="186"/>
    </row>
    <row r="141" ht="33.0" customHeight="1">
      <c r="A141" s="186"/>
      <c r="B141" s="187"/>
      <c r="C141" s="186"/>
      <c r="D141" s="186"/>
      <c r="E141" s="186"/>
      <c r="F141" s="186"/>
      <c r="G141" s="186"/>
      <c r="H141" s="186"/>
      <c r="I141" s="188"/>
      <c r="J141" s="188"/>
      <c r="K141" s="186"/>
      <c r="L141" s="186"/>
      <c r="M141" s="186"/>
      <c r="N141" s="190"/>
      <c r="O141" s="186"/>
      <c r="P141" s="186"/>
    </row>
    <row r="142" ht="30.75" customHeight="1">
      <c r="A142" s="186"/>
      <c r="B142" s="187"/>
      <c r="C142" s="186"/>
      <c r="D142" s="186"/>
      <c r="E142" s="186"/>
      <c r="F142" s="186"/>
      <c r="G142" s="186"/>
      <c r="H142" s="186"/>
      <c r="I142" s="188"/>
      <c r="J142" s="188"/>
      <c r="K142" s="186"/>
      <c r="L142" s="186"/>
      <c r="M142" s="186"/>
      <c r="N142" s="189"/>
      <c r="O142" s="186"/>
      <c r="P142" s="186"/>
    </row>
    <row r="143" ht="30.75" customHeight="1">
      <c r="A143" s="186"/>
      <c r="B143" s="186"/>
      <c r="C143" s="186"/>
      <c r="D143" s="186"/>
      <c r="E143" s="190"/>
      <c r="F143" s="186"/>
      <c r="G143" s="186"/>
      <c r="H143" s="190"/>
      <c r="I143" s="191"/>
      <c r="J143" s="191"/>
      <c r="K143" s="186"/>
      <c r="L143" s="190"/>
      <c r="M143" s="186"/>
      <c r="N143" s="189"/>
      <c r="O143" s="186"/>
      <c r="P143" s="201"/>
    </row>
    <row r="144" ht="30.75" customHeight="1">
      <c r="A144" s="186"/>
      <c r="B144" s="187"/>
      <c r="C144" s="186"/>
      <c r="D144" s="186"/>
      <c r="E144" s="186"/>
      <c r="F144" s="186"/>
      <c r="G144" s="186"/>
      <c r="H144" s="186"/>
      <c r="I144" s="348"/>
      <c r="J144" s="348"/>
      <c r="K144" s="186"/>
      <c r="L144" s="186"/>
      <c r="M144" s="186"/>
      <c r="N144" s="189"/>
      <c r="O144" s="186"/>
      <c r="P144" s="186"/>
    </row>
    <row r="145" ht="30.75" customHeight="1">
      <c r="A145" s="186"/>
      <c r="B145" s="187"/>
      <c r="C145" s="186"/>
      <c r="D145" s="186"/>
      <c r="E145" s="186"/>
      <c r="F145" s="186"/>
      <c r="G145" s="186"/>
      <c r="H145" s="186"/>
      <c r="I145" s="188"/>
      <c r="J145" s="188"/>
      <c r="K145" s="186"/>
      <c r="L145" s="186"/>
      <c r="M145" s="186"/>
      <c r="N145" s="189"/>
      <c r="O145" s="186"/>
      <c r="P145" s="186"/>
    </row>
    <row r="146" ht="30.75" customHeight="1">
      <c r="A146" s="186"/>
      <c r="B146" s="186"/>
      <c r="C146" s="186"/>
      <c r="D146" s="186"/>
      <c r="E146" s="186"/>
      <c r="F146" s="186"/>
      <c r="G146" s="186"/>
      <c r="H146" s="186"/>
      <c r="I146" s="188"/>
      <c r="J146" s="188"/>
      <c r="K146" s="186"/>
      <c r="L146" s="190"/>
      <c r="M146" s="186"/>
      <c r="N146" s="190"/>
      <c r="O146" s="186"/>
      <c r="P146" s="201"/>
    </row>
    <row r="147" ht="30.75" customHeight="1">
      <c r="A147" s="186"/>
      <c r="B147" s="187"/>
      <c r="C147" s="186"/>
      <c r="D147" s="186"/>
      <c r="E147" s="186"/>
      <c r="F147" s="186"/>
      <c r="G147" s="186"/>
      <c r="H147" s="186"/>
      <c r="I147" s="348"/>
      <c r="J147" s="348"/>
      <c r="K147" s="186"/>
      <c r="L147" s="186"/>
      <c r="M147" s="186"/>
      <c r="N147" s="189"/>
      <c r="O147" s="186"/>
      <c r="P147" s="186"/>
    </row>
    <row r="148" ht="30.75" customHeight="1">
      <c r="A148" s="186"/>
      <c r="B148" s="187"/>
      <c r="C148" s="186"/>
      <c r="D148" s="186"/>
      <c r="E148" s="186"/>
      <c r="F148" s="186"/>
      <c r="G148" s="186"/>
      <c r="H148" s="186"/>
      <c r="I148" s="348"/>
      <c r="J148" s="348"/>
      <c r="K148" s="186"/>
      <c r="L148" s="186"/>
      <c r="M148" s="186"/>
      <c r="N148" s="189"/>
      <c r="O148" s="186"/>
      <c r="P148" s="186"/>
    </row>
    <row r="149" ht="30.75" customHeight="1">
      <c r="A149" s="186"/>
      <c r="B149" s="389"/>
      <c r="C149" s="186"/>
      <c r="D149" s="186"/>
      <c r="E149" s="186"/>
      <c r="F149" s="186"/>
      <c r="G149" s="186"/>
      <c r="H149" s="186"/>
      <c r="I149" s="348"/>
      <c r="J149" s="348"/>
      <c r="K149" s="186"/>
      <c r="L149" s="186"/>
      <c r="M149" s="186"/>
      <c r="N149" s="189"/>
      <c r="O149" s="186"/>
      <c r="P149" s="186"/>
    </row>
    <row r="150" ht="30.75" customHeight="1">
      <c r="A150" s="186"/>
      <c r="B150" s="389"/>
      <c r="C150" s="186"/>
      <c r="D150" s="186"/>
      <c r="E150" s="186"/>
      <c r="F150" s="186"/>
      <c r="G150" s="186"/>
      <c r="H150" s="186"/>
      <c r="I150" s="348"/>
      <c r="J150" s="348"/>
      <c r="K150" s="186"/>
      <c r="L150" s="186"/>
      <c r="M150" s="186"/>
      <c r="N150" s="189"/>
      <c r="O150" s="186"/>
      <c r="P150" s="186"/>
    </row>
    <row r="151" ht="30.75" customHeight="1">
      <c r="A151" s="186"/>
      <c r="B151" s="389"/>
      <c r="C151" s="186"/>
      <c r="D151" s="390"/>
      <c r="E151" s="186"/>
      <c r="F151" s="186"/>
      <c r="G151" s="186"/>
      <c r="H151" s="186"/>
      <c r="I151" s="228"/>
      <c r="J151" s="188"/>
      <c r="K151" s="186"/>
      <c r="L151" s="186"/>
      <c r="M151" s="186"/>
      <c r="N151" s="189"/>
      <c r="O151" s="186"/>
      <c r="P151" s="201"/>
    </row>
    <row r="152" ht="30.75" customHeight="1">
      <c r="A152" s="186"/>
      <c r="B152" s="190"/>
      <c r="C152" s="189"/>
      <c r="D152" s="189"/>
      <c r="E152" s="189"/>
      <c r="F152" s="189"/>
      <c r="G152" s="189"/>
      <c r="H152" s="186"/>
      <c r="I152" s="191"/>
      <c r="J152" s="191"/>
      <c r="K152" s="190"/>
      <c r="L152" s="186"/>
      <c r="M152" s="186"/>
      <c r="N152" s="189"/>
      <c r="O152" s="469"/>
      <c r="P152" s="201"/>
    </row>
    <row r="153" ht="30.75" customHeight="1">
      <c r="A153" s="186"/>
      <c r="B153" s="187"/>
      <c r="C153" s="186"/>
      <c r="D153" s="186"/>
      <c r="E153" s="186"/>
      <c r="F153" s="186"/>
      <c r="G153" s="186"/>
      <c r="H153" s="186"/>
      <c r="I153" s="348"/>
      <c r="J153" s="348"/>
      <c r="K153" s="186"/>
      <c r="L153" s="186"/>
      <c r="M153" s="186"/>
      <c r="N153" s="189"/>
      <c r="O153" s="186"/>
      <c r="P153" s="186"/>
    </row>
    <row r="154" ht="30.75" customHeight="1">
      <c r="A154" s="186"/>
      <c r="B154" s="187"/>
      <c r="C154" s="186"/>
      <c r="D154" s="186"/>
      <c r="E154" s="186"/>
      <c r="F154" s="186"/>
      <c r="G154" s="186"/>
      <c r="H154" s="186"/>
      <c r="I154" s="188"/>
      <c r="J154" s="188"/>
      <c r="K154" s="186"/>
      <c r="L154" s="186"/>
      <c r="M154" s="186"/>
      <c r="N154" s="189"/>
      <c r="O154" s="186"/>
      <c r="P154" s="186"/>
    </row>
    <row r="155" ht="30.75" customHeight="1">
      <c r="A155" s="186"/>
      <c r="B155" s="389"/>
      <c r="C155" s="186"/>
      <c r="D155" s="390"/>
      <c r="E155" s="186"/>
      <c r="F155" s="186"/>
      <c r="G155" s="186"/>
      <c r="H155" s="186"/>
      <c r="I155" s="188"/>
      <c r="J155" s="188"/>
      <c r="K155" s="186"/>
      <c r="L155" s="186"/>
      <c r="M155" s="186"/>
      <c r="N155" s="189"/>
      <c r="O155" s="186"/>
      <c r="P155" s="201"/>
    </row>
    <row r="156" ht="30.75" customHeight="1">
      <c r="A156" s="186"/>
      <c r="B156" s="187"/>
      <c r="C156" s="186"/>
      <c r="D156" s="186"/>
      <c r="E156" s="186"/>
      <c r="F156" s="186"/>
      <c r="G156" s="186"/>
      <c r="H156" s="186"/>
      <c r="I156" s="348"/>
      <c r="J156" s="348"/>
      <c r="K156" s="186"/>
      <c r="L156" s="186"/>
      <c r="M156" s="186"/>
      <c r="N156" s="189"/>
      <c r="O156" s="186"/>
      <c r="P156" s="186"/>
    </row>
    <row r="157" ht="33.0" customHeight="1">
      <c r="A157" s="186"/>
      <c r="B157" s="187"/>
      <c r="C157" s="186"/>
      <c r="D157" s="186"/>
      <c r="E157" s="186"/>
      <c r="F157" s="186"/>
      <c r="G157" s="186"/>
      <c r="H157" s="186"/>
      <c r="I157" s="188"/>
      <c r="J157" s="188"/>
      <c r="K157" s="186"/>
      <c r="L157" s="186"/>
      <c r="M157" s="186"/>
      <c r="N157" s="190"/>
      <c r="O157" s="186"/>
      <c r="P157" s="186"/>
    </row>
    <row r="158" ht="33.0" customHeight="1">
      <c r="A158" s="186"/>
      <c r="B158" s="187"/>
      <c r="C158" s="186"/>
      <c r="D158" s="186"/>
      <c r="E158" s="186"/>
      <c r="F158" s="186"/>
      <c r="G158" s="186"/>
      <c r="H158" s="186"/>
      <c r="I158" s="188"/>
      <c r="J158" s="188"/>
      <c r="K158" s="186"/>
      <c r="L158" s="186"/>
      <c r="M158" s="186"/>
      <c r="N158" s="190"/>
      <c r="O158" s="186"/>
      <c r="P158" s="186"/>
    </row>
    <row r="159" ht="33.0" customHeight="1">
      <c r="A159" s="186"/>
      <c r="B159" s="189"/>
      <c r="C159" s="189"/>
      <c r="D159" s="189"/>
      <c r="E159" s="189"/>
      <c r="F159" s="189"/>
      <c r="G159" s="186"/>
      <c r="H159" s="186"/>
      <c r="I159" s="191"/>
      <c r="J159" s="470"/>
      <c r="K159" s="189"/>
      <c r="L159" s="189"/>
      <c r="M159" s="186"/>
      <c r="N159" s="190"/>
      <c r="O159" s="186"/>
      <c r="P159" s="186"/>
    </row>
    <row r="160" ht="30.75" customHeight="1">
      <c r="A160" s="228"/>
      <c r="B160" s="389"/>
      <c r="C160" s="186"/>
      <c r="D160" s="390"/>
      <c r="E160" s="186"/>
      <c r="F160" s="186"/>
      <c r="G160" s="186"/>
      <c r="H160" s="186"/>
      <c r="I160" s="188"/>
      <c r="J160" s="188"/>
      <c r="K160" s="186"/>
      <c r="L160" s="186"/>
      <c r="M160" s="186"/>
      <c r="N160" s="189"/>
      <c r="O160" s="186"/>
      <c r="P160" s="201"/>
    </row>
    <row r="161" ht="33.0" customHeight="1">
      <c r="A161" s="186"/>
      <c r="B161" s="187"/>
      <c r="C161" s="186"/>
      <c r="D161" s="186"/>
      <c r="E161" s="186"/>
      <c r="F161" s="186"/>
      <c r="G161" s="186"/>
      <c r="H161" s="186"/>
      <c r="I161" s="188"/>
      <c r="J161" s="188"/>
      <c r="K161" s="186"/>
      <c r="L161" s="186"/>
      <c r="M161" s="186"/>
      <c r="N161" s="190"/>
      <c r="O161" s="186"/>
      <c r="P161" s="186"/>
    </row>
    <row r="162" ht="33.0" customHeight="1">
      <c r="A162" s="186"/>
      <c r="B162" s="186"/>
      <c r="C162" s="186"/>
      <c r="D162" s="186"/>
      <c r="E162" s="186"/>
      <c r="F162" s="186"/>
      <c r="G162" s="186"/>
      <c r="H162" s="186"/>
      <c r="I162" s="191"/>
      <c r="J162" s="188"/>
      <c r="K162" s="186"/>
      <c r="L162" s="186"/>
      <c r="M162" s="186"/>
      <c r="N162" s="190"/>
      <c r="O162" s="186"/>
      <c r="P162" s="186"/>
    </row>
    <row r="163" ht="30.75" customHeight="1">
      <c r="A163" s="186"/>
      <c r="B163" s="186"/>
      <c r="C163" s="186"/>
      <c r="D163" s="186"/>
      <c r="E163" s="186"/>
      <c r="F163" s="186"/>
      <c r="G163" s="186"/>
      <c r="H163" s="186"/>
      <c r="I163" s="188"/>
      <c r="J163" s="188"/>
      <c r="K163" s="186"/>
      <c r="L163" s="190"/>
      <c r="M163" s="186"/>
      <c r="N163" s="190"/>
      <c r="O163" s="186"/>
      <c r="P163" s="201"/>
    </row>
    <row r="164" ht="30.75" customHeight="1">
      <c r="A164" s="186"/>
      <c r="B164" s="186"/>
      <c r="C164" s="186"/>
      <c r="D164" s="186"/>
      <c r="E164" s="186"/>
      <c r="F164" s="186"/>
      <c r="G164" s="186"/>
      <c r="H164" s="186"/>
      <c r="I164" s="188"/>
      <c r="J164" s="188"/>
      <c r="K164" s="186"/>
      <c r="L164" s="190"/>
      <c r="M164" s="186"/>
      <c r="N164" s="190"/>
      <c r="O164" s="186"/>
      <c r="P164" s="201"/>
    </row>
    <row r="165" ht="30.75" customHeight="1">
      <c r="A165" s="186"/>
      <c r="B165" s="389"/>
      <c r="C165" s="186"/>
      <c r="D165" s="390"/>
      <c r="E165" s="186"/>
      <c r="F165" s="186"/>
      <c r="G165" s="186"/>
      <c r="H165" s="186"/>
      <c r="I165" s="188"/>
      <c r="J165" s="188"/>
      <c r="K165" s="186"/>
      <c r="L165" s="186"/>
      <c r="M165" s="186"/>
      <c r="N165" s="189"/>
      <c r="O165" s="186"/>
      <c r="P165" s="201"/>
    </row>
    <row r="166" ht="30.75" customHeight="1">
      <c r="A166" s="186"/>
      <c r="B166" s="187"/>
      <c r="C166" s="186"/>
      <c r="D166" s="186"/>
      <c r="E166" s="186"/>
      <c r="F166" s="186"/>
      <c r="G166" s="186"/>
      <c r="H166" s="186"/>
      <c r="I166" s="188"/>
      <c r="J166" s="188"/>
      <c r="K166" s="186"/>
      <c r="L166" s="186"/>
      <c r="M166" s="186"/>
      <c r="N166" s="189"/>
      <c r="O166" s="186"/>
      <c r="P166" s="201"/>
    </row>
    <row r="167" ht="30.75" customHeight="1">
      <c r="A167" s="186"/>
      <c r="B167" s="389"/>
      <c r="C167" s="186"/>
      <c r="D167" s="186"/>
      <c r="E167" s="186"/>
      <c r="F167" s="186"/>
      <c r="G167" s="186"/>
      <c r="H167" s="186"/>
      <c r="I167" s="348"/>
      <c r="J167" s="348"/>
      <c r="K167" s="186"/>
      <c r="L167" s="186"/>
      <c r="M167" s="186"/>
      <c r="N167" s="189"/>
      <c r="O167" s="186"/>
      <c r="P167" s="186"/>
    </row>
    <row r="168" ht="30.75" customHeight="1">
      <c r="A168" s="186"/>
      <c r="B168" s="187"/>
      <c r="C168" s="186"/>
      <c r="D168" s="186"/>
      <c r="E168" s="186"/>
      <c r="F168" s="186"/>
      <c r="G168" s="186"/>
      <c r="H168" s="186"/>
      <c r="I168" s="188"/>
      <c r="J168" s="188"/>
      <c r="K168" s="186"/>
      <c r="L168" s="186"/>
      <c r="M168" s="186"/>
      <c r="N168" s="189"/>
      <c r="O168" s="186"/>
      <c r="P168" s="186"/>
    </row>
    <row r="169" ht="33.0" customHeight="1">
      <c r="A169" s="186"/>
      <c r="B169" s="186"/>
      <c r="C169" s="186"/>
      <c r="D169" s="186"/>
      <c r="E169" s="189"/>
      <c r="F169" s="186"/>
      <c r="G169" s="186"/>
      <c r="H169" s="186"/>
      <c r="I169" s="191"/>
      <c r="J169" s="188"/>
      <c r="K169" s="186"/>
      <c r="L169" s="189"/>
      <c r="M169" s="186"/>
      <c r="N169" s="190"/>
      <c r="O169" s="189"/>
      <c r="P169" s="186"/>
    </row>
    <row r="170" ht="30.75" customHeight="1">
      <c r="A170" s="186"/>
      <c r="B170" s="187"/>
      <c r="C170" s="186"/>
      <c r="D170" s="186"/>
      <c r="E170" s="186"/>
      <c r="F170" s="186"/>
      <c r="G170" s="186"/>
      <c r="H170" s="186"/>
      <c r="I170" s="188"/>
      <c r="J170" s="188"/>
      <c r="K170" s="186"/>
      <c r="L170" s="186"/>
      <c r="M170" s="186"/>
      <c r="N170" s="189"/>
      <c r="O170" s="186"/>
      <c r="P170" s="186"/>
    </row>
    <row r="171" ht="30.75" customHeight="1">
      <c r="A171" s="186"/>
      <c r="B171" s="389"/>
      <c r="C171" s="186"/>
      <c r="D171" s="186"/>
      <c r="E171" s="186"/>
      <c r="F171" s="186"/>
      <c r="G171" s="186"/>
      <c r="H171" s="186"/>
      <c r="I171" s="348"/>
      <c r="J171" s="348"/>
      <c r="K171" s="186"/>
      <c r="L171" s="186"/>
      <c r="M171" s="186"/>
      <c r="N171" s="189"/>
      <c r="O171" s="186"/>
      <c r="P171" s="186"/>
    </row>
    <row r="172" ht="30.75" customHeight="1">
      <c r="A172" s="186"/>
      <c r="B172" s="187"/>
      <c r="C172" s="186"/>
      <c r="D172" s="186"/>
      <c r="E172" s="186"/>
      <c r="F172" s="186"/>
      <c r="G172" s="186"/>
      <c r="H172" s="186"/>
      <c r="I172" s="188"/>
      <c r="J172" s="188"/>
      <c r="K172" s="186"/>
      <c r="L172" s="186"/>
      <c r="M172" s="186"/>
      <c r="N172" s="189"/>
      <c r="O172" s="186"/>
      <c r="P172" s="186"/>
    </row>
    <row r="173" ht="30.75" customHeight="1">
      <c r="A173" s="186"/>
      <c r="B173" s="187"/>
      <c r="C173" s="186"/>
      <c r="D173" s="186"/>
      <c r="E173" s="186"/>
      <c r="F173" s="186"/>
      <c r="G173" s="186"/>
      <c r="H173" s="186"/>
      <c r="I173" s="188"/>
      <c r="J173" s="188"/>
      <c r="K173" s="186"/>
      <c r="L173" s="190"/>
      <c r="M173" s="186"/>
      <c r="N173" s="189"/>
      <c r="O173" s="186"/>
      <c r="P173" s="186"/>
    </row>
    <row r="174" ht="30.75" customHeight="1">
      <c r="A174" s="186"/>
      <c r="B174" s="187"/>
      <c r="C174" s="186"/>
      <c r="D174" s="186"/>
      <c r="E174" s="186"/>
      <c r="F174" s="186"/>
      <c r="G174" s="186"/>
      <c r="H174" s="186"/>
      <c r="I174" s="188"/>
      <c r="J174" s="188"/>
      <c r="K174" s="186"/>
      <c r="L174" s="186"/>
      <c r="M174" s="186"/>
      <c r="N174" s="189"/>
      <c r="O174" s="186"/>
      <c r="P174" s="201"/>
    </row>
    <row r="175">
      <c r="A175" s="186"/>
      <c r="B175" s="189"/>
      <c r="C175" s="189"/>
      <c r="D175" s="189"/>
      <c r="E175" s="189"/>
      <c r="F175" s="189"/>
      <c r="G175" s="186"/>
      <c r="H175" s="186"/>
      <c r="I175" s="191"/>
      <c r="J175" s="470"/>
      <c r="K175" s="189"/>
      <c r="L175" s="189"/>
      <c r="M175" s="186"/>
      <c r="N175" s="189"/>
      <c r="O175" s="186"/>
      <c r="P175" s="186"/>
    </row>
    <row r="176" ht="30.75" customHeight="1">
      <c r="A176" s="186"/>
      <c r="B176" s="189"/>
      <c r="C176" s="189"/>
      <c r="D176" s="189"/>
      <c r="E176" s="189"/>
      <c r="F176" s="189"/>
      <c r="G176" s="186"/>
      <c r="H176" s="186"/>
      <c r="I176" s="191"/>
      <c r="J176" s="470"/>
      <c r="K176" s="189"/>
      <c r="L176" s="189"/>
      <c r="M176" s="186"/>
      <c r="N176" s="189"/>
      <c r="O176" s="186"/>
      <c r="P176" s="186"/>
    </row>
    <row r="177" ht="33.0" customHeight="1">
      <c r="A177" s="186"/>
      <c r="B177" s="189"/>
      <c r="C177" s="189"/>
      <c r="D177" s="189"/>
      <c r="E177" s="189"/>
      <c r="F177" s="189"/>
      <c r="G177" s="186"/>
      <c r="H177" s="186"/>
      <c r="I177" s="191"/>
      <c r="J177" s="470"/>
      <c r="K177" s="189"/>
      <c r="L177" s="189"/>
      <c r="M177" s="186"/>
      <c r="N177" s="189"/>
      <c r="O177" s="186"/>
      <c r="P177" s="201"/>
    </row>
    <row r="178" ht="33.0" customHeight="1">
      <c r="A178" s="186"/>
      <c r="B178" s="389"/>
      <c r="C178" s="186"/>
      <c r="D178" s="390"/>
      <c r="E178" s="186"/>
      <c r="F178" s="186"/>
      <c r="G178" s="186"/>
      <c r="H178" s="186"/>
      <c r="I178" s="188"/>
      <c r="J178" s="188"/>
      <c r="K178" s="186"/>
      <c r="L178" s="186"/>
      <c r="M178" s="186"/>
      <c r="N178" s="189"/>
      <c r="O178" s="186"/>
      <c r="P178" s="201"/>
    </row>
    <row r="179" ht="30.75" customHeight="1">
      <c r="A179" s="186"/>
      <c r="B179" s="187"/>
      <c r="C179" s="186"/>
      <c r="D179" s="186"/>
      <c r="E179" s="186"/>
      <c r="F179" s="186"/>
      <c r="G179" s="186"/>
      <c r="H179" s="186"/>
      <c r="I179" s="188"/>
      <c r="J179" s="188"/>
      <c r="K179" s="186"/>
      <c r="L179" s="186"/>
      <c r="M179" s="186"/>
      <c r="N179" s="189"/>
      <c r="O179" s="186"/>
      <c r="P179" s="186"/>
    </row>
    <row r="180" ht="30.75" customHeight="1">
      <c r="A180" s="186"/>
      <c r="B180" s="389"/>
      <c r="C180" s="186"/>
      <c r="D180" s="390"/>
      <c r="E180" s="186"/>
      <c r="F180" s="186"/>
      <c r="G180" s="186"/>
      <c r="H180" s="186"/>
      <c r="I180" s="188"/>
      <c r="J180" s="188"/>
      <c r="K180" s="186"/>
      <c r="L180" s="186"/>
      <c r="M180" s="186"/>
      <c r="N180" s="186"/>
      <c r="O180" s="186"/>
      <c r="P180" s="201"/>
    </row>
    <row r="181" ht="30.75" customHeight="1">
      <c r="A181" s="186"/>
      <c r="B181" s="187"/>
      <c r="C181" s="186"/>
      <c r="D181" s="186"/>
      <c r="E181" s="186"/>
      <c r="F181" s="186"/>
      <c r="G181" s="186"/>
      <c r="H181" s="186"/>
      <c r="I181" s="188"/>
      <c r="J181" s="188"/>
      <c r="K181" s="186"/>
      <c r="L181" s="186"/>
      <c r="M181" s="186"/>
      <c r="N181" s="189"/>
      <c r="O181" s="186"/>
      <c r="P181" s="186"/>
    </row>
    <row r="182" ht="30.75" customHeight="1">
      <c r="A182" s="186"/>
      <c r="B182" s="187"/>
      <c r="C182" s="186"/>
      <c r="D182" s="186"/>
      <c r="E182" s="186"/>
      <c r="F182" s="186"/>
      <c r="G182" s="186"/>
      <c r="H182" s="186"/>
      <c r="I182" s="188"/>
      <c r="J182" s="188"/>
      <c r="K182" s="186"/>
      <c r="L182" s="186"/>
      <c r="M182" s="186"/>
      <c r="N182" s="189"/>
      <c r="O182" s="186"/>
      <c r="P182" s="186"/>
    </row>
    <row r="183" ht="30.75" customHeight="1">
      <c r="A183" s="186"/>
      <c r="B183" s="187"/>
      <c r="C183" s="186"/>
      <c r="D183" s="186"/>
      <c r="E183" s="186"/>
      <c r="F183" s="186"/>
      <c r="G183" s="186"/>
      <c r="H183" s="186"/>
      <c r="I183" s="188"/>
      <c r="J183" s="188"/>
      <c r="K183" s="186"/>
      <c r="L183" s="186"/>
      <c r="M183" s="186"/>
      <c r="N183" s="189"/>
      <c r="O183" s="186"/>
      <c r="P183" s="186"/>
    </row>
    <row r="184" ht="30.75" customHeight="1">
      <c r="A184" s="186"/>
      <c r="B184" s="187"/>
      <c r="C184" s="186"/>
      <c r="D184" s="186"/>
      <c r="E184" s="186"/>
      <c r="F184" s="186"/>
      <c r="G184" s="186"/>
      <c r="H184" s="186"/>
      <c r="I184" s="188"/>
      <c r="J184" s="188"/>
      <c r="K184" s="186"/>
      <c r="L184" s="186"/>
      <c r="M184" s="186"/>
      <c r="N184" s="189"/>
      <c r="O184" s="186"/>
      <c r="P184" s="186"/>
    </row>
    <row r="185" ht="30.75" customHeight="1">
      <c r="A185" s="186"/>
      <c r="B185" s="187"/>
      <c r="C185" s="186"/>
      <c r="D185" s="186"/>
      <c r="E185" s="186"/>
      <c r="F185" s="186"/>
      <c r="G185" s="186"/>
      <c r="H185" s="186"/>
      <c r="I185" s="188"/>
      <c r="J185" s="188"/>
      <c r="K185" s="186"/>
      <c r="L185" s="186"/>
      <c r="M185" s="186"/>
      <c r="N185" s="189"/>
      <c r="O185" s="186"/>
      <c r="P185" s="186"/>
    </row>
    <row r="186" ht="30.75" customHeight="1">
      <c r="A186" s="186"/>
      <c r="B186" s="187"/>
      <c r="C186" s="186"/>
      <c r="D186" s="186"/>
      <c r="E186" s="186"/>
      <c r="F186" s="186"/>
      <c r="G186" s="186"/>
      <c r="H186" s="186"/>
      <c r="I186" s="188"/>
      <c r="J186" s="188"/>
      <c r="K186" s="186"/>
      <c r="L186" s="186"/>
      <c r="M186" s="186"/>
      <c r="N186" s="189"/>
      <c r="O186" s="186"/>
      <c r="P186" s="186"/>
    </row>
    <row r="187" ht="30.75" customHeight="1">
      <c r="A187" s="186"/>
      <c r="B187" s="187"/>
      <c r="C187" s="186"/>
      <c r="D187" s="186"/>
      <c r="E187" s="186"/>
      <c r="F187" s="186"/>
      <c r="G187" s="186"/>
      <c r="H187" s="186"/>
      <c r="I187" s="188"/>
      <c r="J187" s="188"/>
      <c r="K187" s="186"/>
      <c r="L187" s="186"/>
      <c r="M187" s="186"/>
      <c r="N187" s="189"/>
      <c r="O187" s="186"/>
      <c r="P187" s="186"/>
    </row>
    <row r="188" ht="30.75" customHeight="1">
      <c r="A188" s="186"/>
      <c r="B188" s="187"/>
      <c r="C188" s="186"/>
      <c r="D188" s="186"/>
      <c r="E188" s="186"/>
      <c r="F188" s="186"/>
      <c r="G188" s="186"/>
      <c r="H188" s="186"/>
      <c r="I188" s="188"/>
      <c r="J188" s="188"/>
      <c r="K188" s="186"/>
      <c r="L188" s="186"/>
      <c r="M188" s="186"/>
      <c r="N188" s="189"/>
      <c r="O188" s="186"/>
      <c r="P188" s="201"/>
    </row>
    <row r="189" ht="30.75" customHeight="1">
      <c r="A189" s="186"/>
      <c r="B189" s="187"/>
      <c r="C189" s="186"/>
      <c r="D189" s="186"/>
      <c r="E189" s="186"/>
      <c r="F189" s="186"/>
      <c r="G189" s="186"/>
      <c r="H189" s="186"/>
      <c r="I189" s="188"/>
      <c r="J189" s="188"/>
      <c r="K189" s="186"/>
      <c r="L189" s="186"/>
      <c r="M189" s="186"/>
      <c r="N189" s="189"/>
      <c r="O189" s="186"/>
      <c r="P189" s="186"/>
    </row>
    <row r="190" ht="30.75" customHeight="1">
      <c r="A190" s="186"/>
      <c r="B190" s="187"/>
      <c r="C190" s="186"/>
      <c r="D190" s="186"/>
      <c r="E190" s="186"/>
      <c r="F190" s="186"/>
      <c r="G190" s="186"/>
      <c r="H190" s="186"/>
      <c r="I190" s="188"/>
      <c r="J190" s="188"/>
      <c r="K190" s="186"/>
      <c r="L190" s="186"/>
      <c r="M190" s="186"/>
      <c r="N190" s="189"/>
      <c r="O190" s="186"/>
      <c r="P190" s="186"/>
    </row>
    <row r="191" ht="30.75" customHeight="1">
      <c r="A191" s="186"/>
      <c r="B191" s="389"/>
      <c r="C191" s="186"/>
      <c r="D191" s="390"/>
      <c r="E191" s="186"/>
      <c r="F191" s="186"/>
      <c r="G191" s="186"/>
      <c r="H191" s="186"/>
      <c r="I191" s="188"/>
      <c r="J191" s="188"/>
      <c r="K191" s="186"/>
      <c r="L191" s="186"/>
      <c r="M191" s="186"/>
      <c r="N191" s="189"/>
      <c r="O191" s="186"/>
      <c r="P191" s="201"/>
    </row>
    <row r="192" ht="30.75" customHeight="1">
      <c r="A192" s="186"/>
      <c r="B192" s="187"/>
      <c r="C192" s="186"/>
      <c r="D192" s="186"/>
      <c r="E192" s="186"/>
      <c r="F192" s="186"/>
      <c r="G192" s="186"/>
      <c r="H192" s="186"/>
      <c r="I192" s="188"/>
      <c r="J192" s="188"/>
      <c r="K192" s="186"/>
      <c r="L192" s="186"/>
      <c r="M192" s="186"/>
      <c r="N192" s="189"/>
      <c r="O192" s="186"/>
      <c r="P192" s="186"/>
    </row>
    <row r="193" ht="30.75" customHeight="1">
      <c r="A193" s="186"/>
      <c r="B193" s="186"/>
      <c r="C193" s="186"/>
      <c r="D193" s="186"/>
      <c r="E193" s="190"/>
      <c r="F193" s="186"/>
      <c r="G193" s="186"/>
      <c r="H193" s="190"/>
      <c r="I193" s="191"/>
      <c r="J193" s="191"/>
      <c r="K193" s="186"/>
      <c r="L193" s="190"/>
      <c r="M193" s="186"/>
      <c r="N193" s="189"/>
      <c r="O193" s="186"/>
      <c r="P193" s="201"/>
    </row>
    <row r="194" ht="30.75" customHeight="1">
      <c r="A194" s="186"/>
      <c r="B194" s="389"/>
      <c r="C194" s="186"/>
      <c r="D194" s="390"/>
      <c r="E194" s="186"/>
      <c r="F194" s="186"/>
      <c r="G194" s="186"/>
      <c r="H194" s="186"/>
      <c r="I194" s="188"/>
      <c r="J194" s="188"/>
      <c r="K194" s="186"/>
      <c r="L194" s="186"/>
      <c r="M194" s="186"/>
      <c r="N194" s="189"/>
      <c r="O194" s="186"/>
      <c r="P194" s="201"/>
    </row>
    <row r="195" ht="30.75" customHeight="1">
      <c r="A195" s="186"/>
      <c r="B195" s="389"/>
      <c r="C195" s="186"/>
      <c r="D195" s="390"/>
      <c r="E195" s="186"/>
      <c r="F195" s="186"/>
      <c r="G195" s="186"/>
      <c r="H195" s="186"/>
      <c r="I195" s="188"/>
      <c r="J195" s="188"/>
      <c r="K195" s="186"/>
      <c r="L195" s="186"/>
      <c r="M195" s="186"/>
      <c r="N195" s="189"/>
      <c r="O195" s="186"/>
      <c r="P195" s="201"/>
    </row>
    <row r="196" ht="30.75" customHeight="1">
      <c r="A196" s="186"/>
      <c r="B196" s="186"/>
      <c r="C196" s="186"/>
      <c r="D196" s="186"/>
      <c r="E196" s="190"/>
      <c r="F196" s="186"/>
      <c r="G196" s="186"/>
      <c r="H196" s="190"/>
      <c r="I196" s="191"/>
      <c r="J196" s="191"/>
      <c r="K196" s="186"/>
      <c r="L196" s="190"/>
      <c r="M196" s="186"/>
      <c r="N196" s="189"/>
      <c r="O196" s="186"/>
      <c r="P196" s="201"/>
    </row>
    <row r="197" ht="30.75" customHeight="1">
      <c r="A197" s="186"/>
      <c r="B197" s="187"/>
      <c r="C197" s="186"/>
      <c r="D197" s="186"/>
      <c r="E197" s="186"/>
      <c r="F197" s="186"/>
      <c r="G197" s="186"/>
      <c r="H197" s="186"/>
      <c r="I197" s="188"/>
      <c r="J197" s="188"/>
      <c r="K197" s="186"/>
      <c r="L197" s="186"/>
      <c r="M197" s="186"/>
      <c r="N197" s="189"/>
      <c r="O197" s="186"/>
      <c r="P197" s="186"/>
    </row>
    <row r="198" ht="30.75" customHeight="1">
      <c r="A198" s="186"/>
      <c r="B198" s="389"/>
      <c r="C198" s="186"/>
      <c r="D198" s="390"/>
      <c r="E198" s="186"/>
      <c r="F198" s="186"/>
      <c r="G198" s="186"/>
      <c r="H198" s="186"/>
      <c r="I198" s="391"/>
      <c r="J198" s="188"/>
      <c r="K198" s="186"/>
      <c r="L198" s="186"/>
      <c r="M198" s="186"/>
      <c r="N198" s="189"/>
      <c r="O198" s="186"/>
      <c r="P198" s="201"/>
    </row>
    <row r="199" ht="30.75" customHeight="1">
      <c r="A199" s="186"/>
      <c r="B199" s="389"/>
      <c r="C199" s="186"/>
      <c r="D199" s="390"/>
      <c r="E199" s="186"/>
      <c r="F199" s="186"/>
      <c r="G199" s="186"/>
      <c r="H199" s="186"/>
      <c r="I199" s="188"/>
      <c r="J199" s="188"/>
      <c r="K199" s="186"/>
      <c r="L199" s="186"/>
      <c r="M199" s="186"/>
      <c r="N199" s="189"/>
      <c r="O199" s="186"/>
      <c r="P199" s="201"/>
    </row>
    <row r="200" ht="30.75" customHeight="1">
      <c r="A200" s="186"/>
      <c r="B200" s="187"/>
      <c r="C200" s="186"/>
      <c r="D200" s="186"/>
      <c r="E200" s="186"/>
      <c r="F200" s="186"/>
      <c r="G200" s="186"/>
      <c r="H200" s="186"/>
      <c r="I200" s="188"/>
      <c r="J200" s="188"/>
      <c r="K200" s="186"/>
      <c r="L200" s="186"/>
      <c r="M200" s="186"/>
      <c r="N200" s="189"/>
      <c r="O200" s="186"/>
      <c r="P200" s="186"/>
    </row>
    <row r="201" ht="30.75" customHeight="1">
      <c r="A201" s="186"/>
      <c r="B201" s="187"/>
      <c r="C201" s="186"/>
      <c r="D201" s="186"/>
      <c r="E201" s="186"/>
      <c r="F201" s="186"/>
      <c r="G201" s="186"/>
      <c r="H201" s="186"/>
      <c r="I201" s="188"/>
      <c r="J201" s="188"/>
      <c r="K201" s="186"/>
      <c r="L201" s="186"/>
      <c r="M201" s="186"/>
      <c r="N201" s="189"/>
      <c r="O201" s="186"/>
      <c r="P201" s="186"/>
    </row>
    <row r="202" ht="30.75" customHeight="1">
      <c r="A202" s="186"/>
      <c r="B202" s="187"/>
      <c r="C202" s="186"/>
      <c r="D202" s="186"/>
      <c r="E202" s="186"/>
      <c r="F202" s="186"/>
      <c r="G202" s="186"/>
      <c r="H202" s="186"/>
      <c r="I202" s="188"/>
      <c r="J202" s="188"/>
      <c r="K202" s="186"/>
      <c r="L202" s="186"/>
      <c r="M202" s="186"/>
      <c r="N202" s="189"/>
      <c r="O202" s="186"/>
      <c r="P202" s="186"/>
    </row>
    <row r="203" ht="33.0" customHeight="1">
      <c r="A203" s="186"/>
      <c r="B203" s="187"/>
      <c r="C203" s="186"/>
      <c r="D203" s="186"/>
      <c r="E203" s="186"/>
      <c r="F203" s="186"/>
      <c r="G203" s="186"/>
      <c r="H203" s="186"/>
      <c r="I203" s="188"/>
      <c r="J203" s="188"/>
      <c r="K203" s="186"/>
      <c r="L203" s="186"/>
      <c r="M203" s="186"/>
      <c r="N203" s="189"/>
      <c r="O203" s="186"/>
      <c r="P203" s="186"/>
    </row>
    <row r="204" ht="33.0" customHeight="1">
      <c r="A204" s="186"/>
      <c r="B204" s="187"/>
      <c r="C204" s="186"/>
      <c r="D204" s="186"/>
      <c r="E204" s="186"/>
      <c r="F204" s="186"/>
      <c r="G204" s="186"/>
      <c r="H204" s="186"/>
      <c r="I204" s="188"/>
      <c r="J204" s="188"/>
      <c r="K204" s="186"/>
      <c r="L204" s="190"/>
      <c r="M204" s="186"/>
      <c r="N204" s="189"/>
      <c r="O204" s="186"/>
      <c r="P204" s="186"/>
    </row>
    <row r="205" ht="33.0" customHeight="1">
      <c r="A205" s="186"/>
      <c r="B205" s="187"/>
      <c r="C205" s="186"/>
      <c r="D205" s="186"/>
      <c r="E205" s="186"/>
      <c r="F205" s="186"/>
      <c r="G205" s="186"/>
      <c r="H205" s="186"/>
      <c r="I205" s="188"/>
      <c r="J205" s="188"/>
      <c r="K205" s="186"/>
      <c r="L205" s="186"/>
      <c r="M205" s="186"/>
      <c r="N205" s="189"/>
      <c r="O205" s="186"/>
      <c r="P205" s="186"/>
    </row>
    <row r="206" ht="33.0" customHeight="1">
      <c r="A206" s="186"/>
      <c r="B206" s="187"/>
      <c r="C206" s="186"/>
      <c r="D206" s="186"/>
      <c r="E206" s="186"/>
      <c r="F206" s="186"/>
      <c r="G206" s="186"/>
      <c r="H206" s="186"/>
      <c r="I206" s="188"/>
      <c r="J206" s="188"/>
      <c r="K206" s="186"/>
      <c r="L206" s="186"/>
      <c r="M206" s="186"/>
      <c r="N206" s="189"/>
      <c r="O206" s="186"/>
      <c r="P206" s="186"/>
    </row>
    <row r="207" ht="33.0" customHeight="1">
      <c r="A207" s="186"/>
      <c r="B207" s="187"/>
      <c r="C207" s="186"/>
      <c r="D207" s="186"/>
      <c r="E207" s="186"/>
      <c r="F207" s="186"/>
      <c r="G207" s="186"/>
      <c r="H207" s="186"/>
      <c r="I207" s="188"/>
      <c r="J207" s="188"/>
      <c r="K207" s="186"/>
      <c r="L207" s="186"/>
      <c r="M207" s="186"/>
      <c r="N207" s="189"/>
      <c r="O207" s="186"/>
      <c r="P207" s="186"/>
    </row>
    <row r="208" ht="33.0" customHeight="1">
      <c r="A208" s="186"/>
      <c r="B208" s="389"/>
      <c r="C208" s="186"/>
      <c r="D208" s="390"/>
      <c r="E208" s="186"/>
      <c r="F208" s="186"/>
      <c r="G208" s="186"/>
      <c r="H208" s="186"/>
      <c r="I208" s="188"/>
      <c r="J208" s="188"/>
      <c r="K208" s="186"/>
      <c r="L208" s="186"/>
      <c r="M208" s="186"/>
      <c r="N208" s="189"/>
      <c r="O208" s="186"/>
      <c r="P208" s="201"/>
    </row>
    <row r="209" ht="30.75" customHeight="1">
      <c r="A209" s="186"/>
      <c r="B209" s="187"/>
      <c r="C209" s="186"/>
      <c r="D209" s="186"/>
      <c r="E209" s="186"/>
      <c r="F209" s="186"/>
      <c r="G209" s="186"/>
      <c r="H209" s="186"/>
      <c r="I209" s="188"/>
      <c r="J209" s="188"/>
      <c r="K209" s="186"/>
      <c r="L209" s="186"/>
      <c r="M209" s="186"/>
      <c r="N209" s="189"/>
      <c r="O209" s="186"/>
      <c r="P209" s="186"/>
    </row>
    <row r="210" ht="30.75" customHeight="1">
      <c r="A210" s="186"/>
      <c r="B210" s="187"/>
      <c r="C210" s="186"/>
      <c r="D210" s="186"/>
      <c r="E210" s="186"/>
      <c r="F210" s="186"/>
      <c r="G210" s="186"/>
      <c r="H210" s="186"/>
      <c r="I210" s="188"/>
      <c r="J210" s="188"/>
      <c r="K210" s="186"/>
      <c r="L210" s="186"/>
      <c r="M210" s="186"/>
      <c r="N210" s="189"/>
      <c r="O210" s="186"/>
      <c r="P210" s="186"/>
    </row>
    <row r="211" ht="30.75" customHeight="1">
      <c r="A211" s="186"/>
      <c r="B211" s="187"/>
      <c r="C211" s="186"/>
      <c r="D211" s="186"/>
      <c r="E211" s="186"/>
      <c r="F211" s="186"/>
      <c r="G211" s="186"/>
      <c r="H211" s="186"/>
      <c r="I211" s="188"/>
      <c r="J211" s="188"/>
      <c r="K211" s="186"/>
      <c r="L211" s="186"/>
      <c r="M211" s="186"/>
      <c r="N211" s="189"/>
      <c r="O211" s="186"/>
      <c r="P211" s="186"/>
    </row>
    <row r="212" ht="30.75" customHeight="1">
      <c r="A212" s="186"/>
      <c r="B212" s="187"/>
      <c r="C212" s="186"/>
      <c r="D212" s="186"/>
      <c r="E212" s="186"/>
      <c r="F212" s="186"/>
      <c r="G212" s="186"/>
      <c r="H212" s="186"/>
      <c r="I212" s="188"/>
      <c r="J212" s="188"/>
      <c r="K212" s="186"/>
      <c r="L212" s="186"/>
      <c r="M212" s="186"/>
      <c r="N212" s="189"/>
      <c r="O212" s="186"/>
      <c r="P212" s="186"/>
    </row>
    <row r="213" ht="30.75" customHeight="1">
      <c r="A213" s="186"/>
      <c r="B213" s="187"/>
      <c r="C213" s="186"/>
      <c r="D213" s="186"/>
      <c r="E213" s="186"/>
      <c r="F213" s="186"/>
      <c r="G213" s="186"/>
      <c r="H213" s="186"/>
      <c r="I213" s="188"/>
      <c r="J213" s="188"/>
      <c r="K213" s="186"/>
      <c r="L213" s="186"/>
      <c r="M213" s="186"/>
      <c r="N213" s="189"/>
      <c r="O213" s="186"/>
      <c r="P213" s="186"/>
    </row>
    <row r="214" ht="30.75" customHeight="1">
      <c r="A214" s="186"/>
      <c r="B214" s="187"/>
      <c r="C214" s="186"/>
      <c r="D214" s="186"/>
      <c r="E214" s="186"/>
      <c r="F214" s="186"/>
      <c r="G214" s="186"/>
      <c r="H214" s="186"/>
      <c r="I214" s="188"/>
      <c r="J214" s="188"/>
      <c r="K214" s="186"/>
      <c r="L214" s="186"/>
      <c r="M214" s="186"/>
      <c r="N214" s="189"/>
      <c r="O214" s="186"/>
      <c r="P214" s="186"/>
    </row>
    <row r="215" ht="30.75" customHeight="1">
      <c r="A215" s="186"/>
      <c r="B215" s="187"/>
      <c r="C215" s="186"/>
      <c r="D215" s="186"/>
      <c r="E215" s="186"/>
      <c r="F215" s="186"/>
      <c r="G215" s="186"/>
      <c r="H215" s="186"/>
      <c r="I215" s="188"/>
      <c r="J215" s="188"/>
      <c r="K215" s="186"/>
      <c r="L215" s="186"/>
      <c r="M215" s="186"/>
      <c r="N215" s="189"/>
      <c r="O215" s="186"/>
      <c r="P215" s="186"/>
    </row>
    <row r="216" ht="30.75" customHeight="1">
      <c r="A216" s="186"/>
      <c r="B216" s="187"/>
      <c r="C216" s="186"/>
      <c r="D216" s="186"/>
      <c r="E216" s="186"/>
      <c r="F216" s="186"/>
      <c r="G216" s="186"/>
      <c r="H216" s="186"/>
      <c r="I216" s="188"/>
      <c r="J216" s="188"/>
      <c r="K216" s="186"/>
      <c r="L216" s="186"/>
      <c r="M216" s="186"/>
      <c r="N216" s="189"/>
      <c r="O216" s="186"/>
      <c r="P216" s="186"/>
    </row>
    <row r="217" ht="30.75" customHeight="1">
      <c r="A217" s="186"/>
      <c r="B217" s="187"/>
      <c r="C217" s="186"/>
      <c r="D217" s="186"/>
      <c r="E217" s="186"/>
      <c r="F217" s="186"/>
      <c r="G217" s="186"/>
      <c r="H217" s="186"/>
      <c r="I217" s="188"/>
      <c r="J217" s="188"/>
      <c r="K217" s="186"/>
      <c r="L217" s="186"/>
      <c r="M217" s="186"/>
      <c r="N217" s="189"/>
      <c r="O217" s="186"/>
      <c r="P217" s="186"/>
    </row>
    <row r="218" ht="30.75" customHeight="1">
      <c r="A218" s="186"/>
      <c r="B218" s="187"/>
      <c r="C218" s="186"/>
      <c r="D218" s="186"/>
      <c r="E218" s="186"/>
      <c r="F218" s="186"/>
      <c r="G218" s="186"/>
      <c r="H218" s="186"/>
      <c r="I218" s="188"/>
      <c r="J218" s="188"/>
      <c r="K218" s="186"/>
      <c r="L218" s="186"/>
      <c r="M218" s="186"/>
      <c r="N218" s="189"/>
      <c r="O218" s="186"/>
      <c r="P218" s="186"/>
    </row>
    <row r="219" ht="30.75" customHeight="1">
      <c r="A219" s="186"/>
      <c r="B219" s="186"/>
      <c r="C219" s="186"/>
      <c r="D219" s="186"/>
      <c r="E219" s="190"/>
      <c r="F219" s="186"/>
      <c r="G219" s="186"/>
      <c r="H219" s="190"/>
      <c r="I219" s="191"/>
      <c r="J219" s="191"/>
      <c r="K219" s="186"/>
      <c r="L219" s="190"/>
      <c r="M219" s="186"/>
      <c r="N219" s="189"/>
      <c r="O219" s="186"/>
      <c r="P219" s="201"/>
    </row>
    <row r="220" ht="30.75" customHeight="1">
      <c r="A220" s="186"/>
      <c r="B220" s="187"/>
      <c r="C220" s="186"/>
      <c r="D220" s="186"/>
      <c r="E220" s="186"/>
      <c r="F220" s="186"/>
      <c r="G220" s="186"/>
      <c r="H220" s="186"/>
      <c r="I220" s="188"/>
      <c r="J220" s="188"/>
      <c r="K220" s="186"/>
      <c r="L220" s="186"/>
      <c r="M220" s="186"/>
      <c r="N220" s="189"/>
      <c r="O220" s="186"/>
      <c r="P220" s="186"/>
    </row>
    <row r="221" ht="30.75" customHeight="1">
      <c r="A221" s="186"/>
      <c r="B221" s="187"/>
      <c r="C221" s="186"/>
      <c r="D221" s="186"/>
      <c r="E221" s="186"/>
      <c r="F221" s="186"/>
      <c r="G221" s="186"/>
      <c r="H221" s="186"/>
      <c r="I221" s="188"/>
      <c r="J221" s="188"/>
      <c r="K221" s="186"/>
      <c r="L221" s="186"/>
      <c r="M221" s="186"/>
      <c r="N221" s="189"/>
      <c r="O221" s="186"/>
      <c r="P221" s="186"/>
    </row>
    <row r="222" ht="30.75" customHeight="1">
      <c r="A222" s="186"/>
      <c r="B222" s="187"/>
      <c r="C222" s="186"/>
      <c r="D222" s="186"/>
      <c r="E222" s="186"/>
      <c r="F222" s="186"/>
      <c r="G222" s="186"/>
      <c r="H222" s="186"/>
      <c r="I222" s="188"/>
      <c r="J222" s="188"/>
      <c r="K222" s="186"/>
      <c r="L222" s="186"/>
      <c r="M222" s="186"/>
      <c r="N222" s="189"/>
      <c r="O222" s="186"/>
      <c r="P222" s="186"/>
    </row>
    <row r="223" ht="30.75" customHeight="1">
      <c r="A223" s="186"/>
      <c r="B223" s="187"/>
      <c r="C223" s="186"/>
      <c r="D223" s="186"/>
      <c r="E223" s="186"/>
      <c r="F223" s="186"/>
      <c r="G223" s="186"/>
      <c r="H223" s="186"/>
      <c r="I223" s="188"/>
      <c r="J223" s="188"/>
      <c r="K223" s="186"/>
      <c r="L223" s="186"/>
      <c r="M223" s="186"/>
      <c r="N223" s="189"/>
      <c r="O223" s="186"/>
      <c r="P223" s="186"/>
    </row>
    <row r="224" ht="30.75" customHeight="1">
      <c r="A224" s="186"/>
      <c r="B224" s="187"/>
      <c r="C224" s="186"/>
      <c r="D224" s="186"/>
      <c r="E224" s="186"/>
      <c r="F224" s="186"/>
      <c r="G224" s="186"/>
      <c r="H224" s="186"/>
      <c r="I224" s="188"/>
      <c r="J224" s="188"/>
      <c r="K224" s="186"/>
      <c r="L224" s="186"/>
      <c r="M224" s="186"/>
      <c r="N224" s="189"/>
      <c r="O224" s="186"/>
      <c r="P224" s="186"/>
    </row>
    <row r="225" ht="30.75" customHeight="1">
      <c r="A225" s="186"/>
      <c r="B225" s="187"/>
      <c r="C225" s="186"/>
      <c r="D225" s="186"/>
      <c r="E225" s="186"/>
      <c r="F225" s="186"/>
      <c r="G225" s="186"/>
      <c r="H225" s="186"/>
      <c r="I225" s="188"/>
      <c r="J225" s="188"/>
      <c r="K225" s="186"/>
      <c r="L225" s="186"/>
      <c r="M225" s="186"/>
      <c r="N225" s="189"/>
      <c r="O225" s="186"/>
      <c r="P225" s="186"/>
    </row>
    <row r="226" ht="30.75" customHeight="1">
      <c r="A226" s="186"/>
      <c r="B226" s="187"/>
      <c r="C226" s="186"/>
      <c r="D226" s="186"/>
      <c r="E226" s="186"/>
      <c r="F226" s="186"/>
      <c r="G226" s="186"/>
      <c r="H226" s="186"/>
      <c r="I226" s="188"/>
      <c r="J226" s="188"/>
      <c r="K226" s="186"/>
      <c r="L226" s="186"/>
      <c r="M226" s="186"/>
      <c r="N226" s="189"/>
      <c r="O226" s="186"/>
      <c r="P226" s="186"/>
    </row>
    <row r="227" ht="30.75" customHeight="1">
      <c r="A227" s="186"/>
      <c r="B227" s="187"/>
      <c r="C227" s="186"/>
      <c r="D227" s="186"/>
      <c r="E227" s="186"/>
      <c r="F227" s="186"/>
      <c r="G227" s="186"/>
      <c r="H227" s="186"/>
      <c r="I227" s="188"/>
      <c r="J227" s="188"/>
      <c r="K227" s="186"/>
      <c r="L227" s="186"/>
      <c r="M227" s="186"/>
      <c r="N227" s="189"/>
      <c r="O227" s="186"/>
      <c r="P227" s="186"/>
    </row>
    <row r="228" ht="30.75" customHeight="1">
      <c r="A228" s="186"/>
      <c r="B228" s="186"/>
      <c r="C228" s="186"/>
      <c r="D228" s="186"/>
      <c r="E228" s="190"/>
      <c r="F228" s="186"/>
      <c r="G228" s="186"/>
      <c r="H228" s="190"/>
      <c r="I228" s="191"/>
      <c r="J228" s="191"/>
      <c r="K228" s="186"/>
      <c r="L228" s="190"/>
      <c r="M228" s="186"/>
      <c r="N228" s="189"/>
      <c r="O228" s="186"/>
      <c r="P228" s="201"/>
    </row>
    <row r="229" ht="33.0" customHeight="1">
      <c r="A229" s="186"/>
      <c r="B229" s="389"/>
      <c r="C229" s="186"/>
      <c r="D229" s="390"/>
      <c r="E229" s="186"/>
      <c r="F229" s="186"/>
      <c r="G229" s="186"/>
      <c r="H229" s="186"/>
      <c r="I229" s="188"/>
      <c r="J229" s="188"/>
      <c r="K229" s="186"/>
      <c r="L229" s="186"/>
      <c r="M229" s="186"/>
      <c r="N229" s="190"/>
      <c r="O229" s="186"/>
      <c r="P229" s="201"/>
    </row>
    <row r="230" ht="30.75" customHeight="1">
      <c r="A230" s="186"/>
      <c r="B230" s="187"/>
      <c r="C230" s="186"/>
      <c r="D230" s="186"/>
      <c r="E230" s="186"/>
      <c r="F230" s="186"/>
      <c r="G230" s="186"/>
      <c r="H230" s="186"/>
      <c r="I230" s="188"/>
      <c r="J230" s="188"/>
      <c r="K230" s="186"/>
      <c r="L230" s="186"/>
      <c r="M230" s="186"/>
      <c r="N230" s="189"/>
      <c r="O230" s="186"/>
      <c r="P230" s="186"/>
    </row>
    <row r="231" ht="30.75" customHeight="1">
      <c r="A231" s="186"/>
      <c r="B231" s="187"/>
      <c r="C231" s="186"/>
      <c r="D231" s="186"/>
      <c r="E231" s="186"/>
      <c r="F231" s="186"/>
      <c r="G231" s="186"/>
      <c r="H231" s="186"/>
      <c r="I231" s="188"/>
      <c r="J231" s="188"/>
      <c r="K231" s="186"/>
      <c r="L231" s="186"/>
      <c r="M231" s="186"/>
      <c r="N231" s="189"/>
      <c r="O231" s="186"/>
      <c r="P231" s="186"/>
    </row>
    <row r="232" ht="30.75" customHeight="1">
      <c r="A232" s="186"/>
      <c r="B232" s="389"/>
      <c r="C232" s="186"/>
      <c r="D232" s="390"/>
      <c r="E232" s="186"/>
      <c r="F232" s="186"/>
      <c r="G232" s="186"/>
      <c r="H232" s="186"/>
      <c r="I232" s="188"/>
      <c r="J232" s="188"/>
      <c r="K232" s="186"/>
      <c r="L232" s="186"/>
      <c r="M232" s="186"/>
      <c r="N232" s="189"/>
      <c r="O232" s="186"/>
      <c r="P232" s="201"/>
    </row>
    <row r="233" ht="30.75" customHeight="1">
      <c r="A233" s="186"/>
      <c r="B233" s="389"/>
      <c r="C233" s="186"/>
      <c r="D233" s="390"/>
      <c r="E233" s="186"/>
      <c r="F233" s="186"/>
      <c r="G233" s="186"/>
      <c r="H233" s="186"/>
      <c r="I233" s="188"/>
      <c r="J233" s="188"/>
      <c r="K233" s="186"/>
      <c r="L233" s="186"/>
      <c r="M233" s="186"/>
      <c r="N233" s="189"/>
      <c r="O233" s="186"/>
      <c r="P233" s="201"/>
    </row>
    <row r="234" ht="30.75" customHeight="1">
      <c r="A234" s="186"/>
      <c r="B234" s="389"/>
      <c r="C234" s="186"/>
      <c r="D234" s="390"/>
      <c r="E234" s="186"/>
      <c r="F234" s="186"/>
      <c r="G234" s="186"/>
      <c r="H234" s="186"/>
      <c r="I234" s="188"/>
      <c r="J234" s="188"/>
      <c r="K234" s="186"/>
      <c r="L234" s="186"/>
      <c r="M234" s="186"/>
      <c r="N234" s="189"/>
      <c r="O234" s="186"/>
      <c r="P234" s="201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</row>
    <row r="237">
      <c r="A237" s="471" t="s">
        <v>1352</v>
      </c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</row>
    <row r="244">
      <c r="A244" s="159"/>
      <c r="B244" s="159"/>
      <c r="C244" s="159"/>
      <c r="D244" s="159"/>
      <c r="E244" s="159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</row>
    <row r="245">
      <c r="A245" s="159"/>
      <c r="B245" s="159"/>
      <c r="C245" s="159"/>
      <c r="D245" s="159"/>
      <c r="E245" s="159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</row>
    <row r="246">
      <c r="A246" s="159"/>
      <c r="B246" s="159"/>
      <c r="C246" s="159"/>
      <c r="D246" s="159"/>
      <c r="E246" s="159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</row>
    <row r="247">
      <c r="A247" s="158"/>
      <c r="B247" s="158"/>
      <c r="C247" s="158"/>
      <c r="D247" s="159"/>
      <c r="E247" s="159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</row>
    <row r="248">
      <c r="A248" s="158"/>
      <c r="B248" s="158"/>
      <c r="C248" s="158"/>
      <c r="D248" s="159"/>
      <c r="E248" s="159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</row>
    <row r="249">
      <c r="A249" s="158"/>
      <c r="B249" s="158"/>
      <c r="C249" s="158"/>
      <c r="D249" s="159"/>
      <c r="E249" s="159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</row>
    <row r="250">
      <c r="A250" s="158"/>
      <c r="B250" s="158"/>
      <c r="C250" s="158"/>
      <c r="D250" s="159"/>
      <c r="E250" s="159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</row>
    <row r="251">
      <c r="A251" s="158"/>
      <c r="B251" s="158"/>
      <c r="C251" s="158"/>
      <c r="D251" s="159"/>
      <c r="E251" s="159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</row>
    <row r="252">
      <c r="A252" s="158"/>
      <c r="B252" s="158"/>
      <c r="C252" s="158"/>
      <c r="D252" s="159"/>
      <c r="E252" s="159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</row>
    <row r="253">
      <c r="A253" s="158"/>
      <c r="B253" s="158"/>
      <c r="C253" s="158"/>
      <c r="D253" s="159"/>
      <c r="E253" s="159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</row>
    <row r="254">
      <c r="A254" s="158"/>
      <c r="B254" s="158"/>
      <c r="C254" s="158"/>
      <c r="D254" s="159"/>
      <c r="E254" s="159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</row>
    <row r="255">
      <c r="A255" s="158"/>
      <c r="B255" s="158"/>
      <c r="C255" s="158"/>
      <c r="D255" s="159"/>
      <c r="E255" s="159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</row>
    <row r="256">
      <c r="A256" s="158"/>
      <c r="B256" s="158"/>
      <c r="C256" s="158"/>
      <c r="D256" s="159"/>
      <c r="E256" s="159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</row>
    <row r="257">
      <c r="A257" s="159"/>
      <c r="B257" s="159"/>
      <c r="C257" s="159"/>
      <c r="D257" s="159"/>
      <c r="E257" s="159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</row>
    <row r="258">
      <c r="A258" s="159"/>
      <c r="B258" s="159"/>
      <c r="C258" s="159"/>
      <c r="D258" s="159"/>
      <c r="E258" s="159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</row>
    <row r="1001">
      <c r="A1001" s="192"/>
      <c r="B1001" s="192"/>
      <c r="C1001" s="192"/>
      <c r="D1001" s="192"/>
      <c r="E1001" s="192"/>
      <c r="F1001" s="192"/>
      <c r="G1001" s="192"/>
      <c r="H1001" s="192"/>
      <c r="I1001" s="192"/>
      <c r="J1001" s="192"/>
      <c r="K1001" s="192"/>
      <c r="L1001" s="192"/>
      <c r="M1001" s="192"/>
      <c r="N1001" s="192"/>
      <c r="O1001" s="192"/>
      <c r="P1001" s="192"/>
    </row>
    <row r="1002">
      <c r="A1002" s="192"/>
      <c r="B1002" s="192"/>
      <c r="C1002" s="192"/>
      <c r="D1002" s="192"/>
      <c r="E1002" s="192"/>
      <c r="F1002" s="192"/>
      <c r="G1002" s="192"/>
      <c r="H1002" s="192"/>
      <c r="I1002" s="192"/>
      <c r="J1002" s="192"/>
      <c r="K1002" s="192"/>
      <c r="L1002" s="192"/>
      <c r="M1002" s="192"/>
      <c r="N1002" s="192"/>
      <c r="O1002" s="192"/>
      <c r="P1002" s="192"/>
    </row>
    <row r="1003">
      <c r="A1003" s="192"/>
      <c r="B1003" s="192"/>
      <c r="C1003" s="192"/>
      <c r="D1003" s="192"/>
      <c r="E1003" s="192"/>
      <c r="F1003" s="192"/>
      <c r="G1003" s="192"/>
      <c r="H1003" s="192"/>
      <c r="I1003" s="192"/>
      <c r="J1003" s="192"/>
      <c r="K1003" s="192"/>
      <c r="L1003" s="192"/>
      <c r="M1003" s="192"/>
      <c r="N1003" s="192"/>
      <c r="O1003" s="192"/>
      <c r="P1003" s="192"/>
    </row>
    <row r="1004">
      <c r="A1004" s="192"/>
      <c r="B1004" s="192"/>
      <c r="C1004" s="192"/>
      <c r="D1004" s="192"/>
      <c r="E1004" s="192"/>
      <c r="F1004" s="192"/>
      <c r="G1004" s="192"/>
      <c r="H1004" s="192"/>
      <c r="I1004" s="192"/>
      <c r="J1004" s="192"/>
      <c r="K1004" s="192"/>
      <c r="L1004" s="192"/>
      <c r="M1004" s="192"/>
      <c r="N1004" s="192"/>
      <c r="O1004" s="192"/>
      <c r="P1004" s="192"/>
    </row>
    <row r="1005">
      <c r="A1005" s="192"/>
      <c r="B1005" s="192"/>
      <c r="C1005" s="192"/>
      <c r="D1005" s="192"/>
      <c r="E1005" s="192"/>
      <c r="F1005" s="192"/>
      <c r="G1005" s="192"/>
      <c r="H1005" s="192"/>
      <c r="I1005" s="192"/>
      <c r="J1005" s="192"/>
      <c r="K1005" s="192"/>
      <c r="L1005" s="192"/>
      <c r="M1005" s="192"/>
      <c r="N1005" s="192"/>
      <c r="O1005" s="192"/>
      <c r="P1005" s="192"/>
    </row>
    <row r="1006">
      <c r="A1006" s="192"/>
      <c r="B1006" s="192"/>
      <c r="C1006" s="192"/>
      <c r="D1006" s="192"/>
      <c r="E1006" s="192"/>
      <c r="F1006" s="192"/>
      <c r="G1006" s="192"/>
      <c r="H1006" s="192"/>
      <c r="I1006" s="192"/>
      <c r="J1006" s="192"/>
      <c r="K1006" s="192"/>
      <c r="L1006" s="192"/>
      <c r="M1006" s="192"/>
      <c r="N1006" s="192"/>
      <c r="O1006" s="192"/>
      <c r="P1006" s="192"/>
    </row>
    <row r="1007">
      <c r="A1007" s="192"/>
      <c r="B1007" s="192"/>
      <c r="C1007" s="192"/>
      <c r="D1007" s="192"/>
      <c r="E1007" s="192"/>
      <c r="F1007" s="192"/>
      <c r="G1007" s="192"/>
      <c r="H1007" s="192"/>
      <c r="I1007" s="192"/>
      <c r="J1007" s="192"/>
      <c r="K1007" s="192"/>
      <c r="L1007" s="192"/>
      <c r="M1007" s="192"/>
      <c r="N1007" s="192"/>
      <c r="O1007" s="192"/>
      <c r="P1007" s="192"/>
    </row>
    <row r="1008">
      <c r="A1008" s="192"/>
      <c r="B1008" s="192"/>
      <c r="C1008" s="192"/>
      <c r="D1008" s="192"/>
      <c r="E1008" s="192"/>
      <c r="F1008" s="192"/>
      <c r="G1008" s="192"/>
      <c r="H1008" s="192"/>
      <c r="I1008" s="192"/>
      <c r="J1008" s="192"/>
      <c r="K1008" s="192"/>
      <c r="L1008" s="192"/>
      <c r="M1008" s="192"/>
      <c r="N1008" s="192"/>
      <c r="O1008" s="192"/>
      <c r="P1008" s="192"/>
    </row>
    <row r="1009">
      <c r="A1009" s="192"/>
      <c r="B1009" s="192"/>
      <c r="C1009" s="192"/>
      <c r="D1009" s="192"/>
      <c r="E1009" s="192"/>
      <c r="F1009" s="192"/>
      <c r="G1009" s="192"/>
      <c r="H1009" s="192"/>
      <c r="I1009" s="192"/>
      <c r="J1009" s="192"/>
      <c r="K1009" s="192"/>
      <c r="L1009" s="192"/>
      <c r="M1009" s="192"/>
      <c r="N1009" s="192"/>
      <c r="O1009" s="192"/>
      <c r="P1009" s="192"/>
    </row>
    <row r="1010">
      <c r="A1010" s="192"/>
      <c r="B1010" s="192"/>
      <c r="C1010" s="192"/>
      <c r="D1010" s="192"/>
      <c r="E1010" s="192"/>
      <c r="F1010" s="192"/>
      <c r="G1010" s="192"/>
      <c r="H1010" s="192"/>
      <c r="I1010" s="192"/>
      <c r="J1010" s="192"/>
      <c r="K1010" s="192"/>
      <c r="L1010" s="192"/>
      <c r="M1010" s="192"/>
      <c r="N1010" s="192"/>
      <c r="O1010" s="192"/>
      <c r="P1010" s="192"/>
    </row>
    <row r="1011">
      <c r="A1011" s="192"/>
      <c r="B1011" s="192"/>
      <c r="C1011" s="192"/>
      <c r="D1011" s="192"/>
      <c r="E1011" s="192"/>
      <c r="F1011" s="192"/>
      <c r="G1011" s="192"/>
      <c r="H1011" s="192"/>
      <c r="I1011" s="192"/>
      <c r="J1011" s="192"/>
      <c r="K1011" s="192"/>
      <c r="L1011" s="192"/>
      <c r="M1011" s="192"/>
      <c r="N1011" s="192"/>
      <c r="O1011" s="192"/>
      <c r="P1011" s="192"/>
    </row>
    <row r="1012">
      <c r="A1012" s="192"/>
      <c r="B1012" s="192"/>
      <c r="C1012" s="192"/>
      <c r="D1012" s="192"/>
      <c r="E1012" s="192"/>
      <c r="F1012" s="192"/>
      <c r="G1012" s="192"/>
      <c r="H1012" s="192"/>
      <c r="I1012" s="192"/>
      <c r="J1012" s="192"/>
      <c r="K1012" s="192"/>
      <c r="L1012" s="192"/>
      <c r="M1012" s="192"/>
      <c r="N1012" s="192"/>
      <c r="O1012" s="192"/>
      <c r="P1012" s="192"/>
    </row>
    <row r="1013">
      <c r="A1013" s="192"/>
      <c r="B1013" s="192"/>
      <c r="C1013" s="192"/>
      <c r="D1013" s="192"/>
      <c r="E1013" s="192"/>
      <c r="F1013" s="192"/>
      <c r="G1013" s="192"/>
      <c r="H1013" s="192"/>
      <c r="I1013" s="192"/>
      <c r="J1013" s="192"/>
      <c r="K1013" s="192"/>
      <c r="L1013" s="192"/>
      <c r="M1013" s="192"/>
      <c r="N1013" s="192"/>
      <c r="O1013" s="192"/>
      <c r="P1013" s="192"/>
    </row>
    <row r="1014">
      <c r="A1014" s="192"/>
      <c r="B1014" s="192"/>
      <c r="C1014" s="192"/>
      <c r="D1014" s="192"/>
      <c r="E1014" s="192"/>
      <c r="F1014" s="192"/>
      <c r="G1014" s="192"/>
      <c r="H1014" s="192"/>
      <c r="I1014" s="192"/>
      <c r="J1014" s="192"/>
      <c r="K1014" s="192"/>
      <c r="L1014" s="192"/>
      <c r="M1014" s="192"/>
      <c r="N1014" s="192"/>
      <c r="O1014" s="192"/>
      <c r="P1014" s="192"/>
    </row>
    <row r="1015">
      <c r="A1015" s="192"/>
      <c r="B1015" s="192"/>
      <c r="C1015" s="192"/>
      <c r="D1015" s="192"/>
      <c r="E1015" s="192"/>
      <c r="F1015" s="192"/>
      <c r="G1015" s="192"/>
      <c r="H1015" s="192"/>
      <c r="I1015" s="192"/>
      <c r="J1015" s="192"/>
      <c r="K1015" s="192"/>
      <c r="L1015" s="192"/>
      <c r="M1015" s="192"/>
      <c r="N1015" s="192"/>
      <c r="O1015" s="192"/>
      <c r="P1015" s="192"/>
    </row>
    <row r="1016">
      <c r="A1016" s="192"/>
      <c r="B1016" s="192"/>
      <c r="C1016" s="192"/>
      <c r="D1016" s="192"/>
      <c r="E1016" s="192"/>
      <c r="F1016" s="192"/>
      <c r="G1016" s="192"/>
      <c r="H1016" s="192"/>
      <c r="I1016" s="192"/>
      <c r="J1016" s="192"/>
      <c r="K1016" s="192"/>
      <c r="L1016" s="192"/>
      <c r="M1016" s="192"/>
      <c r="N1016" s="192"/>
      <c r="O1016" s="192"/>
      <c r="P1016" s="192"/>
    </row>
    <row r="1017">
      <c r="A1017" s="192"/>
      <c r="B1017" s="192"/>
      <c r="C1017" s="192"/>
      <c r="D1017" s="192"/>
      <c r="E1017" s="192"/>
      <c r="F1017" s="192"/>
      <c r="G1017" s="192"/>
      <c r="H1017" s="192"/>
      <c r="I1017" s="192"/>
      <c r="J1017" s="192"/>
      <c r="K1017" s="192"/>
      <c r="L1017" s="192"/>
      <c r="M1017" s="192"/>
      <c r="N1017" s="192"/>
      <c r="O1017" s="192"/>
      <c r="P1017" s="192"/>
    </row>
    <row r="1018">
      <c r="A1018" s="192"/>
      <c r="B1018" s="192"/>
      <c r="C1018" s="192"/>
      <c r="D1018" s="192"/>
      <c r="E1018" s="192"/>
      <c r="F1018" s="192"/>
      <c r="G1018" s="192"/>
      <c r="H1018" s="192"/>
      <c r="I1018" s="192"/>
      <c r="J1018" s="192"/>
      <c r="K1018" s="192"/>
      <c r="L1018" s="192"/>
      <c r="M1018" s="192"/>
      <c r="N1018" s="192"/>
      <c r="O1018" s="192"/>
      <c r="P1018" s="192"/>
    </row>
    <row r="1019">
      <c r="A1019" s="192"/>
      <c r="B1019" s="192"/>
      <c r="C1019" s="192"/>
      <c r="D1019" s="192"/>
      <c r="E1019" s="192"/>
      <c r="F1019" s="192"/>
      <c r="G1019" s="192"/>
      <c r="H1019" s="192"/>
      <c r="I1019" s="192"/>
      <c r="J1019" s="192"/>
      <c r="K1019" s="192"/>
      <c r="L1019" s="192"/>
      <c r="M1019" s="192"/>
      <c r="N1019" s="192"/>
      <c r="O1019" s="192"/>
      <c r="P1019" s="192"/>
    </row>
    <row r="1020">
      <c r="A1020" s="192"/>
      <c r="B1020" s="192"/>
      <c r="C1020" s="192"/>
      <c r="D1020" s="192"/>
      <c r="E1020" s="192"/>
      <c r="F1020" s="192"/>
      <c r="G1020" s="192"/>
      <c r="H1020" s="192"/>
      <c r="I1020" s="192"/>
      <c r="J1020" s="192"/>
      <c r="K1020" s="192"/>
      <c r="L1020" s="192"/>
      <c r="M1020" s="192"/>
      <c r="N1020" s="192"/>
      <c r="O1020" s="192"/>
      <c r="P1020" s="192"/>
    </row>
    <row r="1021">
      <c r="A1021" s="192"/>
      <c r="B1021" s="192"/>
      <c r="C1021" s="192"/>
      <c r="D1021" s="192"/>
      <c r="E1021" s="192"/>
      <c r="F1021" s="192"/>
      <c r="G1021" s="192"/>
      <c r="H1021" s="192"/>
      <c r="I1021" s="192"/>
      <c r="J1021" s="192"/>
      <c r="K1021" s="192"/>
      <c r="L1021" s="192"/>
      <c r="M1021" s="192"/>
      <c r="N1021" s="192"/>
      <c r="O1021" s="192"/>
      <c r="P1021" s="192"/>
    </row>
    <row r="1022">
      <c r="A1022" s="192"/>
      <c r="B1022" s="192"/>
      <c r="C1022" s="192"/>
      <c r="D1022" s="192"/>
      <c r="E1022" s="192"/>
      <c r="F1022" s="192"/>
      <c r="G1022" s="192"/>
      <c r="H1022" s="192"/>
      <c r="I1022" s="192"/>
      <c r="J1022" s="192"/>
      <c r="K1022" s="192"/>
      <c r="L1022" s="192"/>
      <c r="M1022" s="192"/>
      <c r="N1022" s="192"/>
      <c r="O1022" s="192"/>
      <c r="P1022" s="192"/>
    </row>
    <row r="1023">
      <c r="A1023" s="192"/>
      <c r="B1023" s="192"/>
      <c r="C1023" s="192"/>
      <c r="D1023" s="192"/>
      <c r="E1023" s="192"/>
      <c r="F1023" s="192"/>
      <c r="G1023" s="192"/>
      <c r="H1023" s="192"/>
      <c r="I1023" s="192"/>
      <c r="J1023" s="192"/>
      <c r="K1023" s="192"/>
      <c r="L1023" s="192"/>
      <c r="M1023" s="192"/>
      <c r="N1023" s="192"/>
      <c r="O1023" s="192"/>
      <c r="P1023" s="192"/>
    </row>
    <row r="1024">
      <c r="A1024" s="192"/>
      <c r="B1024" s="192"/>
      <c r="C1024" s="192"/>
      <c r="D1024" s="192"/>
      <c r="E1024" s="192"/>
      <c r="F1024" s="192"/>
      <c r="G1024" s="192"/>
      <c r="H1024" s="192"/>
      <c r="I1024" s="192"/>
      <c r="J1024" s="192"/>
      <c r="K1024" s="192"/>
      <c r="L1024" s="192"/>
      <c r="M1024" s="192"/>
      <c r="N1024" s="192"/>
      <c r="O1024" s="192"/>
      <c r="P1024" s="192"/>
    </row>
    <row r="1025">
      <c r="A1025" s="192"/>
      <c r="B1025" s="192"/>
      <c r="C1025" s="192"/>
      <c r="D1025" s="192"/>
      <c r="E1025" s="192"/>
      <c r="F1025" s="192"/>
      <c r="G1025" s="192"/>
      <c r="H1025" s="192"/>
      <c r="I1025" s="192"/>
      <c r="J1025" s="192"/>
      <c r="K1025" s="192"/>
      <c r="L1025" s="192"/>
      <c r="M1025" s="192"/>
      <c r="N1025" s="192"/>
      <c r="O1025" s="192"/>
      <c r="P1025" s="192"/>
    </row>
    <row r="1026">
      <c r="A1026" s="192"/>
      <c r="B1026" s="192"/>
      <c r="C1026" s="192"/>
      <c r="D1026" s="192"/>
      <c r="E1026" s="192"/>
      <c r="F1026" s="192"/>
      <c r="G1026" s="192"/>
      <c r="H1026" s="192"/>
      <c r="I1026" s="192"/>
      <c r="J1026" s="192"/>
      <c r="K1026" s="192"/>
      <c r="L1026" s="192"/>
      <c r="M1026" s="192"/>
      <c r="N1026" s="192"/>
      <c r="O1026" s="192"/>
      <c r="P1026" s="192"/>
    </row>
    <row r="1027">
      <c r="A1027" s="192"/>
      <c r="B1027" s="192"/>
      <c r="C1027" s="192"/>
      <c r="D1027" s="192"/>
      <c r="E1027" s="192"/>
      <c r="F1027" s="192"/>
      <c r="G1027" s="192"/>
      <c r="H1027" s="192"/>
      <c r="I1027" s="192"/>
      <c r="J1027" s="192"/>
      <c r="K1027" s="192"/>
      <c r="L1027" s="192"/>
      <c r="M1027" s="192"/>
      <c r="N1027" s="192"/>
      <c r="O1027" s="192"/>
      <c r="P1027" s="192"/>
    </row>
    <row r="1028">
      <c r="A1028" s="192"/>
      <c r="B1028" s="192"/>
      <c r="C1028" s="192"/>
      <c r="D1028" s="192"/>
      <c r="E1028" s="192"/>
      <c r="F1028" s="192"/>
      <c r="G1028" s="192"/>
      <c r="H1028" s="192"/>
      <c r="I1028" s="192"/>
      <c r="J1028" s="192"/>
      <c r="K1028" s="192"/>
      <c r="L1028" s="192"/>
      <c r="M1028" s="192"/>
      <c r="N1028" s="192"/>
      <c r="O1028" s="192"/>
      <c r="P1028" s="192"/>
    </row>
    <row r="1029">
      <c r="A1029" s="192"/>
      <c r="B1029" s="192"/>
      <c r="C1029" s="192"/>
      <c r="D1029" s="192"/>
      <c r="E1029" s="192"/>
      <c r="F1029" s="192"/>
      <c r="G1029" s="192"/>
      <c r="H1029" s="192"/>
      <c r="I1029" s="192"/>
      <c r="J1029" s="192"/>
      <c r="K1029" s="192"/>
      <c r="L1029" s="192"/>
      <c r="M1029" s="192"/>
      <c r="N1029" s="192"/>
      <c r="O1029" s="192"/>
      <c r="P1029" s="192"/>
    </row>
    <row r="1030">
      <c r="A1030" s="192"/>
      <c r="B1030" s="192"/>
      <c r="C1030" s="192"/>
      <c r="D1030" s="192"/>
      <c r="E1030" s="192"/>
      <c r="F1030" s="192"/>
      <c r="G1030" s="192"/>
      <c r="H1030" s="192"/>
      <c r="I1030" s="192"/>
      <c r="J1030" s="192"/>
      <c r="K1030" s="192"/>
      <c r="L1030" s="192"/>
      <c r="M1030" s="192"/>
      <c r="N1030" s="192"/>
      <c r="O1030" s="192"/>
      <c r="P1030" s="192"/>
    </row>
    <row r="1031">
      <c r="A1031" s="192"/>
      <c r="B1031" s="192"/>
      <c r="C1031" s="192"/>
      <c r="D1031" s="192"/>
      <c r="E1031" s="192"/>
      <c r="F1031" s="192"/>
      <c r="G1031" s="192"/>
      <c r="H1031" s="192"/>
      <c r="I1031" s="192"/>
      <c r="J1031" s="192"/>
      <c r="K1031" s="192"/>
      <c r="L1031" s="192"/>
      <c r="M1031" s="192"/>
      <c r="N1031" s="192"/>
      <c r="O1031" s="192"/>
      <c r="P1031" s="192"/>
    </row>
    <row r="1032">
      <c r="A1032" s="192"/>
      <c r="B1032" s="192"/>
      <c r="C1032" s="192"/>
      <c r="D1032" s="192"/>
      <c r="E1032" s="192"/>
      <c r="F1032" s="192"/>
      <c r="G1032" s="192"/>
      <c r="H1032" s="192"/>
      <c r="I1032" s="192"/>
      <c r="J1032" s="192"/>
      <c r="K1032" s="192"/>
      <c r="L1032" s="192"/>
      <c r="M1032" s="192"/>
      <c r="N1032" s="192"/>
      <c r="O1032" s="192"/>
      <c r="P1032" s="192"/>
    </row>
    <row r="1033">
      <c r="A1033" s="192"/>
      <c r="B1033" s="192"/>
      <c r="C1033" s="192"/>
      <c r="D1033" s="192"/>
      <c r="E1033" s="192"/>
      <c r="F1033" s="192"/>
      <c r="G1033" s="192"/>
      <c r="H1033" s="192"/>
      <c r="I1033" s="192"/>
      <c r="J1033" s="192"/>
      <c r="K1033" s="192"/>
      <c r="L1033" s="192"/>
      <c r="M1033" s="192"/>
      <c r="N1033" s="192"/>
      <c r="O1033" s="192"/>
      <c r="P1033" s="192"/>
    </row>
    <row r="1034">
      <c r="A1034" s="192"/>
      <c r="B1034" s="192"/>
      <c r="C1034" s="192"/>
      <c r="D1034" s="192"/>
      <c r="E1034" s="192"/>
      <c r="F1034" s="192"/>
      <c r="G1034" s="192"/>
      <c r="H1034" s="192"/>
      <c r="I1034" s="192"/>
      <c r="J1034" s="192"/>
      <c r="K1034" s="192"/>
      <c r="L1034" s="192"/>
      <c r="M1034" s="192"/>
      <c r="N1034" s="192"/>
      <c r="O1034" s="192"/>
      <c r="P1034" s="192"/>
    </row>
    <row r="1035">
      <c r="A1035" s="192"/>
      <c r="B1035" s="192"/>
      <c r="C1035" s="192"/>
      <c r="D1035" s="192"/>
      <c r="E1035" s="192"/>
      <c r="F1035" s="192"/>
      <c r="G1035" s="192"/>
      <c r="H1035" s="192"/>
      <c r="I1035" s="192"/>
      <c r="J1035" s="192"/>
      <c r="K1035" s="192"/>
      <c r="L1035" s="192"/>
      <c r="M1035" s="192"/>
      <c r="N1035" s="192"/>
      <c r="O1035" s="192"/>
      <c r="P1035" s="192"/>
    </row>
    <row r="1036">
      <c r="A1036" s="192"/>
      <c r="B1036" s="192"/>
      <c r="C1036" s="192"/>
      <c r="D1036" s="192"/>
      <c r="E1036" s="192"/>
      <c r="F1036" s="192"/>
      <c r="G1036" s="192"/>
      <c r="H1036" s="192"/>
      <c r="I1036" s="192"/>
      <c r="J1036" s="192"/>
      <c r="K1036" s="192"/>
      <c r="L1036" s="192"/>
      <c r="M1036" s="192"/>
      <c r="N1036" s="192"/>
      <c r="O1036" s="192"/>
      <c r="P1036" s="192"/>
    </row>
    <row r="1037">
      <c r="A1037" s="192"/>
      <c r="B1037" s="192"/>
      <c r="C1037" s="192"/>
      <c r="D1037" s="192"/>
      <c r="E1037" s="192"/>
      <c r="F1037" s="192"/>
      <c r="G1037" s="192"/>
      <c r="H1037" s="192"/>
      <c r="I1037" s="192"/>
      <c r="J1037" s="192"/>
      <c r="K1037" s="192"/>
      <c r="L1037" s="192"/>
      <c r="M1037" s="192"/>
      <c r="N1037" s="192"/>
      <c r="O1037" s="192"/>
      <c r="P1037" s="192"/>
    </row>
    <row r="1038">
      <c r="A1038" s="192"/>
      <c r="B1038" s="192"/>
      <c r="C1038" s="192"/>
      <c r="D1038" s="192"/>
      <c r="E1038" s="192"/>
      <c r="F1038" s="192"/>
      <c r="G1038" s="192"/>
      <c r="H1038" s="192"/>
      <c r="I1038" s="192"/>
      <c r="J1038" s="192"/>
      <c r="K1038" s="192"/>
      <c r="L1038" s="192"/>
      <c r="M1038" s="192"/>
      <c r="N1038" s="192"/>
      <c r="O1038" s="192"/>
      <c r="P1038" s="192"/>
    </row>
    <row r="1039">
      <c r="A1039" s="192"/>
      <c r="B1039" s="192"/>
      <c r="C1039" s="192"/>
      <c r="D1039" s="192"/>
      <c r="E1039" s="192"/>
      <c r="F1039" s="192"/>
      <c r="G1039" s="192"/>
      <c r="H1039" s="192"/>
      <c r="I1039" s="192"/>
      <c r="J1039" s="192"/>
      <c r="K1039" s="192"/>
      <c r="L1039" s="192"/>
      <c r="M1039" s="192"/>
      <c r="N1039" s="192"/>
      <c r="O1039" s="192"/>
      <c r="P1039" s="192"/>
    </row>
    <row r="1040">
      <c r="A1040" s="192"/>
      <c r="B1040" s="192"/>
      <c r="C1040" s="192"/>
      <c r="D1040" s="192"/>
      <c r="E1040" s="192"/>
      <c r="F1040" s="192"/>
      <c r="G1040" s="192"/>
      <c r="H1040" s="192"/>
      <c r="I1040" s="192"/>
      <c r="J1040" s="192"/>
      <c r="K1040" s="192"/>
      <c r="L1040" s="192"/>
      <c r="M1040" s="192"/>
      <c r="N1040" s="192"/>
      <c r="O1040" s="192"/>
      <c r="P1040" s="192"/>
    </row>
    <row r="1041">
      <c r="A1041" s="192"/>
      <c r="B1041" s="192"/>
      <c r="C1041" s="192"/>
      <c r="D1041" s="192"/>
      <c r="E1041" s="192"/>
      <c r="F1041" s="192"/>
      <c r="G1041" s="192"/>
      <c r="H1041" s="192"/>
      <c r="I1041" s="192"/>
      <c r="J1041" s="192"/>
      <c r="K1041" s="192"/>
      <c r="L1041" s="192"/>
      <c r="M1041" s="192"/>
      <c r="N1041" s="192"/>
      <c r="O1041" s="192"/>
      <c r="P1041" s="192"/>
    </row>
    <row r="1042">
      <c r="A1042" s="192"/>
      <c r="B1042" s="192"/>
      <c r="C1042" s="192"/>
      <c r="D1042" s="192"/>
      <c r="E1042" s="192"/>
      <c r="F1042" s="192"/>
      <c r="G1042" s="192"/>
      <c r="H1042" s="192"/>
      <c r="I1042" s="192"/>
      <c r="J1042" s="192"/>
      <c r="K1042" s="192"/>
      <c r="L1042" s="192"/>
      <c r="M1042" s="192"/>
      <c r="N1042" s="192"/>
      <c r="O1042" s="192"/>
      <c r="P1042" s="192"/>
    </row>
    <row r="1043">
      <c r="A1043" s="192"/>
      <c r="B1043" s="192"/>
      <c r="C1043" s="192"/>
      <c r="D1043" s="192"/>
      <c r="E1043" s="192"/>
      <c r="F1043" s="192"/>
      <c r="G1043" s="192"/>
      <c r="H1043" s="192"/>
      <c r="I1043" s="192"/>
      <c r="J1043" s="192"/>
      <c r="K1043" s="192"/>
      <c r="L1043" s="192"/>
      <c r="M1043" s="192"/>
      <c r="N1043" s="192"/>
      <c r="O1043" s="192"/>
      <c r="P1043" s="192"/>
    </row>
    <row r="1044">
      <c r="A1044" s="192"/>
      <c r="B1044" s="192"/>
      <c r="C1044" s="192"/>
      <c r="D1044" s="192"/>
      <c r="E1044" s="192"/>
      <c r="F1044" s="192"/>
      <c r="G1044" s="192"/>
      <c r="H1044" s="192"/>
      <c r="I1044" s="192"/>
      <c r="J1044" s="192"/>
      <c r="K1044" s="192"/>
      <c r="L1044" s="192"/>
      <c r="M1044" s="192"/>
      <c r="N1044" s="192"/>
      <c r="O1044" s="192"/>
      <c r="P1044" s="192"/>
    </row>
    <row r="1045">
      <c r="A1045" s="192"/>
      <c r="B1045" s="192"/>
      <c r="C1045" s="192"/>
      <c r="D1045" s="192"/>
      <c r="E1045" s="192"/>
      <c r="F1045" s="192"/>
      <c r="G1045" s="192"/>
      <c r="H1045" s="192"/>
      <c r="I1045" s="192"/>
      <c r="J1045" s="192"/>
      <c r="K1045" s="192"/>
      <c r="L1045" s="192"/>
      <c r="M1045" s="192"/>
      <c r="N1045" s="192"/>
      <c r="O1045" s="192"/>
      <c r="P1045" s="192"/>
    </row>
    <row r="1046">
      <c r="A1046" s="192"/>
      <c r="B1046" s="192"/>
      <c r="C1046" s="192"/>
      <c r="D1046" s="192"/>
      <c r="E1046" s="192"/>
      <c r="F1046" s="192"/>
      <c r="G1046" s="192"/>
      <c r="H1046" s="192"/>
      <c r="I1046" s="192"/>
      <c r="J1046" s="192"/>
      <c r="K1046" s="192"/>
      <c r="L1046" s="192"/>
      <c r="M1046" s="192"/>
      <c r="N1046" s="192"/>
      <c r="O1046" s="192"/>
      <c r="P1046" s="192"/>
    </row>
    <row r="1047">
      <c r="A1047" s="192"/>
      <c r="B1047" s="192"/>
      <c r="C1047" s="192"/>
      <c r="D1047" s="192"/>
      <c r="E1047" s="192"/>
      <c r="F1047" s="192"/>
      <c r="G1047" s="192"/>
      <c r="H1047" s="192"/>
      <c r="I1047" s="192"/>
      <c r="J1047" s="192"/>
      <c r="K1047" s="192"/>
      <c r="L1047" s="192"/>
      <c r="M1047" s="192"/>
      <c r="N1047" s="192"/>
      <c r="O1047" s="192"/>
      <c r="P1047" s="192"/>
    </row>
    <row r="1048">
      <c r="A1048" s="192"/>
      <c r="B1048" s="192"/>
      <c r="C1048" s="192"/>
      <c r="D1048" s="192"/>
      <c r="E1048" s="192"/>
      <c r="F1048" s="192"/>
      <c r="G1048" s="192"/>
      <c r="H1048" s="192"/>
      <c r="I1048" s="192"/>
      <c r="J1048" s="192"/>
      <c r="K1048" s="192"/>
      <c r="L1048" s="192"/>
      <c r="M1048" s="192"/>
      <c r="N1048" s="192"/>
      <c r="O1048" s="192"/>
      <c r="P1048" s="192"/>
    </row>
    <row r="1049">
      <c r="A1049" s="192"/>
      <c r="B1049" s="192"/>
      <c r="C1049" s="192"/>
      <c r="D1049" s="192"/>
      <c r="E1049" s="192"/>
      <c r="F1049" s="192"/>
      <c r="G1049" s="192"/>
      <c r="H1049" s="192"/>
      <c r="I1049" s="192"/>
      <c r="J1049" s="192"/>
      <c r="K1049" s="192"/>
      <c r="L1049" s="192"/>
      <c r="M1049" s="192"/>
      <c r="N1049" s="192"/>
      <c r="O1049" s="192"/>
      <c r="P1049" s="192"/>
    </row>
    <row r="1050">
      <c r="A1050" s="192"/>
      <c r="B1050" s="192"/>
      <c r="C1050" s="192"/>
      <c r="D1050" s="192"/>
      <c r="E1050" s="192"/>
      <c r="F1050" s="192"/>
      <c r="G1050" s="192"/>
      <c r="H1050" s="192"/>
      <c r="I1050" s="192"/>
      <c r="J1050" s="192"/>
      <c r="K1050" s="192"/>
      <c r="L1050" s="192"/>
      <c r="M1050" s="192"/>
      <c r="N1050" s="192"/>
      <c r="O1050" s="192"/>
      <c r="P1050" s="192"/>
    </row>
    <row r="1051">
      <c r="A1051" s="192"/>
      <c r="B1051" s="192"/>
      <c r="C1051" s="192"/>
      <c r="D1051" s="192"/>
      <c r="E1051" s="192"/>
      <c r="F1051" s="192"/>
      <c r="G1051" s="192"/>
      <c r="H1051" s="192"/>
      <c r="I1051" s="192"/>
      <c r="J1051" s="192"/>
      <c r="K1051" s="192"/>
      <c r="L1051" s="192"/>
      <c r="M1051" s="192"/>
      <c r="N1051" s="192"/>
      <c r="O1051" s="192"/>
      <c r="P1051" s="192"/>
    </row>
    <row r="1052">
      <c r="A1052" s="192"/>
      <c r="B1052" s="192"/>
      <c r="C1052" s="192"/>
      <c r="D1052" s="192"/>
      <c r="E1052" s="192"/>
      <c r="F1052" s="192"/>
      <c r="G1052" s="192"/>
      <c r="H1052" s="192"/>
      <c r="I1052" s="192"/>
      <c r="J1052" s="192"/>
      <c r="K1052" s="192"/>
      <c r="L1052" s="192"/>
      <c r="M1052" s="192"/>
      <c r="N1052" s="192"/>
      <c r="O1052" s="192"/>
      <c r="P1052" s="192"/>
    </row>
    <row r="1053">
      <c r="A1053" s="192"/>
      <c r="B1053" s="192"/>
      <c r="C1053" s="192"/>
      <c r="D1053" s="192"/>
      <c r="E1053" s="192"/>
      <c r="F1053" s="192"/>
      <c r="G1053" s="192"/>
      <c r="H1053" s="192"/>
      <c r="I1053" s="192"/>
      <c r="J1053" s="192"/>
      <c r="K1053" s="192"/>
      <c r="L1053" s="192"/>
      <c r="M1053" s="192"/>
      <c r="N1053" s="192"/>
      <c r="O1053" s="192"/>
      <c r="P1053" s="192"/>
    </row>
  </sheetData>
  <mergeCells count="18">
    <mergeCell ref="B6:B7"/>
    <mergeCell ref="C6:C7"/>
    <mergeCell ref="D6:D7"/>
    <mergeCell ref="E6:E7"/>
    <mergeCell ref="F6:F7"/>
    <mergeCell ref="G6:G7"/>
    <mergeCell ref="H6:J6"/>
    <mergeCell ref="K6:N6"/>
    <mergeCell ref="O6:O7"/>
    <mergeCell ref="P6:P7"/>
    <mergeCell ref="A1:P1"/>
    <mergeCell ref="A2:P2"/>
    <mergeCell ref="A3:D3"/>
    <mergeCell ref="E3:P3"/>
    <mergeCell ref="A4:P4"/>
    <mergeCell ref="A5:P5"/>
    <mergeCell ref="A6:A7"/>
    <mergeCell ref="A12:P12"/>
  </mergeCells>
  <dataValidations>
    <dataValidation type="list" allowBlank="1" showErrorMessage="1" sqref="B8:B11 B13:B234 B247:B256">
      <formula1>"1CL,2CL,3CL,4CL"</formula1>
    </dataValidation>
    <dataValidation type="list" allowBlank="1" showErrorMessage="1" sqref="P138:P142 P148 P153 P157:P159 P161 P172:P173 P175:P176 P179 P181:P187 P189:P190 P192 P197 P200:P207 P209:P218 P220:P227 P230:P231">
      <formula1>"SERVED,ONGOING,CLEARED OUT"</formula1>
    </dataValidation>
    <dataValidation type="list" allowBlank="1" showErrorMessage="1" sqref="E8:E11 E13:E43 E45:E234">
      <formula1>"I,II,III"</formula1>
    </dataValidation>
    <dataValidation type="list" allowBlank="1" showErrorMessage="1" sqref="P8:P11 P13:P43 P45:P68 P70:P131 P133:P134 P137 P143 P146 P151:P152 P155 P160 P163:P166 P174 P177:P178 P180 P188 P191 P193:P196 P198:P199 P208 P219 P228:P229 P232:P234">
      <formula1>"SERVED,ONGOING,CONFINED,ONGOING/CONFINED"</formula1>
    </dataValidation>
    <dataValidation type="list" allowBlank="1" sqref="F8:F11 F13:F234">
      <formula1>SUMMARY!$E$10:$E$19</formula1>
    </dataValidation>
    <dataValidation type="custom" allowBlank="1" showDropDown="1" sqref="E3 I8:J11 I13:J143 I145:J146 J151 I152:J152 I154:J155 I157:J158 I159 I160:J166 I168:J170 I172:J174 I175:I177 I178:J197 J198 I199:J234">
      <formula1>OR(NOT(ISERROR(DATEVALUE(E3))), AND(ISNUMBER(E3), LEFT(CELL("format", E3))="D"))</formula1>
    </dataValidation>
    <dataValidation type="list" allowBlank="1" showErrorMessage="1" sqref="E44">
      <formula1>"I,II,III,IV"</formula1>
    </dataValidation>
    <dataValidation type="list" allowBlank="1" showDropDown="1" showErrorMessage="1" sqref="H8:H11 H13:H234">
      <formula1>"Yes,No"</formula1>
    </dataValidation>
    <dataValidation type="list" allowBlank="1" showErrorMessage="1" sqref="P44">
      <formula1>"SERVED,ONGOING,CONFINED,ONGOING/CONFINED,CLEARED OUT"</formula1>
    </dataValidation>
    <dataValidation type="list" allowBlank="1" showErrorMessage="1" sqref="P69 P132 P135:P136 P144:P145 P147 P149:P150 P154 P156 P162 P167:P171">
      <formula1>"SERVED,ONGOING,ADVANCED TOURING,PARDONED"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5"/>
    <col customWidth="1" min="2" max="2" width="9.13"/>
    <col customWidth="1" min="3" max="3" width="14.38"/>
    <col customWidth="1" hidden="1" min="4" max="4" width="101.5"/>
    <col customWidth="1" hidden="1" min="5" max="5" width="10.25"/>
    <col customWidth="1" hidden="1" min="6" max="6" width="33.13"/>
    <col hidden="1" min="7" max="7" width="12.63"/>
    <col customWidth="1" min="14" max="14" width="11.25"/>
    <col customWidth="1" min="15" max="15" width="13.25"/>
    <col customWidth="1" min="16" max="16" width="20.75"/>
  </cols>
  <sheetData>
    <row r="1">
      <c r="A1" s="472" t="s">
        <v>1353</v>
      </c>
    </row>
    <row r="2">
      <c r="A2" s="473" t="s">
        <v>1354</v>
      </c>
    </row>
    <row r="3">
      <c r="A3" s="474"/>
      <c r="B3" s="474"/>
      <c r="C3" s="474"/>
      <c r="D3" s="475" t="s">
        <v>72</v>
      </c>
      <c r="E3" s="476"/>
      <c r="I3" s="477">
        <v>46146.0</v>
      </c>
      <c r="M3" s="478"/>
      <c r="N3" s="478"/>
      <c r="O3" s="478"/>
      <c r="P3" s="478"/>
    </row>
    <row r="4" ht="34.5" customHeight="1">
      <c r="A4" s="479" t="s">
        <v>229</v>
      </c>
    </row>
    <row r="5">
      <c r="A5" s="480" t="s">
        <v>54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7"/>
    </row>
    <row r="6">
      <c r="A6" s="481" t="s">
        <v>55</v>
      </c>
      <c r="B6" s="481" t="s">
        <v>56</v>
      </c>
      <c r="C6" s="481" t="s">
        <v>57</v>
      </c>
      <c r="D6" s="481" t="s">
        <v>58</v>
      </c>
      <c r="E6" s="481" t="s">
        <v>59</v>
      </c>
      <c r="F6" s="481" t="s">
        <v>60</v>
      </c>
      <c r="G6" s="481" t="s">
        <v>61</v>
      </c>
      <c r="H6" s="482" t="s">
        <v>62</v>
      </c>
      <c r="I6" s="96"/>
      <c r="J6" s="97"/>
      <c r="K6" s="482" t="s">
        <v>63</v>
      </c>
      <c r="L6" s="96"/>
      <c r="M6" s="96"/>
      <c r="N6" s="97"/>
      <c r="O6" s="481" t="s">
        <v>64</v>
      </c>
      <c r="P6" s="481" t="s">
        <v>65</v>
      </c>
    </row>
    <row r="7">
      <c r="A7" s="68"/>
      <c r="B7" s="68"/>
      <c r="C7" s="68"/>
      <c r="D7" s="68"/>
      <c r="E7" s="68"/>
      <c r="F7" s="68"/>
      <c r="G7" s="68"/>
      <c r="H7" s="483" t="s">
        <v>66</v>
      </c>
      <c r="I7" s="484" t="s">
        <v>67</v>
      </c>
      <c r="J7" s="484" t="s">
        <v>68</v>
      </c>
      <c r="K7" s="484" t="s">
        <v>30</v>
      </c>
      <c r="L7" s="484" t="s">
        <v>69</v>
      </c>
      <c r="M7" s="484" t="s">
        <v>70</v>
      </c>
      <c r="N7" s="484" t="s">
        <v>71</v>
      </c>
      <c r="O7" s="68"/>
      <c r="P7" s="68"/>
    </row>
    <row r="8" ht="39.75" customHeight="1">
      <c r="A8" s="263"/>
      <c r="B8" s="139" t="s">
        <v>15</v>
      </c>
      <c r="C8" s="382" t="s">
        <v>1355</v>
      </c>
      <c r="D8" s="380"/>
      <c r="E8" s="142"/>
      <c r="F8" s="142"/>
      <c r="G8" s="142"/>
      <c r="H8" s="139" t="s">
        <v>76</v>
      </c>
      <c r="I8" s="485">
        <v>46171.0</v>
      </c>
      <c r="J8" s="486">
        <v>46185.0</v>
      </c>
      <c r="K8" s="441">
        <v>40.0</v>
      </c>
      <c r="L8" s="182">
        <v>0.0</v>
      </c>
      <c r="M8" s="139">
        <v>0.0</v>
      </c>
      <c r="N8" s="139">
        <v>40.0</v>
      </c>
      <c r="O8" s="139" t="s">
        <v>1356</v>
      </c>
      <c r="P8" s="139" t="s">
        <v>100</v>
      </c>
    </row>
    <row r="9" ht="39.75" customHeight="1">
      <c r="A9" s="263"/>
      <c r="B9" s="139" t="s">
        <v>15</v>
      </c>
      <c r="C9" s="382" t="s">
        <v>1357</v>
      </c>
      <c r="D9" s="380"/>
      <c r="E9" s="142"/>
      <c r="F9" s="142"/>
      <c r="G9" s="142"/>
      <c r="H9" s="139" t="s">
        <v>76</v>
      </c>
      <c r="I9" s="485">
        <v>46329.0</v>
      </c>
      <c r="J9" s="486">
        <v>46378.0</v>
      </c>
      <c r="K9" s="441">
        <v>65.0</v>
      </c>
      <c r="L9" s="182">
        <v>0.0</v>
      </c>
      <c r="M9" s="182">
        <v>0.0</v>
      </c>
      <c r="N9" s="139">
        <v>65.0</v>
      </c>
      <c r="O9" s="139" t="s">
        <v>1356</v>
      </c>
      <c r="P9" s="139" t="s">
        <v>100</v>
      </c>
    </row>
    <row r="10" ht="39.75" customHeight="1">
      <c r="A10" s="263"/>
      <c r="B10" s="139" t="s">
        <v>15</v>
      </c>
      <c r="C10" s="311" t="s">
        <v>1357</v>
      </c>
      <c r="D10" s="147"/>
      <c r="E10" s="141"/>
      <c r="F10" s="141"/>
      <c r="G10" s="141"/>
      <c r="H10" s="181" t="s">
        <v>76</v>
      </c>
      <c r="I10" s="485">
        <v>46379.0</v>
      </c>
      <c r="J10" s="486">
        <v>46028.0</v>
      </c>
      <c r="K10" s="441">
        <v>40.0</v>
      </c>
      <c r="L10" s="182">
        <v>0.0</v>
      </c>
      <c r="M10" s="182">
        <v>0.0</v>
      </c>
      <c r="N10" s="181">
        <v>40.0</v>
      </c>
      <c r="O10" s="181" t="s">
        <v>1356</v>
      </c>
      <c r="P10" s="139" t="s">
        <v>100</v>
      </c>
    </row>
    <row r="11" ht="39.75" customHeight="1">
      <c r="A11" s="263"/>
      <c r="B11" s="208" t="s">
        <v>16</v>
      </c>
      <c r="C11" s="150" t="s">
        <v>1358</v>
      </c>
      <c r="D11" s="370" t="s">
        <v>816</v>
      </c>
      <c r="E11" s="144" t="s">
        <v>33</v>
      </c>
      <c r="F11" s="370" t="s">
        <v>23</v>
      </c>
      <c r="G11" s="370">
        <v>51.0</v>
      </c>
      <c r="H11" s="144" t="s">
        <v>76</v>
      </c>
      <c r="I11" s="487">
        <v>46097.0</v>
      </c>
      <c r="J11" s="488" t="s">
        <v>1359</v>
      </c>
      <c r="K11" s="489">
        <v>181.0</v>
      </c>
      <c r="L11" s="182">
        <v>0.0</v>
      </c>
      <c r="M11" s="182">
        <v>153.0</v>
      </c>
      <c r="N11" s="181">
        <v>28.0</v>
      </c>
      <c r="O11" s="157" t="s">
        <v>1360</v>
      </c>
      <c r="P11" s="144" t="s">
        <v>84</v>
      </c>
    </row>
    <row r="12" ht="39.75" customHeight="1">
      <c r="A12" s="263"/>
      <c r="B12" s="490" t="s">
        <v>16</v>
      </c>
      <c r="C12" s="490" t="s">
        <v>1361</v>
      </c>
      <c r="D12" s="155"/>
      <c r="E12" s="157"/>
      <c r="F12" s="157"/>
      <c r="G12" s="157"/>
      <c r="H12" s="144" t="s">
        <v>76</v>
      </c>
      <c r="I12" s="485">
        <v>46171.0</v>
      </c>
      <c r="J12" s="486">
        <v>46350.0</v>
      </c>
      <c r="K12" s="488">
        <v>180.0</v>
      </c>
      <c r="L12" s="182">
        <v>0.0</v>
      </c>
      <c r="M12" s="182">
        <v>0.0</v>
      </c>
      <c r="N12" s="182">
        <v>180.0</v>
      </c>
      <c r="O12" s="223" t="s">
        <v>1356</v>
      </c>
      <c r="P12" s="223" t="s">
        <v>100</v>
      </c>
    </row>
    <row r="13" ht="39.75" customHeight="1">
      <c r="A13" s="155"/>
      <c r="B13" s="490" t="s">
        <v>17</v>
      </c>
      <c r="C13" s="490" t="s">
        <v>1362</v>
      </c>
      <c r="D13" s="157"/>
      <c r="E13" s="157"/>
      <c r="F13" s="157"/>
      <c r="G13" s="157"/>
      <c r="H13" s="144" t="s">
        <v>76</v>
      </c>
      <c r="I13" s="486">
        <v>46171.0</v>
      </c>
      <c r="J13" s="491">
        <v>46185.0</v>
      </c>
      <c r="K13" s="488">
        <v>40.0</v>
      </c>
      <c r="L13" s="182">
        <v>0.0</v>
      </c>
      <c r="M13" s="182">
        <v>0.0</v>
      </c>
      <c r="N13" s="182">
        <v>40.0</v>
      </c>
      <c r="O13" s="139" t="s">
        <v>1356</v>
      </c>
      <c r="P13" s="223" t="s">
        <v>100</v>
      </c>
    </row>
    <row r="14" ht="39.75" customHeight="1">
      <c r="A14" s="155"/>
      <c r="B14" s="490" t="s">
        <v>17</v>
      </c>
      <c r="C14" s="490" t="s">
        <v>1363</v>
      </c>
      <c r="D14" s="157"/>
      <c r="E14" s="157"/>
      <c r="F14" s="157"/>
      <c r="G14" s="157"/>
      <c r="H14" s="144" t="s">
        <v>76</v>
      </c>
      <c r="I14" s="486">
        <v>46171.0</v>
      </c>
      <c r="J14" s="491">
        <v>46185.0</v>
      </c>
      <c r="K14" s="488">
        <v>40.0</v>
      </c>
      <c r="L14" s="182">
        <v>0.0</v>
      </c>
      <c r="M14" s="182">
        <v>0.0</v>
      </c>
      <c r="N14" s="182">
        <v>40.0</v>
      </c>
      <c r="O14" s="139" t="s">
        <v>1356</v>
      </c>
      <c r="P14" s="223" t="s">
        <v>100</v>
      </c>
    </row>
    <row r="15" ht="39.75" customHeight="1">
      <c r="A15" s="157"/>
      <c r="B15" s="490" t="s">
        <v>17</v>
      </c>
      <c r="C15" s="490" t="s">
        <v>1364</v>
      </c>
      <c r="D15" s="157"/>
      <c r="E15" s="157"/>
      <c r="F15" s="157"/>
      <c r="G15" s="157"/>
      <c r="H15" s="144" t="s">
        <v>76</v>
      </c>
      <c r="I15" s="486">
        <v>46171.0</v>
      </c>
      <c r="J15" s="491">
        <v>46185.0</v>
      </c>
      <c r="K15" s="488">
        <v>40.0</v>
      </c>
      <c r="L15" s="182">
        <v>0.0</v>
      </c>
      <c r="M15" s="182">
        <v>0.0</v>
      </c>
      <c r="N15" s="182">
        <v>40.0</v>
      </c>
      <c r="O15" s="139" t="s">
        <v>1356</v>
      </c>
      <c r="P15" s="223" t="s">
        <v>100</v>
      </c>
    </row>
    <row r="16" ht="39.75" customHeight="1">
      <c r="A16" s="492" t="s">
        <v>144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7"/>
    </row>
    <row r="17" ht="39.75" customHeight="1">
      <c r="A17" s="207">
        <v>1.0</v>
      </c>
      <c r="B17" s="207" t="s">
        <v>16</v>
      </c>
      <c r="C17" s="150" t="s">
        <v>1365</v>
      </c>
      <c r="D17" s="493" t="s">
        <v>1366</v>
      </c>
      <c r="E17" s="208" t="s">
        <v>35</v>
      </c>
      <c r="F17" s="208" t="s">
        <v>22</v>
      </c>
      <c r="G17" s="208">
        <v>10.0</v>
      </c>
      <c r="H17" s="208" t="s">
        <v>92</v>
      </c>
      <c r="I17" s="211"/>
      <c r="J17" s="494"/>
      <c r="K17" s="208">
        <v>10.0</v>
      </c>
      <c r="L17" s="214"/>
      <c r="M17" s="207">
        <v>10.0</v>
      </c>
      <c r="N17" s="208">
        <v>0.0</v>
      </c>
      <c r="O17" s="208" t="s">
        <v>1367</v>
      </c>
      <c r="P17" s="208" t="s">
        <v>70</v>
      </c>
    </row>
    <row r="18" ht="39.75" customHeight="1">
      <c r="A18" s="207">
        <v>2.0</v>
      </c>
      <c r="B18" s="207" t="s">
        <v>16</v>
      </c>
      <c r="C18" s="381" t="s">
        <v>1368</v>
      </c>
      <c r="D18" s="213" t="s">
        <v>1369</v>
      </c>
      <c r="E18" s="141" t="s">
        <v>35</v>
      </c>
      <c r="F18" s="141" t="s">
        <v>20</v>
      </c>
      <c r="G18" s="141">
        <v>10.0</v>
      </c>
      <c r="H18" s="141" t="s">
        <v>92</v>
      </c>
      <c r="I18" s="151"/>
      <c r="J18" s="495"/>
      <c r="K18" s="141">
        <v>10.0</v>
      </c>
      <c r="L18" s="141">
        <v>0.0</v>
      </c>
      <c r="M18" s="141">
        <v>10.0</v>
      </c>
      <c r="N18" s="142">
        <v>0.0</v>
      </c>
      <c r="O18" s="208" t="s">
        <v>1370</v>
      </c>
      <c r="P18" s="208" t="s">
        <v>70</v>
      </c>
    </row>
    <row r="19" ht="39.75" customHeight="1">
      <c r="A19" s="207">
        <v>3.0</v>
      </c>
      <c r="B19" s="207" t="s">
        <v>16</v>
      </c>
      <c r="C19" s="147" t="s">
        <v>1371</v>
      </c>
      <c r="D19" s="493" t="s">
        <v>1372</v>
      </c>
      <c r="E19" s="207" t="s">
        <v>35</v>
      </c>
      <c r="F19" s="207" t="s">
        <v>19</v>
      </c>
      <c r="G19" s="207">
        <v>10.0</v>
      </c>
      <c r="H19" s="207" t="s">
        <v>92</v>
      </c>
      <c r="I19" s="211"/>
      <c r="J19" s="494"/>
      <c r="K19" s="207">
        <v>10.0</v>
      </c>
      <c r="L19" s="214"/>
      <c r="M19" s="207">
        <v>10.0</v>
      </c>
      <c r="N19" s="207">
        <v>0.0</v>
      </c>
      <c r="O19" s="207" t="s">
        <v>1370</v>
      </c>
      <c r="P19" s="208" t="s">
        <v>70</v>
      </c>
    </row>
    <row r="20" ht="39.75" customHeight="1">
      <c r="A20" s="207">
        <v>4.0</v>
      </c>
      <c r="B20" s="207" t="s">
        <v>16</v>
      </c>
      <c r="C20" s="150" t="s">
        <v>1373</v>
      </c>
      <c r="D20" s="493" t="s">
        <v>1366</v>
      </c>
      <c r="E20" s="208" t="s">
        <v>35</v>
      </c>
      <c r="F20" s="208" t="s">
        <v>22</v>
      </c>
      <c r="G20" s="208">
        <v>10.0</v>
      </c>
      <c r="H20" s="208" t="s">
        <v>92</v>
      </c>
      <c r="I20" s="211"/>
      <c r="J20" s="494"/>
      <c r="K20" s="208">
        <v>10.0</v>
      </c>
      <c r="L20" s="214"/>
      <c r="M20" s="207">
        <v>10.0</v>
      </c>
      <c r="N20" s="208">
        <v>0.0</v>
      </c>
      <c r="O20" s="208" t="s">
        <v>1367</v>
      </c>
      <c r="P20" s="208" t="s">
        <v>70</v>
      </c>
    </row>
    <row r="21" ht="39.75" customHeight="1">
      <c r="A21" s="207">
        <v>5.0</v>
      </c>
      <c r="B21" s="208" t="s">
        <v>16</v>
      </c>
      <c r="C21" s="147" t="s">
        <v>1374</v>
      </c>
      <c r="D21" s="493" t="s">
        <v>1375</v>
      </c>
      <c r="E21" s="207" t="s">
        <v>35</v>
      </c>
      <c r="F21" s="207" t="s">
        <v>19</v>
      </c>
      <c r="G21" s="207">
        <v>10.0</v>
      </c>
      <c r="H21" s="207" t="s">
        <v>92</v>
      </c>
      <c r="I21" s="211"/>
      <c r="J21" s="494"/>
      <c r="K21" s="207">
        <v>10.0</v>
      </c>
      <c r="L21" s="214"/>
      <c r="M21" s="207">
        <v>10.0</v>
      </c>
      <c r="N21" s="207">
        <v>0.0</v>
      </c>
      <c r="O21" s="207" t="s">
        <v>1370</v>
      </c>
      <c r="P21" s="208" t="s">
        <v>70</v>
      </c>
    </row>
    <row r="22" ht="39.75" customHeight="1">
      <c r="A22" s="207">
        <v>6.0</v>
      </c>
      <c r="B22" s="208" t="s">
        <v>16</v>
      </c>
      <c r="C22" s="147" t="s">
        <v>1376</v>
      </c>
      <c r="D22" s="493" t="s">
        <v>1377</v>
      </c>
      <c r="E22" s="207" t="s">
        <v>35</v>
      </c>
      <c r="F22" s="207" t="s">
        <v>23</v>
      </c>
      <c r="G22" s="207">
        <v>8.0</v>
      </c>
      <c r="H22" s="207" t="s">
        <v>92</v>
      </c>
      <c r="I22" s="211"/>
      <c r="J22" s="494"/>
      <c r="K22" s="207">
        <v>8.0</v>
      </c>
      <c r="L22" s="214"/>
      <c r="M22" s="207">
        <v>8.0</v>
      </c>
      <c r="N22" s="207">
        <v>0.0</v>
      </c>
      <c r="O22" s="207" t="s">
        <v>1370</v>
      </c>
      <c r="P22" s="208" t="s">
        <v>70</v>
      </c>
    </row>
    <row r="23" ht="39.75" customHeight="1">
      <c r="A23" s="207">
        <v>7.0</v>
      </c>
      <c r="B23" s="208" t="s">
        <v>16</v>
      </c>
      <c r="C23" s="150" t="s">
        <v>1378</v>
      </c>
      <c r="D23" s="493" t="s">
        <v>1366</v>
      </c>
      <c r="E23" s="208" t="s">
        <v>35</v>
      </c>
      <c r="F23" s="208" t="s">
        <v>22</v>
      </c>
      <c r="G23" s="208">
        <v>10.0</v>
      </c>
      <c r="H23" s="208" t="s">
        <v>92</v>
      </c>
      <c r="I23" s="211"/>
      <c r="J23" s="494"/>
      <c r="K23" s="208">
        <v>10.0</v>
      </c>
      <c r="L23" s="214"/>
      <c r="M23" s="207">
        <v>10.0</v>
      </c>
      <c r="N23" s="208">
        <v>0.0</v>
      </c>
      <c r="O23" s="208" t="s">
        <v>1367</v>
      </c>
      <c r="P23" s="208" t="s">
        <v>70</v>
      </c>
    </row>
    <row r="24" ht="39.75" customHeight="1">
      <c r="A24" s="208">
        <v>8.0</v>
      </c>
      <c r="B24" s="207" t="s">
        <v>17</v>
      </c>
      <c r="C24" s="150" t="s">
        <v>1379</v>
      </c>
      <c r="D24" s="493" t="s">
        <v>1380</v>
      </c>
      <c r="E24" s="208" t="s">
        <v>35</v>
      </c>
      <c r="F24" s="208" t="s">
        <v>20</v>
      </c>
      <c r="G24" s="208">
        <v>10.0</v>
      </c>
      <c r="H24" s="208" t="s">
        <v>92</v>
      </c>
      <c r="I24" s="211"/>
      <c r="J24" s="494"/>
      <c r="K24" s="208">
        <v>10.0</v>
      </c>
      <c r="L24" s="214"/>
      <c r="M24" s="207">
        <v>10.0</v>
      </c>
      <c r="N24" s="208">
        <v>0.0</v>
      </c>
      <c r="O24" s="208" t="s">
        <v>1367</v>
      </c>
      <c r="P24" s="208" t="s">
        <v>70</v>
      </c>
    </row>
    <row r="25" ht="39.75" customHeight="1">
      <c r="A25" s="207">
        <v>9.0</v>
      </c>
      <c r="B25" s="208" t="s">
        <v>16</v>
      </c>
      <c r="C25" s="150" t="s">
        <v>1373</v>
      </c>
      <c r="D25" s="216" t="s">
        <v>1381</v>
      </c>
      <c r="E25" s="142" t="s">
        <v>35</v>
      </c>
      <c r="F25" s="142" t="s">
        <v>20</v>
      </c>
      <c r="G25" s="142">
        <v>10.0</v>
      </c>
      <c r="H25" s="142" t="s">
        <v>92</v>
      </c>
      <c r="I25" s="211"/>
      <c r="J25" s="494"/>
      <c r="K25" s="208">
        <v>10.0</v>
      </c>
      <c r="L25" s="157"/>
      <c r="M25" s="142">
        <v>10.0</v>
      </c>
      <c r="N25" s="208">
        <v>0.0</v>
      </c>
      <c r="O25" s="208" t="s">
        <v>1382</v>
      </c>
      <c r="P25" s="208" t="s">
        <v>70</v>
      </c>
    </row>
    <row r="26" ht="39.75" customHeight="1">
      <c r="A26" s="141">
        <v>10.0</v>
      </c>
      <c r="B26" s="141" t="s">
        <v>16</v>
      </c>
      <c r="C26" s="141" t="s">
        <v>1376</v>
      </c>
      <c r="D26" s="141" t="s">
        <v>1383</v>
      </c>
      <c r="E26" s="141" t="s">
        <v>34</v>
      </c>
      <c r="F26" s="141" t="s">
        <v>23</v>
      </c>
      <c r="G26" s="141">
        <v>50.0</v>
      </c>
      <c r="H26" s="141" t="s">
        <v>76</v>
      </c>
      <c r="I26" s="146">
        <v>45695.0</v>
      </c>
      <c r="J26" s="496">
        <v>45874.0</v>
      </c>
      <c r="K26" s="141">
        <v>180.0</v>
      </c>
      <c r="L26" s="141">
        <v>0.0</v>
      </c>
      <c r="M26" s="141">
        <v>180.0</v>
      </c>
      <c r="N26" s="141">
        <f>K26-M26-L26</f>
        <v>0</v>
      </c>
      <c r="O26" s="141" t="s">
        <v>1384</v>
      </c>
      <c r="P26" s="142" t="s">
        <v>70</v>
      </c>
    </row>
    <row r="27" ht="39.75" customHeight="1">
      <c r="A27" s="207">
        <v>11.0</v>
      </c>
      <c r="B27" s="207" t="s">
        <v>15</v>
      </c>
      <c r="C27" s="147" t="s">
        <v>1385</v>
      </c>
      <c r="D27" s="493" t="s">
        <v>1386</v>
      </c>
      <c r="E27" s="207" t="s">
        <v>35</v>
      </c>
      <c r="F27" s="207" t="s">
        <v>23</v>
      </c>
      <c r="G27" s="207">
        <v>19.0</v>
      </c>
      <c r="H27" s="207" t="s">
        <v>92</v>
      </c>
      <c r="I27" s="211"/>
      <c r="J27" s="494"/>
      <c r="K27" s="207">
        <v>39.0</v>
      </c>
      <c r="L27" s="497"/>
      <c r="M27" s="208">
        <v>39.0</v>
      </c>
      <c r="N27" s="207">
        <v>0.0</v>
      </c>
      <c r="O27" s="207" t="s">
        <v>1370</v>
      </c>
      <c r="P27" s="208" t="s">
        <v>70</v>
      </c>
    </row>
    <row r="28" ht="39.75" customHeight="1">
      <c r="A28" s="207">
        <v>12.0</v>
      </c>
      <c r="B28" s="208" t="s">
        <v>15</v>
      </c>
      <c r="C28" s="150" t="s">
        <v>1387</v>
      </c>
      <c r="D28" s="493" t="s">
        <v>1388</v>
      </c>
      <c r="E28" s="208" t="s">
        <v>34</v>
      </c>
      <c r="F28" s="208" t="s">
        <v>23</v>
      </c>
      <c r="G28" s="208">
        <v>20.0</v>
      </c>
      <c r="H28" s="208" t="s">
        <v>76</v>
      </c>
      <c r="I28" s="209">
        <v>45839.0</v>
      </c>
      <c r="J28" s="498">
        <v>45853.0</v>
      </c>
      <c r="K28" s="208">
        <v>40.0</v>
      </c>
      <c r="L28" s="214"/>
      <c r="M28" s="208">
        <v>40.0</v>
      </c>
      <c r="N28" s="208">
        <v>0.0</v>
      </c>
      <c r="O28" s="208" t="s">
        <v>1367</v>
      </c>
      <c r="P28" s="208" t="s">
        <v>70</v>
      </c>
    </row>
    <row r="29" ht="39.75" customHeight="1">
      <c r="A29" s="207">
        <v>13.0</v>
      </c>
      <c r="B29" s="207" t="s">
        <v>15</v>
      </c>
      <c r="C29" s="147" t="s">
        <v>1389</v>
      </c>
      <c r="D29" s="493" t="s">
        <v>1390</v>
      </c>
      <c r="E29" s="207" t="s">
        <v>35</v>
      </c>
      <c r="F29" s="207" t="s">
        <v>23</v>
      </c>
      <c r="G29" s="207">
        <v>19.0</v>
      </c>
      <c r="H29" s="207" t="s">
        <v>92</v>
      </c>
      <c r="I29" s="211"/>
      <c r="J29" s="494"/>
      <c r="K29" s="207">
        <v>39.0</v>
      </c>
      <c r="L29" s="214"/>
      <c r="M29" s="208">
        <v>39.0</v>
      </c>
      <c r="N29" s="208">
        <v>0.0</v>
      </c>
      <c r="O29" s="207" t="s">
        <v>1370</v>
      </c>
      <c r="P29" s="208" t="s">
        <v>70</v>
      </c>
    </row>
    <row r="30" ht="39.75" customHeight="1">
      <c r="A30" s="144">
        <v>14.0</v>
      </c>
      <c r="B30" s="142" t="s">
        <v>17</v>
      </c>
      <c r="C30" s="150" t="s">
        <v>641</v>
      </c>
      <c r="D30" s="147" t="s">
        <v>1391</v>
      </c>
      <c r="E30" s="142" t="s">
        <v>34</v>
      </c>
      <c r="F30" s="142" t="s">
        <v>23</v>
      </c>
      <c r="G30" s="142">
        <v>20.0</v>
      </c>
      <c r="H30" s="142" t="s">
        <v>76</v>
      </c>
      <c r="I30" s="149">
        <v>45839.0</v>
      </c>
      <c r="J30" s="499">
        <v>45853.0</v>
      </c>
      <c r="K30" s="142">
        <v>40.0</v>
      </c>
      <c r="L30" s="157"/>
      <c r="M30" s="142">
        <v>40.0</v>
      </c>
      <c r="N30" s="142">
        <v>0.0</v>
      </c>
      <c r="O30" s="142" t="s">
        <v>1367</v>
      </c>
      <c r="P30" s="142" t="s">
        <v>70</v>
      </c>
    </row>
    <row r="31" ht="39.75" customHeight="1">
      <c r="A31" s="207">
        <v>15.0</v>
      </c>
      <c r="B31" s="208" t="s">
        <v>17</v>
      </c>
      <c r="C31" s="150" t="s">
        <v>1392</v>
      </c>
      <c r="D31" s="500" t="s">
        <v>1393</v>
      </c>
      <c r="E31" s="208" t="s">
        <v>35</v>
      </c>
      <c r="F31" s="208" t="s">
        <v>28</v>
      </c>
      <c r="G31" s="208">
        <v>8.0</v>
      </c>
      <c r="H31" s="208" t="s">
        <v>92</v>
      </c>
      <c r="I31" s="211"/>
      <c r="J31" s="494"/>
      <c r="K31" s="208">
        <v>8.0</v>
      </c>
      <c r="L31" s="214"/>
      <c r="M31" s="208">
        <v>8.0</v>
      </c>
      <c r="N31" s="208">
        <v>0.0</v>
      </c>
      <c r="O31" s="208" t="s">
        <v>1394</v>
      </c>
      <c r="P31" s="208" t="s">
        <v>70</v>
      </c>
    </row>
    <row r="32" ht="39.75" customHeight="1">
      <c r="A32" s="207">
        <v>16.0</v>
      </c>
      <c r="B32" s="208" t="s">
        <v>17</v>
      </c>
      <c r="C32" s="150" t="s">
        <v>1395</v>
      </c>
      <c r="D32" s="500" t="s">
        <v>1396</v>
      </c>
      <c r="E32" s="208" t="s">
        <v>35</v>
      </c>
      <c r="F32" s="208" t="s">
        <v>19</v>
      </c>
      <c r="G32" s="208">
        <v>10.0</v>
      </c>
      <c r="H32" s="208" t="s">
        <v>92</v>
      </c>
      <c r="I32" s="211"/>
      <c r="J32" s="494"/>
      <c r="K32" s="208">
        <v>10.0</v>
      </c>
      <c r="L32" s="214"/>
      <c r="M32" s="208">
        <v>10.0</v>
      </c>
      <c r="N32" s="208">
        <v>0.0</v>
      </c>
      <c r="O32" s="208" t="s">
        <v>1394</v>
      </c>
      <c r="P32" s="208" t="s">
        <v>70</v>
      </c>
    </row>
    <row r="33" ht="39.75" customHeight="1">
      <c r="A33" s="207">
        <v>17.0</v>
      </c>
      <c r="B33" s="208" t="s">
        <v>17</v>
      </c>
      <c r="C33" s="150" t="s">
        <v>1397</v>
      </c>
      <c r="D33" s="500" t="s">
        <v>1398</v>
      </c>
      <c r="E33" s="208" t="s">
        <v>35</v>
      </c>
      <c r="F33" s="208" t="s">
        <v>23</v>
      </c>
      <c r="G33" s="208">
        <v>8.0</v>
      </c>
      <c r="H33" s="208" t="s">
        <v>92</v>
      </c>
      <c r="I33" s="211"/>
      <c r="J33" s="494"/>
      <c r="K33" s="208">
        <v>8.0</v>
      </c>
      <c r="L33" s="214"/>
      <c r="M33" s="207">
        <v>8.0</v>
      </c>
      <c r="N33" s="208">
        <v>0.0</v>
      </c>
      <c r="O33" s="208" t="s">
        <v>1394</v>
      </c>
      <c r="P33" s="208" t="s">
        <v>70</v>
      </c>
    </row>
    <row r="34" ht="39.75" customHeight="1">
      <c r="A34" s="144">
        <v>18.0</v>
      </c>
      <c r="B34" s="141" t="s">
        <v>15</v>
      </c>
      <c r="C34" s="150" t="s">
        <v>1399</v>
      </c>
      <c r="D34" s="147" t="s">
        <v>1400</v>
      </c>
      <c r="E34" s="141" t="s">
        <v>35</v>
      </c>
      <c r="F34" s="141" t="s">
        <v>22</v>
      </c>
      <c r="G34" s="141">
        <v>19.0</v>
      </c>
      <c r="H34" s="141" t="s">
        <v>92</v>
      </c>
      <c r="I34" s="151"/>
      <c r="J34" s="495"/>
      <c r="K34" s="141">
        <v>39.0</v>
      </c>
      <c r="L34" s="164"/>
      <c r="M34" s="141">
        <v>39.0</v>
      </c>
      <c r="N34" s="141">
        <v>0.0</v>
      </c>
      <c r="O34" s="141" t="s">
        <v>1370</v>
      </c>
      <c r="P34" s="142" t="s">
        <v>70</v>
      </c>
    </row>
    <row r="35" ht="39.75" customHeight="1">
      <c r="A35" s="144">
        <v>19.0</v>
      </c>
      <c r="B35" s="142" t="s">
        <v>15</v>
      </c>
      <c r="C35" s="150" t="s">
        <v>1401</v>
      </c>
      <c r="D35" s="147" t="s">
        <v>1388</v>
      </c>
      <c r="E35" s="142" t="s">
        <v>34</v>
      </c>
      <c r="F35" s="142" t="s">
        <v>23</v>
      </c>
      <c r="G35" s="142">
        <v>20.0</v>
      </c>
      <c r="H35" s="142" t="s">
        <v>76</v>
      </c>
      <c r="I35" s="149">
        <v>45839.0</v>
      </c>
      <c r="J35" s="499">
        <v>45853.0</v>
      </c>
      <c r="K35" s="142">
        <v>40.0</v>
      </c>
      <c r="L35" s="157"/>
      <c r="M35" s="142">
        <v>40.0</v>
      </c>
      <c r="N35" s="142">
        <v>0.0</v>
      </c>
      <c r="O35" s="142" t="s">
        <v>1367</v>
      </c>
      <c r="P35" s="142" t="s">
        <v>70</v>
      </c>
    </row>
    <row r="36" ht="39.75" customHeight="1">
      <c r="A36" s="207">
        <v>20.0</v>
      </c>
      <c r="B36" s="208" t="s">
        <v>16</v>
      </c>
      <c r="C36" s="150" t="s">
        <v>1368</v>
      </c>
      <c r="D36" s="216" t="s">
        <v>1402</v>
      </c>
      <c r="E36" s="142" t="s">
        <v>35</v>
      </c>
      <c r="F36" s="142" t="s">
        <v>23</v>
      </c>
      <c r="G36" s="142">
        <v>8.0</v>
      </c>
      <c r="H36" s="142" t="s">
        <v>92</v>
      </c>
      <c r="I36" s="211"/>
      <c r="J36" s="494"/>
      <c r="K36" s="208">
        <v>8.0</v>
      </c>
      <c r="L36" s="164"/>
      <c r="M36" s="142">
        <v>8.0</v>
      </c>
      <c r="N36" s="208">
        <v>0.0</v>
      </c>
      <c r="O36" s="208" t="s">
        <v>1382</v>
      </c>
      <c r="P36" s="208" t="s">
        <v>70</v>
      </c>
    </row>
    <row r="37" ht="39.75" customHeight="1">
      <c r="A37" s="207">
        <v>21.0</v>
      </c>
      <c r="B37" s="208" t="s">
        <v>16</v>
      </c>
      <c r="C37" s="150" t="s">
        <v>1371</v>
      </c>
      <c r="D37" s="216" t="s">
        <v>1403</v>
      </c>
      <c r="E37" s="142" t="s">
        <v>35</v>
      </c>
      <c r="F37" s="142" t="s">
        <v>20</v>
      </c>
      <c r="G37" s="142">
        <v>8.0</v>
      </c>
      <c r="H37" s="142" t="s">
        <v>92</v>
      </c>
      <c r="I37" s="211"/>
      <c r="J37" s="494"/>
      <c r="K37" s="208">
        <v>8.0</v>
      </c>
      <c r="L37" s="157"/>
      <c r="M37" s="142">
        <v>8.0</v>
      </c>
      <c r="N37" s="208">
        <v>0.0</v>
      </c>
      <c r="O37" s="208" t="s">
        <v>1404</v>
      </c>
      <c r="P37" s="208" t="s">
        <v>70</v>
      </c>
    </row>
    <row r="38" ht="39.75" customHeight="1">
      <c r="A38" s="207">
        <v>22.0</v>
      </c>
      <c r="B38" s="208" t="s">
        <v>16</v>
      </c>
      <c r="C38" s="150" t="s">
        <v>1022</v>
      </c>
      <c r="D38" s="216" t="s">
        <v>1381</v>
      </c>
      <c r="E38" s="142" t="s">
        <v>35</v>
      </c>
      <c r="F38" s="142" t="s">
        <v>20</v>
      </c>
      <c r="G38" s="142">
        <v>10.0</v>
      </c>
      <c r="H38" s="142" t="s">
        <v>92</v>
      </c>
      <c r="I38" s="211"/>
      <c r="J38" s="494"/>
      <c r="K38" s="208">
        <v>10.0</v>
      </c>
      <c r="L38" s="164"/>
      <c r="M38" s="142">
        <v>10.0</v>
      </c>
      <c r="N38" s="208">
        <v>0.0</v>
      </c>
      <c r="O38" s="208" t="s">
        <v>1382</v>
      </c>
      <c r="P38" s="208" t="s">
        <v>70</v>
      </c>
    </row>
    <row r="39" ht="39.75" customHeight="1">
      <c r="A39" s="207">
        <v>23.0</v>
      </c>
      <c r="B39" s="208" t="s">
        <v>16</v>
      </c>
      <c r="C39" s="150" t="s">
        <v>1405</v>
      </c>
      <c r="D39" s="216" t="s">
        <v>1406</v>
      </c>
      <c r="E39" s="142" t="s">
        <v>35</v>
      </c>
      <c r="F39" s="142" t="s">
        <v>23</v>
      </c>
      <c r="G39" s="142">
        <v>8.0</v>
      </c>
      <c r="H39" s="142" t="s">
        <v>92</v>
      </c>
      <c r="I39" s="211"/>
      <c r="J39" s="494"/>
      <c r="K39" s="208">
        <v>8.0</v>
      </c>
      <c r="L39" s="157"/>
      <c r="M39" s="142">
        <v>8.0</v>
      </c>
      <c r="N39" s="208">
        <v>0.0</v>
      </c>
      <c r="O39" s="208" t="s">
        <v>1404</v>
      </c>
      <c r="P39" s="208" t="s">
        <v>70</v>
      </c>
    </row>
    <row r="40" ht="39.75" customHeight="1">
      <c r="A40" s="207">
        <v>24.0</v>
      </c>
      <c r="B40" s="208" t="s">
        <v>16</v>
      </c>
      <c r="C40" s="150" t="s">
        <v>1407</v>
      </c>
      <c r="D40" s="216" t="s">
        <v>1408</v>
      </c>
      <c r="E40" s="142" t="s">
        <v>35</v>
      </c>
      <c r="F40" s="142" t="s">
        <v>19</v>
      </c>
      <c r="G40" s="142">
        <v>10.0</v>
      </c>
      <c r="H40" s="142" t="s">
        <v>92</v>
      </c>
      <c r="I40" s="211"/>
      <c r="J40" s="494"/>
      <c r="K40" s="208">
        <v>10.0</v>
      </c>
      <c r="L40" s="157"/>
      <c r="M40" s="142">
        <v>10.0</v>
      </c>
      <c r="N40" s="208">
        <v>0.0</v>
      </c>
      <c r="O40" s="208" t="s">
        <v>1404</v>
      </c>
      <c r="P40" s="208" t="s">
        <v>70</v>
      </c>
    </row>
    <row r="41" ht="39.75" customHeight="1">
      <c r="A41" s="207">
        <v>25.0</v>
      </c>
      <c r="B41" s="208" t="s">
        <v>17</v>
      </c>
      <c r="C41" s="150" t="s">
        <v>1409</v>
      </c>
      <c r="D41" s="500" t="s">
        <v>1410</v>
      </c>
      <c r="E41" s="208" t="s">
        <v>35</v>
      </c>
      <c r="F41" s="208" t="s">
        <v>20</v>
      </c>
      <c r="G41" s="208">
        <v>8.0</v>
      </c>
      <c r="H41" s="208" t="s">
        <v>92</v>
      </c>
      <c r="I41" s="211"/>
      <c r="J41" s="494"/>
      <c r="K41" s="208">
        <v>8.0</v>
      </c>
      <c r="L41" s="214"/>
      <c r="M41" s="208">
        <v>8.0</v>
      </c>
      <c r="N41" s="208">
        <v>0.0</v>
      </c>
      <c r="O41" s="208" t="s">
        <v>1382</v>
      </c>
      <c r="P41" s="208" t="s">
        <v>70</v>
      </c>
    </row>
    <row r="42" ht="39.75" customHeight="1">
      <c r="A42" s="207">
        <v>26.0</v>
      </c>
      <c r="B42" s="208" t="s">
        <v>17</v>
      </c>
      <c r="C42" s="150" t="s">
        <v>1411</v>
      </c>
      <c r="D42" s="500" t="s">
        <v>1412</v>
      </c>
      <c r="E42" s="208" t="s">
        <v>35</v>
      </c>
      <c r="F42" s="208" t="s">
        <v>20</v>
      </c>
      <c r="G42" s="208">
        <v>15.0</v>
      </c>
      <c r="H42" s="208" t="s">
        <v>92</v>
      </c>
      <c r="I42" s="211"/>
      <c r="J42" s="494"/>
      <c r="K42" s="208">
        <v>25.0</v>
      </c>
      <c r="L42" s="214"/>
      <c r="M42" s="208">
        <v>25.0</v>
      </c>
      <c r="N42" s="208">
        <v>0.0</v>
      </c>
      <c r="O42" s="208" t="s">
        <v>1382</v>
      </c>
      <c r="P42" s="208" t="s">
        <v>70</v>
      </c>
    </row>
    <row r="43" ht="39.75" customHeight="1">
      <c r="A43" s="207">
        <v>27.0</v>
      </c>
      <c r="B43" s="142" t="s">
        <v>16</v>
      </c>
      <c r="C43" s="150" t="s">
        <v>1374</v>
      </c>
      <c r="D43" s="380" t="s">
        <v>1408</v>
      </c>
      <c r="E43" s="142" t="s">
        <v>35</v>
      </c>
      <c r="F43" s="142" t="s">
        <v>19</v>
      </c>
      <c r="G43" s="142">
        <v>10.0</v>
      </c>
      <c r="H43" s="142" t="s">
        <v>92</v>
      </c>
      <c r="I43" s="501"/>
      <c r="J43" s="495"/>
      <c r="K43" s="142">
        <v>10.0</v>
      </c>
      <c r="L43" s="157"/>
      <c r="M43" s="144">
        <v>10.0</v>
      </c>
      <c r="N43" s="142">
        <v>0.0</v>
      </c>
      <c r="O43" s="142" t="s">
        <v>1404</v>
      </c>
      <c r="P43" s="142" t="s">
        <v>70</v>
      </c>
    </row>
    <row r="44" ht="39.75" customHeight="1">
      <c r="A44" s="207">
        <v>28.0</v>
      </c>
      <c r="B44" s="208" t="s">
        <v>16</v>
      </c>
      <c r="C44" s="150" t="s">
        <v>1358</v>
      </c>
      <c r="D44" s="216" t="s">
        <v>1402</v>
      </c>
      <c r="E44" s="142" t="s">
        <v>35</v>
      </c>
      <c r="F44" s="142" t="s">
        <v>23</v>
      </c>
      <c r="G44" s="142">
        <v>8.0</v>
      </c>
      <c r="H44" s="142" t="s">
        <v>92</v>
      </c>
      <c r="I44" s="211"/>
      <c r="J44" s="494"/>
      <c r="K44" s="208">
        <v>8.0</v>
      </c>
      <c r="L44" s="157"/>
      <c r="M44" s="142">
        <v>8.0</v>
      </c>
      <c r="N44" s="208">
        <v>0.0</v>
      </c>
      <c r="O44" s="208" t="s">
        <v>1404</v>
      </c>
      <c r="P44" s="208" t="s">
        <v>70</v>
      </c>
    </row>
    <row r="45" ht="39.75" customHeight="1">
      <c r="A45" s="144">
        <v>29.0</v>
      </c>
      <c r="B45" s="142" t="s">
        <v>15</v>
      </c>
      <c r="C45" s="150" t="s">
        <v>1413</v>
      </c>
      <c r="D45" s="147" t="s">
        <v>1414</v>
      </c>
      <c r="E45" s="142" t="s">
        <v>34</v>
      </c>
      <c r="F45" s="142" t="s">
        <v>23</v>
      </c>
      <c r="G45" s="142">
        <v>20.0</v>
      </c>
      <c r="H45" s="142" t="s">
        <v>76</v>
      </c>
      <c r="I45" s="149">
        <v>45845.0</v>
      </c>
      <c r="J45" s="499">
        <v>45859.0</v>
      </c>
      <c r="K45" s="142">
        <v>40.0</v>
      </c>
      <c r="L45" s="157"/>
      <c r="M45" s="142">
        <v>40.0</v>
      </c>
      <c r="N45" s="142">
        <v>0.0</v>
      </c>
      <c r="O45" s="142" t="s">
        <v>1415</v>
      </c>
      <c r="P45" s="142" t="s">
        <v>70</v>
      </c>
    </row>
    <row r="46" ht="30.75" customHeight="1">
      <c r="A46" s="207">
        <v>30.0</v>
      </c>
      <c r="B46" s="208" t="s">
        <v>16</v>
      </c>
      <c r="C46" s="380" t="s">
        <v>1365</v>
      </c>
      <c r="D46" s="216" t="s">
        <v>1381</v>
      </c>
      <c r="E46" s="142" t="s">
        <v>35</v>
      </c>
      <c r="F46" s="142" t="s">
        <v>20</v>
      </c>
      <c r="G46" s="142">
        <v>10.0</v>
      </c>
      <c r="H46" s="142" t="s">
        <v>92</v>
      </c>
      <c r="I46" s="211"/>
      <c r="J46" s="494"/>
      <c r="K46" s="208">
        <v>10.0</v>
      </c>
      <c r="L46" s="157"/>
      <c r="M46" s="142">
        <v>10.0</v>
      </c>
      <c r="N46" s="208">
        <v>0.0</v>
      </c>
      <c r="O46" s="208" t="s">
        <v>1382</v>
      </c>
      <c r="P46" s="208" t="s">
        <v>70</v>
      </c>
    </row>
    <row r="47" ht="39.75" customHeight="1">
      <c r="A47" s="207">
        <v>31.0</v>
      </c>
      <c r="B47" s="208" t="s">
        <v>16</v>
      </c>
      <c r="C47" s="150" t="s">
        <v>1355</v>
      </c>
      <c r="D47" s="493" t="s">
        <v>1416</v>
      </c>
      <c r="E47" s="221" t="s">
        <v>35</v>
      </c>
      <c r="F47" s="208" t="s">
        <v>21</v>
      </c>
      <c r="G47" s="221">
        <v>19.0</v>
      </c>
      <c r="H47" s="221" t="s">
        <v>92</v>
      </c>
      <c r="I47" s="211"/>
      <c r="J47" s="494"/>
      <c r="K47" s="221">
        <v>39.0</v>
      </c>
      <c r="L47" s="497"/>
      <c r="M47" s="208">
        <v>40.0</v>
      </c>
      <c r="N47" s="208">
        <v>0.0</v>
      </c>
      <c r="O47" s="208" t="s">
        <v>1367</v>
      </c>
      <c r="P47" s="208" t="s">
        <v>70</v>
      </c>
    </row>
    <row r="48" ht="39.75" customHeight="1">
      <c r="A48" s="207">
        <v>32.0</v>
      </c>
      <c r="B48" s="208" t="s">
        <v>17</v>
      </c>
      <c r="C48" s="150" t="s">
        <v>570</v>
      </c>
      <c r="D48" s="500" t="s">
        <v>1412</v>
      </c>
      <c r="E48" s="208" t="s">
        <v>35</v>
      </c>
      <c r="F48" s="208" t="s">
        <v>20</v>
      </c>
      <c r="G48" s="208">
        <v>15.0</v>
      </c>
      <c r="H48" s="208" t="s">
        <v>92</v>
      </c>
      <c r="I48" s="211"/>
      <c r="J48" s="494"/>
      <c r="K48" s="208">
        <v>25.0</v>
      </c>
      <c r="L48" s="497"/>
      <c r="M48" s="208">
        <v>25.0</v>
      </c>
      <c r="N48" s="208">
        <v>0.0</v>
      </c>
      <c r="O48" s="208" t="s">
        <v>1382</v>
      </c>
      <c r="P48" s="208" t="s">
        <v>70</v>
      </c>
    </row>
    <row r="49" ht="39.75" customHeight="1">
      <c r="A49" s="144">
        <v>33.0</v>
      </c>
      <c r="B49" s="142" t="s">
        <v>16</v>
      </c>
      <c r="C49" s="150" t="s">
        <v>1365</v>
      </c>
      <c r="D49" s="150" t="s">
        <v>1417</v>
      </c>
      <c r="E49" s="142" t="s">
        <v>35</v>
      </c>
      <c r="F49" s="142" t="s">
        <v>19</v>
      </c>
      <c r="G49" s="142">
        <v>10.0</v>
      </c>
      <c r="H49" s="142" t="s">
        <v>92</v>
      </c>
      <c r="I49" s="151"/>
      <c r="J49" s="495"/>
      <c r="K49" s="142">
        <v>10.0</v>
      </c>
      <c r="L49" s="164"/>
      <c r="M49" s="502">
        <v>10.0</v>
      </c>
      <c r="N49" s="142">
        <v>0.0</v>
      </c>
      <c r="O49" s="142" t="s">
        <v>1418</v>
      </c>
      <c r="P49" s="142" t="s">
        <v>70</v>
      </c>
    </row>
    <row r="50" ht="39.75" customHeight="1">
      <c r="A50" s="144">
        <v>34.0</v>
      </c>
      <c r="B50" s="142" t="s">
        <v>16</v>
      </c>
      <c r="C50" s="150" t="s">
        <v>1368</v>
      </c>
      <c r="D50" s="150" t="s">
        <v>1417</v>
      </c>
      <c r="E50" s="142" t="s">
        <v>35</v>
      </c>
      <c r="F50" s="142" t="s">
        <v>19</v>
      </c>
      <c r="G50" s="142">
        <v>10.0</v>
      </c>
      <c r="H50" s="142" t="s">
        <v>92</v>
      </c>
      <c r="I50" s="151"/>
      <c r="J50" s="495"/>
      <c r="K50" s="142">
        <v>10.0</v>
      </c>
      <c r="L50" s="164"/>
      <c r="M50" s="502">
        <v>10.0</v>
      </c>
      <c r="N50" s="142">
        <v>0.0</v>
      </c>
      <c r="O50" s="142" t="s">
        <v>1418</v>
      </c>
      <c r="P50" s="142" t="s">
        <v>70</v>
      </c>
    </row>
    <row r="51" ht="39.75" customHeight="1">
      <c r="A51" s="207">
        <v>35.0</v>
      </c>
      <c r="B51" s="208" t="s">
        <v>16</v>
      </c>
      <c r="C51" s="150" t="s">
        <v>1373</v>
      </c>
      <c r="D51" s="500" t="s">
        <v>1417</v>
      </c>
      <c r="E51" s="208" t="s">
        <v>35</v>
      </c>
      <c r="F51" s="208" t="s">
        <v>19</v>
      </c>
      <c r="G51" s="208">
        <v>10.0</v>
      </c>
      <c r="H51" s="208" t="s">
        <v>92</v>
      </c>
      <c r="I51" s="211"/>
      <c r="J51" s="494"/>
      <c r="K51" s="208">
        <v>10.0</v>
      </c>
      <c r="L51" s="214"/>
      <c r="M51" s="207">
        <v>10.0</v>
      </c>
      <c r="N51" s="208">
        <v>0.0</v>
      </c>
      <c r="O51" s="208" t="s">
        <v>1418</v>
      </c>
      <c r="P51" s="208" t="s">
        <v>70</v>
      </c>
    </row>
    <row r="52" ht="39.75" customHeight="1">
      <c r="A52" s="207">
        <v>36.0</v>
      </c>
      <c r="B52" s="208" t="s">
        <v>16</v>
      </c>
      <c r="C52" s="147" t="s">
        <v>1419</v>
      </c>
      <c r="D52" s="493" t="s">
        <v>1145</v>
      </c>
      <c r="E52" s="207" t="s">
        <v>35</v>
      </c>
      <c r="F52" s="207" t="s">
        <v>19</v>
      </c>
      <c r="G52" s="207">
        <v>10.0</v>
      </c>
      <c r="H52" s="207" t="s">
        <v>92</v>
      </c>
      <c r="I52" s="211"/>
      <c r="J52" s="494"/>
      <c r="K52" s="207">
        <v>10.0</v>
      </c>
      <c r="L52" s="214"/>
      <c r="M52" s="207">
        <v>10.0</v>
      </c>
      <c r="N52" s="207">
        <v>0.0</v>
      </c>
      <c r="O52" s="207" t="s">
        <v>1418</v>
      </c>
      <c r="P52" s="208" t="s">
        <v>70</v>
      </c>
    </row>
    <row r="53" ht="39.75" customHeight="1">
      <c r="A53" s="207">
        <v>37.0</v>
      </c>
      <c r="B53" s="208" t="s">
        <v>16</v>
      </c>
      <c r="C53" s="150" t="s">
        <v>1261</v>
      </c>
      <c r="D53" s="216" t="s">
        <v>1420</v>
      </c>
      <c r="E53" s="142" t="s">
        <v>34</v>
      </c>
      <c r="F53" s="142" t="s">
        <v>23</v>
      </c>
      <c r="G53" s="142">
        <v>20.0</v>
      </c>
      <c r="H53" s="142" t="s">
        <v>76</v>
      </c>
      <c r="I53" s="503">
        <v>45852.0</v>
      </c>
      <c r="J53" s="504">
        <v>45866.0</v>
      </c>
      <c r="K53" s="208">
        <v>40.0</v>
      </c>
      <c r="L53" s="164"/>
      <c r="M53" s="142">
        <v>40.0</v>
      </c>
      <c r="N53" s="208">
        <v>0.0</v>
      </c>
      <c r="O53" s="208" t="s">
        <v>1382</v>
      </c>
      <c r="P53" s="208" t="s">
        <v>70</v>
      </c>
    </row>
    <row r="54" ht="30.75" customHeight="1">
      <c r="A54" s="207">
        <v>38.0</v>
      </c>
      <c r="B54" s="142" t="s">
        <v>16</v>
      </c>
      <c r="C54" s="150" t="s">
        <v>1378</v>
      </c>
      <c r="D54" s="150" t="s">
        <v>1417</v>
      </c>
      <c r="E54" s="142" t="s">
        <v>35</v>
      </c>
      <c r="F54" s="142" t="s">
        <v>19</v>
      </c>
      <c r="G54" s="142">
        <v>10.0</v>
      </c>
      <c r="H54" s="142" t="s">
        <v>92</v>
      </c>
      <c r="I54" s="151"/>
      <c r="J54" s="495"/>
      <c r="K54" s="142">
        <v>10.0</v>
      </c>
      <c r="L54" s="157"/>
      <c r="M54" s="502">
        <v>10.0</v>
      </c>
      <c r="N54" s="156">
        <v>0.0</v>
      </c>
      <c r="O54" s="142" t="s">
        <v>1418</v>
      </c>
      <c r="P54" s="142" t="s">
        <v>70</v>
      </c>
    </row>
    <row r="55" ht="39.75" customHeight="1">
      <c r="A55" s="207">
        <v>39.0</v>
      </c>
      <c r="B55" s="208" t="s">
        <v>15</v>
      </c>
      <c r="C55" s="147" t="s">
        <v>1421</v>
      </c>
      <c r="D55" s="147" t="s">
        <v>1422</v>
      </c>
      <c r="E55" s="142" t="s">
        <v>35</v>
      </c>
      <c r="F55" s="142" t="s">
        <v>23</v>
      </c>
      <c r="G55" s="142">
        <v>15.0</v>
      </c>
      <c r="H55" s="142" t="s">
        <v>92</v>
      </c>
      <c r="I55" s="211"/>
      <c r="J55" s="494"/>
      <c r="K55" s="208">
        <v>25.0</v>
      </c>
      <c r="L55" s="164"/>
      <c r="M55" s="142">
        <v>25.0</v>
      </c>
      <c r="N55" s="208">
        <v>0.0</v>
      </c>
      <c r="O55" s="208" t="s">
        <v>1423</v>
      </c>
      <c r="P55" s="208" t="s">
        <v>70</v>
      </c>
    </row>
    <row r="56" ht="39.75" customHeight="1">
      <c r="A56" s="207">
        <v>40.0</v>
      </c>
      <c r="B56" s="208" t="s">
        <v>15</v>
      </c>
      <c r="C56" s="147" t="s">
        <v>1424</v>
      </c>
      <c r="D56" s="147" t="s">
        <v>1068</v>
      </c>
      <c r="E56" s="142" t="s">
        <v>35</v>
      </c>
      <c r="F56" s="142" t="s">
        <v>19</v>
      </c>
      <c r="G56" s="142">
        <v>15.0</v>
      </c>
      <c r="H56" s="142" t="s">
        <v>92</v>
      </c>
      <c r="I56" s="211"/>
      <c r="J56" s="494"/>
      <c r="K56" s="208">
        <v>25.0</v>
      </c>
      <c r="L56" s="164"/>
      <c r="M56" s="142">
        <v>25.0</v>
      </c>
      <c r="N56" s="208">
        <v>0.0</v>
      </c>
      <c r="O56" s="208" t="s">
        <v>1423</v>
      </c>
      <c r="P56" s="208" t="s">
        <v>70</v>
      </c>
    </row>
    <row r="57" ht="39.75" customHeight="1">
      <c r="A57" s="207">
        <v>41.0</v>
      </c>
      <c r="B57" s="208" t="s">
        <v>15</v>
      </c>
      <c r="C57" s="380" t="s">
        <v>1424</v>
      </c>
      <c r="D57" s="147" t="s">
        <v>1100</v>
      </c>
      <c r="E57" s="142" t="s">
        <v>35</v>
      </c>
      <c r="F57" s="142" t="s">
        <v>19</v>
      </c>
      <c r="G57" s="142">
        <v>10.0</v>
      </c>
      <c r="H57" s="142" t="s">
        <v>92</v>
      </c>
      <c r="I57" s="211"/>
      <c r="J57" s="494"/>
      <c r="K57" s="208">
        <v>10.0</v>
      </c>
      <c r="L57" s="164"/>
      <c r="M57" s="142">
        <v>10.0</v>
      </c>
      <c r="N57" s="208">
        <v>0.0</v>
      </c>
      <c r="O57" s="208" t="s">
        <v>1423</v>
      </c>
      <c r="P57" s="208" t="s">
        <v>70</v>
      </c>
    </row>
    <row r="58" ht="39.75" customHeight="1">
      <c r="A58" s="207">
        <v>42.0</v>
      </c>
      <c r="B58" s="208" t="s">
        <v>15</v>
      </c>
      <c r="C58" s="380" t="s">
        <v>570</v>
      </c>
      <c r="D58" s="147" t="s">
        <v>1425</v>
      </c>
      <c r="E58" s="142" t="s">
        <v>35</v>
      </c>
      <c r="F58" s="142" t="s">
        <v>19</v>
      </c>
      <c r="G58" s="142">
        <v>11.0</v>
      </c>
      <c r="H58" s="142" t="s">
        <v>92</v>
      </c>
      <c r="I58" s="211"/>
      <c r="J58" s="494"/>
      <c r="K58" s="208">
        <v>13.0</v>
      </c>
      <c r="L58" s="164"/>
      <c r="M58" s="142">
        <v>13.0</v>
      </c>
      <c r="N58" s="208">
        <v>0.0</v>
      </c>
      <c r="O58" s="208" t="s">
        <v>1423</v>
      </c>
      <c r="P58" s="208" t="s">
        <v>70</v>
      </c>
    </row>
    <row r="59" ht="30.75" customHeight="1">
      <c r="A59" s="207">
        <v>43.0</v>
      </c>
      <c r="B59" s="208" t="s">
        <v>15</v>
      </c>
      <c r="C59" s="380" t="s">
        <v>1426</v>
      </c>
      <c r="D59" s="216" t="s">
        <v>1427</v>
      </c>
      <c r="E59" s="142" t="s">
        <v>34</v>
      </c>
      <c r="F59" s="142" t="s">
        <v>19</v>
      </c>
      <c r="G59" s="142">
        <v>30.0</v>
      </c>
      <c r="H59" s="142" t="s">
        <v>76</v>
      </c>
      <c r="I59" s="505">
        <v>45875.0</v>
      </c>
      <c r="J59" s="504">
        <v>45924.0</v>
      </c>
      <c r="K59" s="208">
        <v>65.0</v>
      </c>
      <c r="L59" s="157"/>
      <c r="M59" s="142">
        <v>65.0</v>
      </c>
      <c r="N59" s="208">
        <v>0.0</v>
      </c>
      <c r="O59" s="208" t="s">
        <v>1428</v>
      </c>
      <c r="P59" s="208" t="s">
        <v>70</v>
      </c>
    </row>
    <row r="60" ht="39.75" customHeight="1">
      <c r="A60" s="207">
        <v>44.0</v>
      </c>
      <c r="B60" s="208" t="s">
        <v>15</v>
      </c>
      <c r="C60" s="380" t="s">
        <v>1426</v>
      </c>
      <c r="D60" s="216" t="s">
        <v>1425</v>
      </c>
      <c r="E60" s="142" t="s">
        <v>35</v>
      </c>
      <c r="F60" s="142" t="s">
        <v>19</v>
      </c>
      <c r="G60" s="142">
        <v>11.0</v>
      </c>
      <c r="H60" s="142" t="s">
        <v>92</v>
      </c>
      <c r="I60" s="211"/>
      <c r="J60" s="494"/>
      <c r="K60" s="208">
        <v>13.0</v>
      </c>
      <c r="L60" s="164"/>
      <c r="M60" s="142">
        <v>13.0</v>
      </c>
      <c r="N60" s="208">
        <v>0.0</v>
      </c>
      <c r="O60" s="208" t="s">
        <v>1423</v>
      </c>
      <c r="P60" s="208" t="s">
        <v>70</v>
      </c>
    </row>
    <row r="61" ht="39.75" customHeight="1">
      <c r="A61" s="157"/>
      <c r="B61" s="142" t="s">
        <v>17</v>
      </c>
      <c r="C61" s="150" t="s">
        <v>1379</v>
      </c>
      <c r="D61" s="147" t="s">
        <v>1429</v>
      </c>
      <c r="E61" s="142" t="s">
        <v>35</v>
      </c>
      <c r="F61" s="142" t="s">
        <v>22</v>
      </c>
      <c r="G61" s="142">
        <v>19.0</v>
      </c>
      <c r="H61" s="142" t="s">
        <v>92</v>
      </c>
      <c r="I61" s="151"/>
      <c r="J61" s="495"/>
      <c r="K61" s="142">
        <v>39.0</v>
      </c>
      <c r="L61" s="164"/>
      <c r="M61" s="142">
        <v>20.0</v>
      </c>
      <c r="N61" s="142">
        <v>19.0</v>
      </c>
      <c r="O61" s="142" t="s">
        <v>1367</v>
      </c>
      <c r="P61" s="142" t="s">
        <v>100</v>
      </c>
    </row>
    <row r="62" ht="30.75" customHeight="1">
      <c r="A62" s="157"/>
      <c r="B62" s="142" t="s">
        <v>17</v>
      </c>
      <c r="C62" s="147" t="s">
        <v>1395</v>
      </c>
      <c r="D62" s="147" t="s">
        <v>1430</v>
      </c>
      <c r="E62" s="141" t="s">
        <v>35</v>
      </c>
      <c r="F62" s="141" t="s">
        <v>23</v>
      </c>
      <c r="G62" s="141">
        <v>19.0</v>
      </c>
      <c r="H62" s="141" t="s">
        <v>92</v>
      </c>
      <c r="I62" s="151"/>
      <c r="J62" s="495"/>
      <c r="K62" s="141">
        <v>30.0</v>
      </c>
      <c r="L62" s="157"/>
      <c r="M62" s="157"/>
      <c r="N62" s="164"/>
      <c r="O62" s="141" t="s">
        <v>1431</v>
      </c>
      <c r="P62" s="142" t="s">
        <v>100</v>
      </c>
    </row>
    <row r="63" ht="30.75" customHeight="1">
      <c r="A63" s="157"/>
      <c r="B63" s="142" t="s">
        <v>16</v>
      </c>
      <c r="C63" s="150" t="s">
        <v>1371</v>
      </c>
      <c r="D63" s="380" t="s">
        <v>1408</v>
      </c>
      <c r="E63" s="142" t="s">
        <v>35</v>
      </c>
      <c r="F63" s="142" t="s">
        <v>19</v>
      </c>
      <c r="G63" s="142">
        <v>10.0</v>
      </c>
      <c r="H63" s="142" t="s">
        <v>92</v>
      </c>
      <c r="I63" s="501"/>
      <c r="J63" s="495"/>
      <c r="K63" s="142">
        <v>10.0</v>
      </c>
      <c r="L63" s="157"/>
      <c r="M63" s="144">
        <v>10.0</v>
      </c>
      <c r="N63" s="156">
        <v>0.0</v>
      </c>
      <c r="O63" s="142" t="s">
        <v>1404</v>
      </c>
      <c r="P63" s="142" t="s">
        <v>70</v>
      </c>
    </row>
    <row r="64" ht="30.75" customHeight="1">
      <c r="A64" s="214"/>
      <c r="B64" s="208" t="s">
        <v>16</v>
      </c>
      <c r="C64" s="150" t="s">
        <v>1432</v>
      </c>
      <c r="D64" s="500" t="s">
        <v>1433</v>
      </c>
      <c r="E64" s="208" t="s">
        <v>35</v>
      </c>
      <c r="F64" s="208" t="s">
        <v>23</v>
      </c>
      <c r="G64" s="208">
        <v>15.0</v>
      </c>
      <c r="H64" s="208" t="s">
        <v>92</v>
      </c>
      <c r="I64" s="211"/>
      <c r="J64" s="494"/>
      <c r="K64" s="208">
        <v>25.0</v>
      </c>
      <c r="L64" s="214"/>
      <c r="M64" s="207">
        <v>25.0</v>
      </c>
      <c r="N64" s="221">
        <v>0.0</v>
      </c>
      <c r="O64" s="208" t="s">
        <v>1382</v>
      </c>
      <c r="P64" s="208" t="s">
        <v>70</v>
      </c>
    </row>
    <row r="65" ht="30.75" customHeight="1">
      <c r="A65" s="214"/>
      <c r="B65" s="208" t="s">
        <v>16</v>
      </c>
      <c r="C65" s="150" t="s">
        <v>1376</v>
      </c>
      <c r="D65" s="216" t="s">
        <v>1434</v>
      </c>
      <c r="E65" s="142" t="s">
        <v>34</v>
      </c>
      <c r="F65" s="142" t="s">
        <v>23</v>
      </c>
      <c r="G65" s="142">
        <v>20.0</v>
      </c>
      <c r="H65" s="142" t="s">
        <v>76</v>
      </c>
      <c r="I65" s="505">
        <v>45852.0</v>
      </c>
      <c r="J65" s="504">
        <v>45866.0</v>
      </c>
      <c r="K65" s="208">
        <v>40.0</v>
      </c>
      <c r="L65" s="157"/>
      <c r="M65" s="142">
        <v>40.0</v>
      </c>
      <c r="N65" s="221">
        <v>0.0</v>
      </c>
      <c r="O65" s="208" t="s">
        <v>1382</v>
      </c>
      <c r="P65" s="208" t="s">
        <v>70</v>
      </c>
    </row>
    <row r="66" ht="30.75" customHeight="1">
      <c r="A66" s="214"/>
      <c r="B66" s="208" t="s">
        <v>16</v>
      </c>
      <c r="C66" s="150" t="s">
        <v>1435</v>
      </c>
      <c r="D66" s="500" t="s">
        <v>1436</v>
      </c>
      <c r="E66" s="208" t="s">
        <v>35</v>
      </c>
      <c r="F66" s="208" t="s">
        <v>21</v>
      </c>
      <c r="G66" s="208">
        <v>15.0</v>
      </c>
      <c r="H66" s="208" t="s">
        <v>92</v>
      </c>
      <c r="I66" s="211"/>
      <c r="J66" s="494"/>
      <c r="K66" s="208">
        <v>25.0</v>
      </c>
      <c r="L66" s="214"/>
      <c r="M66" s="208">
        <v>25.0</v>
      </c>
      <c r="N66" s="221">
        <v>0.0</v>
      </c>
      <c r="O66" s="208" t="s">
        <v>1382</v>
      </c>
      <c r="P66" s="208" t="s">
        <v>70</v>
      </c>
    </row>
    <row r="67" ht="39.75" customHeight="1">
      <c r="A67" s="214"/>
      <c r="B67" s="207" t="s">
        <v>17</v>
      </c>
      <c r="C67" s="147" t="s">
        <v>1437</v>
      </c>
      <c r="D67" s="493" t="s">
        <v>1438</v>
      </c>
      <c r="E67" s="207" t="s">
        <v>35</v>
      </c>
      <c r="F67" s="207" t="s">
        <v>21</v>
      </c>
      <c r="G67" s="207">
        <v>19.0</v>
      </c>
      <c r="H67" s="207" t="s">
        <v>92</v>
      </c>
      <c r="I67" s="211"/>
      <c r="J67" s="494"/>
      <c r="K67" s="207">
        <v>39.0</v>
      </c>
      <c r="L67" s="497"/>
      <c r="M67" s="208">
        <v>39.0</v>
      </c>
      <c r="N67" s="208">
        <v>0.0</v>
      </c>
      <c r="O67" s="207" t="s">
        <v>1370</v>
      </c>
      <c r="P67" s="208" t="s">
        <v>70</v>
      </c>
    </row>
    <row r="68" ht="30.75" customHeight="1">
      <c r="A68" s="214"/>
      <c r="B68" s="208" t="s">
        <v>16</v>
      </c>
      <c r="C68" s="380" t="s">
        <v>1439</v>
      </c>
      <c r="D68" s="213" t="s">
        <v>1440</v>
      </c>
      <c r="E68" s="142" t="s">
        <v>34</v>
      </c>
      <c r="F68" s="142" t="s">
        <v>22</v>
      </c>
      <c r="G68" s="142">
        <v>20.0</v>
      </c>
      <c r="H68" s="142" t="s">
        <v>76</v>
      </c>
      <c r="I68" s="505">
        <v>45845.0</v>
      </c>
      <c r="J68" s="504">
        <v>45859.0</v>
      </c>
      <c r="K68" s="208">
        <v>40.0</v>
      </c>
      <c r="L68" s="157"/>
      <c r="M68" s="142">
        <v>40.0</v>
      </c>
      <c r="N68" s="221">
        <v>0.0</v>
      </c>
      <c r="O68" s="208" t="s">
        <v>1415</v>
      </c>
      <c r="P68" s="208" t="s">
        <v>70</v>
      </c>
    </row>
    <row r="69" ht="30.75" customHeight="1">
      <c r="A69" s="214"/>
      <c r="B69" s="208" t="s">
        <v>16</v>
      </c>
      <c r="C69" s="380" t="s">
        <v>1441</v>
      </c>
      <c r="D69" s="213" t="s">
        <v>1442</v>
      </c>
      <c r="E69" s="142" t="s">
        <v>34</v>
      </c>
      <c r="F69" s="142" t="s">
        <v>22</v>
      </c>
      <c r="G69" s="142">
        <v>20.0</v>
      </c>
      <c r="H69" s="142" t="s">
        <v>76</v>
      </c>
      <c r="I69" s="160">
        <v>45839.0</v>
      </c>
      <c r="J69" s="506">
        <v>45853.0</v>
      </c>
      <c r="K69" s="142">
        <v>40.0</v>
      </c>
      <c r="L69" s="157"/>
      <c r="M69" s="142">
        <v>40.0</v>
      </c>
      <c r="N69" s="156">
        <v>0.0</v>
      </c>
      <c r="O69" s="208" t="s">
        <v>1367</v>
      </c>
      <c r="P69" s="208" t="s">
        <v>70</v>
      </c>
    </row>
    <row r="70" ht="30.75" customHeight="1">
      <c r="A70" s="214"/>
      <c r="B70" s="208" t="s">
        <v>16</v>
      </c>
      <c r="C70" s="150" t="s">
        <v>1443</v>
      </c>
      <c r="D70" s="493" t="s">
        <v>1416</v>
      </c>
      <c r="E70" s="208" t="s">
        <v>35</v>
      </c>
      <c r="F70" s="208" t="s">
        <v>21</v>
      </c>
      <c r="G70" s="208">
        <v>19.0</v>
      </c>
      <c r="H70" s="208" t="s">
        <v>92</v>
      </c>
      <c r="I70" s="211"/>
      <c r="J70" s="494"/>
      <c r="K70" s="208">
        <v>39.0</v>
      </c>
      <c r="L70" s="214"/>
      <c r="M70" s="207">
        <v>39.0</v>
      </c>
      <c r="N70" s="221">
        <v>0.0</v>
      </c>
      <c r="O70" s="208" t="s">
        <v>1367</v>
      </c>
      <c r="P70" s="208" t="s">
        <v>70</v>
      </c>
    </row>
    <row r="71" ht="30.75" customHeight="1">
      <c r="A71" s="214"/>
      <c r="B71" s="207" t="s">
        <v>17</v>
      </c>
      <c r="C71" s="147" t="s">
        <v>525</v>
      </c>
      <c r="D71" s="493" t="s">
        <v>1444</v>
      </c>
      <c r="E71" s="207" t="s">
        <v>35</v>
      </c>
      <c r="F71" s="207" t="s">
        <v>19</v>
      </c>
      <c r="G71" s="207">
        <v>10.0</v>
      </c>
      <c r="H71" s="207" t="s">
        <v>92</v>
      </c>
      <c r="I71" s="211"/>
      <c r="J71" s="494"/>
      <c r="K71" s="207">
        <v>10.0</v>
      </c>
      <c r="L71" s="214"/>
      <c r="M71" s="207">
        <v>10.0</v>
      </c>
      <c r="N71" s="212">
        <v>0.0</v>
      </c>
      <c r="O71" s="207" t="s">
        <v>1370</v>
      </c>
      <c r="P71" s="208" t="s">
        <v>70</v>
      </c>
    </row>
    <row r="72" ht="30.75" customHeight="1">
      <c r="A72" s="214"/>
      <c r="B72" s="208" t="s">
        <v>15</v>
      </c>
      <c r="C72" s="380" t="s">
        <v>1445</v>
      </c>
      <c r="D72" s="216" t="s">
        <v>1068</v>
      </c>
      <c r="E72" s="142" t="s">
        <v>35</v>
      </c>
      <c r="F72" s="142" t="s">
        <v>19</v>
      </c>
      <c r="G72" s="142">
        <v>15.0</v>
      </c>
      <c r="H72" s="142" t="s">
        <v>92</v>
      </c>
      <c r="I72" s="211"/>
      <c r="J72" s="494"/>
      <c r="K72" s="208">
        <v>25.0</v>
      </c>
      <c r="L72" s="157"/>
      <c r="M72" s="142">
        <v>25.0</v>
      </c>
      <c r="N72" s="221">
        <v>0.0</v>
      </c>
      <c r="O72" s="208" t="s">
        <v>1423</v>
      </c>
      <c r="P72" s="208" t="s">
        <v>70</v>
      </c>
    </row>
    <row r="73" ht="30.75" customHeight="1">
      <c r="A73" s="214"/>
      <c r="B73" s="208" t="s">
        <v>15</v>
      </c>
      <c r="C73" s="380" t="s">
        <v>1446</v>
      </c>
      <c r="D73" s="216" t="s">
        <v>1068</v>
      </c>
      <c r="E73" s="142" t="s">
        <v>35</v>
      </c>
      <c r="F73" s="142" t="s">
        <v>19</v>
      </c>
      <c r="G73" s="142">
        <v>15.0</v>
      </c>
      <c r="H73" s="142" t="s">
        <v>92</v>
      </c>
      <c r="I73" s="211"/>
      <c r="J73" s="494"/>
      <c r="K73" s="208">
        <v>25.0</v>
      </c>
      <c r="L73" s="157"/>
      <c r="M73" s="142">
        <v>25.0</v>
      </c>
      <c r="N73" s="221">
        <v>0.0</v>
      </c>
      <c r="O73" s="208" t="s">
        <v>1423</v>
      </c>
      <c r="P73" s="208" t="s">
        <v>70</v>
      </c>
    </row>
    <row r="74" ht="30.75" customHeight="1">
      <c r="A74" s="214"/>
      <c r="B74" s="208" t="s">
        <v>16</v>
      </c>
      <c r="C74" s="380" t="s">
        <v>1439</v>
      </c>
      <c r="D74" s="216" t="s">
        <v>1447</v>
      </c>
      <c r="E74" s="142" t="s">
        <v>35</v>
      </c>
      <c r="F74" s="142" t="s">
        <v>20</v>
      </c>
      <c r="G74" s="142">
        <v>8.0</v>
      </c>
      <c r="H74" s="142" t="s">
        <v>92</v>
      </c>
      <c r="I74" s="151"/>
      <c r="J74" s="495"/>
      <c r="K74" s="142">
        <v>8.0</v>
      </c>
      <c r="L74" s="157"/>
      <c r="M74" s="142">
        <v>8.0</v>
      </c>
      <c r="N74" s="156">
        <v>0.0</v>
      </c>
      <c r="O74" s="208" t="s">
        <v>1404</v>
      </c>
      <c r="P74" s="208" t="s">
        <v>70</v>
      </c>
    </row>
    <row r="75" ht="39.75" customHeight="1">
      <c r="A75" s="157"/>
      <c r="B75" s="142" t="s">
        <v>16</v>
      </c>
      <c r="C75" s="150" t="s">
        <v>1441</v>
      </c>
      <c r="D75" s="380" t="s">
        <v>1448</v>
      </c>
      <c r="E75" s="142" t="s">
        <v>35</v>
      </c>
      <c r="F75" s="142" t="s">
        <v>20</v>
      </c>
      <c r="G75" s="142">
        <v>8.0</v>
      </c>
      <c r="H75" s="142" t="s">
        <v>92</v>
      </c>
      <c r="I75" s="501"/>
      <c r="J75" s="495"/>
      <c r="K75" s="142">
        <v>8.0</v>
      </c>
      <c r="L75" s="157"/>
      <c r="M75" s="144">
        <v>8.0</v>
      </c>
      <c r="N75" s="142">
        <v>0.0</v>
      </c>
      <c r="O75" s="142" t="s">
        <v>1423</v>
      </c>
      <c r="P75" s="142" t="s">
        <v>70</v>
      </c>
    </row>
    <row r="76" ht="30.75" customHeight="1">
      <c r="A76" s="214"/>
      <c r="B76" s="208" t="s">
        <v>16</v>
      </c>
      <c r="C76" s="150" t="s">
        <v>1443</v>
      </c>
      <c r="D76" s="500" t="s">
        <v>1449</v>
      </c>
      <c r="E76" s="208" t="s">
        <v>35</v>
      </c>
      <c r="F76" s="208" t="s">
        <v>20</v>
      </c>
      <c r="G76" s="208">
        <v>8.0</v>
      </c>
      <c r="H76" s="208" t="s">
        <v>92</v>
      </c>
      <c r="I76" s="211"/>
      <c r="J76" s="494"/>
      <c r="K76" s="208">
        <v>8.0</v>
      </c>
      <c r="L76" s="214"/>
      <c r="M76" s="207">
        <v>8.0</v>
      </c>
      <c r="N76" s="221">
        <v>0.0</v>
      </c>
      <c r="O76" s="208" t="s">
        <v>1404</v>
      </c>
      <c r="P76" s="208" t="s">
        <v>70</v>
      </c>
    </row>
    <row r="77" ht="30.75" customHeight="1">
      <c r="A77" s="214"/>
      <c r="B77" s="208" t="s">
        <v>16</v>
      </c>
      <c r="C77" s="147" t="s">
        <v>1405</v>
      </c>
      <c r="D77" s="493" t="s">
        <v>1145</v>
      </c>
      <c r="E77" s="207" t="s">
        <v>35</v>
      </c>
      <c r="F77" s="207" t="s">
        <v>19</v>
      </c>
      <c r="G77" s="207">
        <v>10.0</v>
      </c>
      <c r="H77" s="207" t="s">
        <v>92</v>
      </c>
      <c r="I77" s="211"/>
      <c r="J77" s="494"/>
      <c r="K77" s="207">
        <v>10.0</v>
      </c>
      <c r="L77" s="214"/>
      <c r="M77" s="207">
        <v>10.0</v>
      </c>
      <c r="N77" s="212">
        <v>0.0</v>
      </c>
      <c r="O77" s="207" t="s">
        <v>1418</v>
      </c>
      <c r="P77" s="208" t="s">
        <v>70</v>
      </c>
    </row>
    <row r="78" ht="30.75" customHeight="1">
      <c r="A78" s="214"/>
      <c r="B78" s="208" t="s">
        <v>16</v>
      </c>
      <c r="C78" s="150" t="s">
        <v>1376</v>
      </c>
      <c r="D78" s="216" t="s">
        <v>1450</v>
      </c>
      <c r="E78" s="142" t="s">
        <v>35</v>
      </c>
      <c r="F78" s="142" t="s">
        <v>20</v>
      </c>
      <c r="G78" s="142">
        <v>8.0</v>
      </c>
      <c r="H78" s="142" t="s">
        <v>92</v>
      </c>
      <c r="I78" s="211"/>
      <c r="J78" s="494"/>
      <c r="K78" s="208">
        <v>8.0</v>
      </c>
      <c r="L78" s="157"/>
      <c r="M78" s="142">
        <v>8.0</v>
      </c>
      <c r="N78" s="221">
        <v>0.0</v>
      </c>
      <c r="O78" s="208" t="s">
        <v>1382</v>
      </c>
      <c r="P78" s="208" t="s">
        <v>70</v>
      </c>
    </row>
    <row r="79" ht="30.75" customHeight="1">
      <c r="A79" s="214"/>
      <c r="B79" s="208" t="s">
        <v>16</v>
      </c>
      <c r="C79" s="150" t="s">
        <v>1376</v>
      </c>
      <c r="D79" s="216" t="s">
        <v>1451</v>
      </c>
      <c r="E79" s="142" t="s">
        <v>35</v>
      </c>
      <c r="F79" s="142" t="s">
        <v>23</v>
      </c>
      <c r="G79" s="142">
        <v>10.0</v>
      </c>
      <c r="H79" s="142" t="s">
        <v>92</v>
      </c>
      <c r="I79" s="211"/>
      <c r="J79" s="494"/>
      <c r="K79" s="208">
        <v>10.0</v>
      </c>
      <c r="L79" s="157"/>
      <c r="M79" s="142">
        <v>10.0</v>
      </c>
      <c r="N79" s="221">
        <v>0.0</v>
      </c>
      <c r="O79" s="208" t="s">
        <v>1382</v>
      </c>
      <c r="P79" s="208" t="s">
        <v>70</v>
      </c>
    </row>
    <row r="80" ht="30.75" customHeight="1">
      <c r="A80" s="214"/>
      <c r="B80" s="208" t="s">
        <v>16</v>
      </c>
      <c r="C80" s="150" t="s">
        <v>1376</v>
      </c>
      <c r="D80" s="216" t="s">
        <v>1452</v>
      </c>
      <c r="E80" s="142" t="s">
        <v>35</v>
      </c>
      <c r="F80" s="142" t="s">
        <v>20</v>
      </c>
      <c r="G80" s="142">
        <v>8.0</v>
      </c>
      <c r="H80" s="142" t="s">
        <v>92</v>
      </c>
      <c r="I80" s="211"/>
      <c r="J80" s="494"/>
      <c r="K80" s="208">
        <v>8.0</v>
      </c>
      <c r="L80" s="157"/>
      <c r="M80" s="142">
        <v>8.0</v>
      </c>
      <c r="N80" s="221">
        <v>0.0</v>
      </c>
      <c r="O80" s="208" t="s">
        <v>1404</v>
      </c>
      <c r="P80" s="208" t="s">
        <v>70</v>
      </c>
    </row>
    <row r="81" ht="30.75" customHeight="1">
      <c r="A81" s="157"/>
      <c r="B81" s="142" t="s">
        <v>16</v>
      </c>
      <c r="C81" s="147" t="s">
        <v>1435</v>
      </c>
      <c r="D81" s="147" t="s">
        <v>1453</v>
      </c>
      <c r="E81" s="140" t="s">
        <v>35</v>
      </c>
      <c r="F81" s="141" t="s">
        <v>19</v>
      </c>
      <c r="G81" s="141">
        <v>8.0</v>
      </c>
      <c r="H81" s="141" t="s">
        <v>92</v>
      </c>
      <c r="I81" s="151"/>
      <c r="J81" s="495"/>
      <c r="K81" s="141">
        <v>8.0</v>
      </c>
      <c r="L81" s="164"/>
      <c r="M81" s="502">
        <v>8.0</v>
      </c>
      <c r="N81" s="140">
        <v>0.0</v>
      </c>
      <c r="O81" s="141" t="s">
        <v>1418</v>
      </c>
      <c r="P81" s="142" t="s">
        <v>70</v>
      </c>
    </row>
    <row r="82" ht="30.75" customHeight="1">
      <c r="A82" s="214"/>
      <c r="B82" s="208" t="s">
        <v>17</v>
      </c>
      <c r="C82" s="150" t="s">
        <v>1437</v>
      </c>
      <c r="D82" s="500" t="s">
        <v>1412</v>
      </c>
      <c r="E82" s="208" t="s">
        <v>35</v>
      </c>
      <c r="F82" s="208" t="s">
        <v>20</v>
      </c>
      <c r="G82" s="208">
        <v>8.0</v>
      </c>
      <c r="H82" s="208" t="s">
        <v>92</v>
      </c>
      <c r="I82" s="211"/>
      <c r="J82" s="494"/>
      <c r="K82" s="208">
        <v>8.0</v>
      </c>
      <c r="L82" s="214"/>
      <c r="M82" s="208">
        <v>8.0</v>
      </c>
      <c r="N82" s="221">
        <v>0.0</v>
      </c>
      <c r="O82" s="208" t="s">
        <v>1382</v>
      </c>
      <c r="P82" s="208" t="s">
        <v>70</v>
      </c>
    </row>
    <row r="83" ht="30.75" customHeight="1">
      <c r="A83" s="214"/>
      <c r="B83" s="207" t="s">
        <v>17</v>
      </c>
      <c r="C83" s="147" t="s">
        <v>1454</v>
      </c>
      <c r="D83" s="493" t="s">
        <v>1455</v>
      </c>
      <c r="E83" s="207" t="s">
        <v>34</v>
      </c>
      <c r="F83" s="207" t="s">
        <v>22</v>
      </c>
      <c r="G83" s="207">
        <v>30.0</v>
      </c>
      <c r="H83" s="207" t="s">
        <v>76</v>
      </c>
      <c r="I83" s="219">
        <v>45870.0</v>
      </c>
      <c r="J83" s="507">
        <v>45919.0</v>
      </c>
      <c r="K83" s="207">
        <v>65.0</v>
      </c>
      <c r="L83" s="214"/>
      <c r="M83" s="208">
        <v>65.0</v>
      </c>
      <c r="N83" s="221">
        <v>0.0</v>
      </c>
      <c r="O83" s="208" t="s">
        <v>1456</v>
      </c>
      <c r="P83" s="208" t="s">
        <v>70</v>
      </c>
    </row>
    <row r="84" ht="30.75" customHeight="1">
      <c r="A84" s="214"/>
      <c r="B84" s="208" t="s">
        <v>17</v>
      </c>
      <c r="C84" s="147" t="s">
        <v>1457</v>
      </c>
      <c r="D84" s="493" t="s">
        <v>1458</v>
      </c>
      <c r="E84" s="207" t="s">
        <v>35</v>
      </c>
      <c r="F84" s="207" t="s">
        <v>21</v>
      </c>
      <c r="G84" s="207">
        <v>19.0</v>
      </c>
      <c r="H84" s="207" t="s">
        <v>92</v>
      </c>
      <c r="I84" s="211"/>
      <c r="J84" s="494"/>
      <c r="K84" s="207">
        <v>39.0</v>
      </c>
      <c r="L84" s="214"/>
      <c r="M84" s="208">
        <v>39.0</v>
      </c>
      <c r="N84" s="221">
        <v>0.0</v>
      </c>
      <c r="O84" s="214"/>
      <c r="P84" s="208" t="s">
        <v>70</v>
      </c>
    </row>
    <row r="85" ht="30.75" customHeight="1">
      <c r="A85" s="214"/>
      <c r="B85" s="208" t="s">
        <v>17</v>
      </c>
      <c r="C85" s="150" t="s">
        <v>1459</v>
      </c>
      <c r="D85" s="500" t="s">
        <v>1460</v>
      </c>
      <c r="E85" s="208" t="s">
        <v>35</v>
      </c>
      <c r="F85" s="208" t="s">
        <v>20</v>
      </c>
      <c r="G85" s="208">
        <v>15.0</v>
      </c>
      <c r="H85" s="208" t="s">
        <v>92</v>
      </c>
      <c r="I85" s="211"/>
      <c r="J85" s="494"/>
      <c r="K85" s="208">
        <v>25.0</v>
      </c>
      <c r="L85" s="214"/>
      <c r="M85" s="207">
        <v>25.0</v>
      </c>
      <c r="N85" s="221">
        <v>0.0</v>
      </c>
      <c r="O85" s="208" t="s">
        <v>1382</v>
      </c>
      <c r="P85" s="208" t="s">
        <v>70</v>
      </c>
    </row>
    <row r="86" ht="30.75" customHeight="1">
      <c r="A86" s="214"/>
      <c r="B86" s="208" t="s">
        <v>17</v>
      </c>
      <c r="C86" s="147" t="s">
        <v>1461</v>
      </c>
      <c r="D86" s="493" t="s">
        <v>1462</v>
      </c>
      <c r="E86" s="207" t="s">
        <v>35</v>
      </c>
      <c r="F86" s="207" t="s">
        <v>20</v>
      </c>
      <c r="G86" s="207">
        <v>10.0</v>
      </c>
      <c r="H86" s="207" t="s">
        <v>92</v>
      </c>
      <c r="I86" s="211"/>
      <c r="J86" s="494"/>
      <c r="K86" s="207">
        <v>10.0</v>
      </c>
      <c r="L86" s="214"/>
      <c r="M86" s="208">
        <v>10.0</v>
      </c>
      <c r="N86" s="221">
        <v>0.0</v>
      </c>
      <c r="O86" s="207" t="s">
        <v>1431</v>
      </c>
      <c r="P86" s="208" t="s">
        <v>70</v>
      </c>
    </row>
    <row r="87" ht="30.75" customHeight="1">
      <c r="A87" s="214"/>
      <c r="B87" s="208" t="s">
        <v>17</v>
      </c>
      <c r="C87" s="147" t="s">
        <v>1463</v>
      </c>
      <c r="D87" s="493" t="s">
        <v>1464</v>
      </c>
      <c r="E87" s="212" t="s">
        <v>35</v>
      </c>
      <c r="F87" s="207" t="s">
        <v>21</v>
      </c>
      <c r="G87" s="207">
        <v>15.0</v>
      </c>
      <c r="H87" s="207" t="s">
        <v>92</v>
      </c>
      <c r="I87" s="211"/>
      <c r="J87" s="494"/>
      <c r="K87" s="207">
        <v>25.0</v>
      </c>
      <c r="L87" s="497"/>
      <c r="M87" s="208">
        <v>25.0</v>
      </c>
      <c r="N87" s="221">
        <v>0.0</v>
      </c>
      <c r="O87" s="207" t="s">
        <v>1370</v>
      </c>
      <c r="P87" s="208" t="s">
        <v>70</v>
      </c>
    </row>
    <row r="88" ht="30.75" customHeight="1">
      <c r="A88" s="214"/>
      <c r="B88" s="207" t="s">
        <v>17</v>
      </c>
      <c r="C88" s="147" t="s">
        <v>1465</v>
      </c>
      <c r="D88" s="493" t="s">
        <v>1466</v>
      </c>
      <c r="E88" s="207" t="s">
        <v>35</v>
      </c>
      <c r="F88" s="207" t="s">
        <v>21</v>
      </c>
      <c r="G88" s="207">
        <v>19.0</v>
      </c>
      <c r="H88" s="207" t="s">
        <v>92</v>
      </c>
      <c r="I88" s="211"/>
      <c r="J88" s="494"/>
      <c r="K88" s="207">
        <v>39.0</v>
      </c>
      <c r="L88" s="214"/>
      <c r="M88" s="208">
        <v>39.0</v>
      </c>
      <c r="N88" s="221">
        <v>0.0</v>
      </c>
      <c r="O88" s="207" t="s">
        <v>1370</v>
      </c>
      <c r="P88" s="208" t="s">
        <v>70</v>
      </c>
    </row>
    <row r="89" ht="30.75" customHeight="1">
      <c r="A89" s="157"/>
      <c r="B89" s="142" t="s">
        <v>16</v>
      </c>
      <c r="C89" s="147" t="s">
        <v>1439</v>
      </c>
      <c r="D89" s="147" t="s">
        <v>1467</v>
      </c>
      <c r="E89" s="141" t="s">
        <v>35</v>
      </c>
      <c r="F89" s="141" t="s">
        <v>19</v>
      </c>
      <c r="G89" s="141">
        <v>10.0</v>
      </c>
      <c r="H89" s="141" t="s">
        <v>92</v>
      </c>
      <c r="I89" s="151"/>
      <c r="J89" s="495"/>
      <c r="K89" s="141">
        <v>10.0</v>
      </c>
      <c r="L89" s="157"/>
      <c r="M89" s="502">
        <v>10.0</v>
      </c>
      <c r="N89" s="140">
        <v>0.0</v>
      </c>
      <c r="O89" s="141" t="s">
        <v>1418</v>
      </c>
      <c r="P89" s="142" t="s">
        <v>70</v>
      </c>
    </row>
    <row r="90" ht="39.75" customHeight="1">
      <c r="A90" s="214"/>
      <c r="B90" s="208" t="s">
        <v>16</v>
      </c>
      <c r="C90" s="150" t="s">
        <v>1368</v>
      </c>
      <c r="D90" s="493" t="s">
        <v>1468</v>
      </c>
      <c r="E90" s="208" t="s">
        <v>35</v>
      </c>
      <c r="F90" s="208" t="s">
        <v>20</v>
      </c>
      <c r="G90" s="208">
        <v>10.0</v>
      </c>
      <c r="H90" s="208" t="s">
        <v>92</v>
      </c>
      <c r="I90" s="211"/>
      <c r="J90" s="494"/>
      <c r="K90" s="208">
        <v>10.0</v>
      </c>
      <c r="L90" s="214"/>
      <c r="M90" s="207">
        <v>10.0</v>
      </c>
      <c r="N90" s="208">
        <v>0.0</v>
      </c>
      <c r="O90" s="208" t="s">
        <v>1469</v>
      </c>
      <c r="P90" s="208" t="s">
        <v>70</v>
      </c>
    </row>
    <row r="91" ht="30.75" customHeight="1">
      <c r="A91" s="214"/>
      <c r="B91" s="207" t="s">
        <v>17</v>
      </c>
      <c r="C91" s="147" t="s">
        <v>1229</v>
      </c>
      <c r="D91" s="493" t="s">
        <v>1470</v>
      </c>
      <c r="E91" s="207" t="s">
        <v>34</v>
      </c>
      <c r="F91" s="207" t="s">
        <v>23</v>
      </c>
      <c r="G91" s="207">
        <v>20.0</v>
      </c>
      <c r="H91" s="207" t="s">
        <v>76</v>
      </c>
      <c r="I91" s="219">
        <v>45875.0</v>
      </c>
      <c r="J91" s="507">
        <v>45889.0</v>
      </c>
      <c r="K91" s="207">
        <v>40.0</v>
      </c>
      <c r="L91" s="214"/>
      <c r="M91" s="208">
        <v>40.0</v>
      </c>
      <c r="N91" s="221">
        <v>0.0</v>
      </c>
      <c r="O91" s="214"/>
      <c r="P91" s="208" t="s">
        <v>70</v>
      </c>
    </row>
    <row r="92" ht="30.75" customHeight="1">
      <c r="A92" s="214"/>
      <c r="B92" s="207" t="s">
        <v>17</v>
      </c>
      <c r="C92" s="147" t="s">
        <v>1471</v>
      </c>
      <c r="D92" s="493" t="s">
        <v>1472</v>
      </c>
      <c r="E92" s="207" t="s">
        <v>35</v>
      </c>
      <c r="F92" s="207" t="s">
        <v>21</v>
      </c>
      <c r="G92" s="207">
        <v>19.0</v>
      </c>
      <c r="H92" s="207" t="s">
        <v>92</v>
      </c>
      <c r="I92" s="211"/>
      <c r="J92" s="494"/>
      <c r="K92" s="207">
        <v>39.0</v>
      </c>
      <c r="L92" s="214"/>
      <c r="M92" s="208">
        <v>39.0</v>
      </c>
      <c r="N92" s="221">
        <v>0.0</v>
      </c>
      <c r="O92" s="208" t="s">
        <v>1367</v>
      </c>
      <c r="P92" s="208" t="s">
        <v>70</v>
      </c>
    </row>
    <row r="93" ht="30.75" customHeight="1">
      <c r="A93" s="214"/>
      <c r="B93" s="207" t="s">
        <v>17</v>
      </c>
      <c r="C93" s="147" t="s">
        <v>1411</v>
      </c>
      <c r="D93" s="493" t="s">
        <v>1473</v>
      </c>
      <c r="E93" s="207" t="s">
        <v>35</v>
      </c>
      <c r="F93" s="207" t="s">
        <v>19</v>
      </c>
      <c r="G93" s="207">
        <v>8.0</v>
      </c>
      <c r="H93" s="207" t="s">
        <v>92</v>
      </c>
      <c r="I93" s="211"/>
      <c r="J93" s="494"/>
      <c r="K93" s="207">
        <v>8.0</v>
      </c>
      <c r="L93" s="214"/>
      <c r="M93" s="208">
        <v>8.0</v>
      </c>
      <c r="N93" s="221">
        <v>0.0</v>
      </c>
      <c r="O93" s="207" t="s">
        <v>1469</v>
      </c>
      <c r="P93" s="208" t="s">
        <v>70</v>
      </c>
    </row>
    <row r="94" ht="30.75" customHeight="1">
      <c r="A94" s="214"/>
      <c r="B94" s="207" t="s">
        <v>17</v>
      </c>
      <c r="C94" s="147" t="s">
        <v>1463</v>
      </c>
      <c r="D94" s="493" t="s">
        <v>1462</v>
      </c>
      <c r="E94" s="207" t="s">
        <v>35</v>
      </c>
      <c r="F94" s="207" t="s">
        <v>20</v>
      </c>
      <c r="G94" s="207">
        <v>10.0</v>
      </c>
      <c r="H94" s="207" t="s">
        <v>92</v>
      </c>
      <c r="I94" s="211"/>
      <c r="J94" s="494"/>
      <c r="K94" s="207">
        <v>10.0</v>
      </c>
      <c r="L94" s="214"/>
      <c r="M94" s="208">
        <v>10.0</v>
      </c>
      <c r="N94" s="221">
        <v>0.0</v>
      </c>
      <c r="O94" s="207" t="s">
        <v>1431</v>
      </c>
      <c r="P94" s="208" t="s">
        <v>70</v>
      </c>
    </row>
    <row r="95" ht="30.75" customHeight="1">
      <c r="A95" s="157"/>
      <c r="B95" s="142" t="s">
        <v>16</v>
      </c>
      <c r="C95" s="150" t="s">
        <v>1357</v>
      </c>
      <c r="D95" s="150" t="s">
        <v>1474</v>
      </c>
      <c r="E95" s="142" t="s">
        <v>34</v>
      </c>
      <c r="F95" s="142" t="s">
        <v>22</v>
      </c>
      <c r="G95" s="142">
        <v>20.0</v>
      </c>
      <c r="H95" s="142" t="s">
        <v>76</v>
      </c>
      <c r="I95" s="153">
        <v>45887.0</v>
      </c>
      <c r="J95" s="508">
        <v>45918.0</v>
      </c>
      <c r="K95" s="142">
        <v>40.0</v>
      </c>
      <c r="L95" s="157"/>
      <c r="M95" s="502">
        <v>40.0</v>
      </c>
      <c r="N95" s="142">
        <v>0.0</v>
      </c>
      <c r="O95" s="142" t="s">
        <v>1475</v>
      </c>
      <c r="P95" s="142" t="s">
        <v>70</v>
      </c>
    </row>
    <row r="96" ht="30.75" customHeight="1">
      <c r="A96" s="157"/>
      <c r="B96" s="141" t="s">
        <v>17</v>
      </c>
      <c r="C96" s="147" t="s">
        <v>1476</v>
      </c>
      <c r="D96" s="147" t="s">
        <v>1477</v>
      </c>
      <c r="E96" s="141" t="s">
        <v>35</v>
      </c>
      <c r="F96" s="141" t="s">
        <v>21</v>
      </c>
      <c r="G96" s="141">
        <v>10.0</v>
      </c>
      <c r="H96" s="141" t="s">
        <v>92</v>
      </c>
      <c r="I96" s="151"/>
      <c r="J96" s="495"/>
      <c r="K96" s="141">
        <v>10.0</v>
      </c>
      <c r="L96" s="157"/>
      <c r="M96" s="142">
        <v>10.0</v>
      </c>
      <c r="N96" s="142">
        <v>0.0</v>
      </c>
      <c r="O96" s="142" t="s">
        <v>1478</v>
      </c>
      <c r="P96" s="142" t="s">
        <v>70</v>
      </c>
    </row>
    <row r="97" ht="30.75" customHeight="1">
      <c r="A97" s="214"/>
      <c r="B97" s="208" t="s">
        <v>17</v>
      </c>
      <c r="C97" s="150" t="s">
        <v>1479</v>
      </c>
      <c r="D97" s="500" t="s">
        <v>1460</v>
      </c>
      <c r="E97" s="208" t="s">
        <v>35</v>
      </c>
      <c r="F97" s="208" t="s">
        <v>20</v>
      </c>
      <c r="G97" s="208">
        <v>15.0</v>
      </c>
      <c r="H97" s="208" t="s">
        <v>92</v>
      </c>
      <c r="I97" s="211"/>
      <c r="J97" s="498" t="s">
        <v>1480</v>
      </c>
      <c r="K97" s="208">
        <v>25.0</v>
      </c>
      <c r="L97" s="214"/>
      <c r="M97" s="207">
        <v>25.0</v>
      </c>
      <c r="N97" s="221">
        <v>0.0</v>
      </c>
      <c r="O97" s="208" t="s">
        <v>1382</v>
      </c>
      <c r="P97" s="208" t="s">
        <v>70</v>
      </c>
    </row>
    <row r="98" ht="30.75" customHeight="1">
      <c r="A98" s="157"/>
      <c r="B98" s="142" t="s">
        <v>15</v>
      </c>
      <c r="C98" s="380" t="s">
        <v>1481</v>
      </c>
      <c r="D98" s="380" t="s">
        <v>1482</v>
      </c>
      <c r="E98" s="142" t="s">
        <v>35</v>
      </c>
      <c r="F98" s="142" t="s">
        <v>23</v>
      </c>
      <c r="G98" s="142">
        <v>19.0</v>
      </c>
      <c r="H98" s="142" t="s">
        <v>92</v>
      </c>
      <c r="I98" s="151"/>
      <c r="J98" s="495"/>
      <c r="K98" s="142">
        <v>39.0</v>
      </c>
      <c r="L98" s="157"/>
      <c r="M98" s="142">
        <v>39.0</v>
      </c>
      <c r="N98" s="156">
        <v>0.0</v>
      </c>
      <c r="O98" s="142" t="s">
        <v>1469</v>
      </c>
      <c r="P98" s="142" t="s">
        <v>70</v>
      </c>
    </row>
    <row r="99" ht="30.75" customHeight="1">
      <c r="A99" s="157"/>
      <c r="B99" s="142" t="s">
        <v>16</v>
      </c>
      <c r="C99" s="380" t="s">
        <v>1483</v>
      </c>
      <c r="D99" s="380" t="s">
        <v>1484</v>
      </c>
      <c r="E99" s="142" t="s">
        <v>35</v>
      </c>
      <c r="F99" s="142" t="s">
        <v>19</v>
      </c>
      <c r="G99" s="142">
        <v>19.0</v>
      </c>
      <c r="H99" s="142" t="s">
        <v>92</v>
      </c>
      <c r="I99" s="151"/>
      <c r="J99" s="495"/>
      <c r="K99" s="142">
        <v>39.0</v>
      </c>
      <c r="L99" s="157"/>
      <c r="M99" s="142">
        <v>37.0</v>
      </c>
      <c r="N99" s="156">
        <v>0.0</v>
      </c>
      <c r="O99" s="142" t="s">
        <v>1404</v>
      </c>
      <c r="P99" s="142" t="s">
        <v>70</v>
      </c>
    </row>
    <row r="100" ht="39.75" customHeight="1">
      <c r="A100" s="214"/>
      <c r="B100" s="208" t="s">
        <v>16</v>
      </c>
      <c r="C100" s="147" t="s">
        <v>1443</v>
      </c>
      <c r="D100" s="493" t="s">
        <v>1485</v>
      </c>
      <c r="E100" s="207" t="s">
        <v>35</v>
      </c>
      <c r="F100" s="207" t="s">
        <v>19</v>
      </c>
      <c r="G100" s="207">
        <v>15.0</v>
      </c>
      <c r="H100" s="207" t="s">
        <v>92</v>
      </c>
      <c r="I100" s="211"/>
      <c r="J100" s="494"/>
      <c r="K100" s="207">
        <v>25.0</v>
      </c>
      <c r="L100" s="214"/>
      <c r="M100" s="207">
        <v>25.0</v>
      </c>
      <c r="N100" s="207">
        <v>0.0</v>
      </c>
      <c r="O100" s="207" t="s">
        <v>1478</v>
      </c>
      <c r="P100" s="208" t="s">
        <v>70</v>
      </c>
    </row>
    <row r="101" ht="30.75" customHeight="1">
      <c r="A101" s="214"/>
      <c r="B101" s="208" t="s">
        <v>16</v>
      </c>
      <c r="C101" s="147" t="s">
        <v>1419</v>
      </c>
      <c r="D101" s="493" t="s">
        <v>1486</v>
      </c>
      <c r="E101" s="207" t="s">
        <v>35</v>
      </c>
      <c r="F101" s="207" t="s">
        <v>20</v>
      </c>
      <c r="G101" s="207">
        <v>10.0</v>
      </c>
      <c r="H101" s="207" t="s">
        <v>92</v>
      </c>
      <c r="I101" s="211"/>
      <c r="J101" s="494"/>
      <c r="K101" s="207">
        <v>10.0</v>
      </c>
      <c r="L101" s="214"/>
      <c r="M101" s="207">
        <v>10.0</v>
      </c>
      <c r="N101" s="212">
        <v>0.0</v>
      </c>
      <c r="O101" s="207" t="s">
        <v>1469</v>
      </c>
      <c r="P101" s="208" t="s">
        <v>70</v>
      </c>
    </row>
    <row r="102" ht="30.75" customHeight="1">
      <c r="A102" s="214"/>
      <c r="B102" s="208" t="s">
        <v>16</v>
      </c>
      <c r="C102" s="147" t="s">
        <v>1487</v>
      </c>
      <c r="D102" s="493" t="s">
        <v>1488</v>
      </c>
      <c r="E102" s="207" t="s">
        <v>35</v>
      </c>
      <c r="F102" s="207" t="s">
        <v>19</v>
      </c>
      <c r="G102" s="207">
        <v>19.0</v>
      </c>
      <c r="H102" s="207" t="s">
        <v>92</v>
      </c>
      <c r="I102" s="211"/>
      <c r="J102" s="494"/>
      <c r="K102" s="207">
        <v>39.0</v>
      </c>
      <c r="L102" s="214"/>
      <c r="M102" s="207">
        <v>39.0</v>
      </c>
      <c r="N102" s="212">
        <v>0.0</v>
      </c>
      <c r="O102" s="207" t="s">
        <v>1370</v>
      </c>
      <c r="P102" s="208" t="s">
        <v>70</v>
      </c>
    </row>
    <row r="103" ht="30.75" customHeight="1">
      <c r="A103" s="214"/>
      <c r="B103" s="208" t="s">
        <v>16</v>
      </c>
      <c r="C103" s="147" t="s">
        <v>1487</v>
      </c>
      <c r="D103" s="493" t="s">
        <v>1372</v>
      </c>
      <c r="E103" s="207" t="s">
        <v>35</v>
      </c>
      <c r="F103" s="207" t="s">
        <v>21</v>
      </c>
      <c r="G103" s="207">
        <v>10.0</v>
      </c>
      <c r="H103" s="207" t="s">
        <v>92</v>
      </c>
      <c r="I103" s="211"/>
      <c r="J103" s="494"/>
      <c r="K103" s="207">
        <v>10.0</v>
      </c>
      <c r="L103" s="214"/>
      <c r="M103" s="207">
        <v>10.0</v>
      </c>
      <c r="N103" s="212">
        <v>0.0</v>
      </c>
      <c r="O103" s="207" t="s">
        <v>1370</v>
      </c>
      <c r="P103" s="208" t="s">
        <v>70</v>
      </c>
    </row>
    <row r="104" ht="30.75" customHeight="1">
      <c r="A104" s="214"/>
      <c r="B104" s="208" t="s">
        <v>16</v>
      </c>
      <c r="C104" s="147" t="s">
        <v>1487</v>
      </c>
      <c r="D104" s="162" t="s">
        <v>1489</v>
      </c>
      <c r="E104" s="207" t="s">
        <v>35</v>
      </c>
      <c r="F104" s="207" t="s">
        <v>23</v>
      </c>
      <c r="G104" s="207">
        <v>19.0</v>
      </c>
      <c r="H104" s="207" t="s">
        <v>92</v>
      </c>
      <c r="I104" s="211"/>
      <c r="J104" s="494"/>
      <c r="K104" s="207">
        <v>39.0</v>
      </c>
      <c r="L104" s="214"/>
      <c r="M104" s="207">
        <v>39.0</v>
      </c>
      <c r="N104" s="212">
        <v>0.0</v>
      </c>
      <c r="O104" s="207" t="s">
        <v>1469</v>
      </c>
      <c r="P104" s="208" t="s">
        <v>70</v>
      </c>
    </row>
    <row r="105" ht="39.75" customHeight="1">
      <c r="A105" s="214"/>
      <c r="B105" s="208" t="s">
        <v>16</v>
      </c>
      <c r="C105" s="150" t="s">
        <v>1490</v>
      </c>
      <c r="D105" s="216" t="s">
        <v>1491</v>
      </c>
      <c r="E105" s="142" t="s">
        <v>34</v>
      </c>
      <c r="F105" s="142" t="s">
        <v>22</v>
      </c>
      <c r="G105" s="142">
        <v>20.0</v>
      </c>
      <c r="H105" s="142" t="s">
        <v>76</v>
      </c>
      <c r="I105" s="505">
        <v>45870.0</v>
      </c>
      <c r="J105" s="504">
        <v>45884.0</v>
      </c>
      <c r="K105" s="208">
        <v>40.0</v>
      </c>
      <c r="L105" s="164"/>
      <c r="M105" s="142">
        <v>40.0</v>
      </c>
      <c r="N105" s="208">
        <v>0.0</v>
      </c>
      <c r="O105" s="208" t="s">
        <v>1456</v>
      </c>
      <c r="P105" s="208" t="s">
        <v>70</v>
      </c>
    </row>
    <row r="106" ht="39.75" customHeight="1">
      <c r="A106" s="214"/>
      <c r="B106" s="208" t="s">
        <v>16</v>
      </c>
      <c r="C106" s="150" t="s">
        <v>1490</v>
      </c>
      <c r="D106" s="216" t="s">
        <v>1492</v>
      </c>
      <c r="E106" s="142" t="s">
        <v>35</v>
      </c>
      <c r="F106" s="142" t="s">
        <v>20</v>
      </c>
      <c r="G106" s="142">
        <v>8.0</v>
      </c>
      <c r="H106" s="142" t="s">
        <v>92</v>
      </c>
      <c r="I106" s="211"/>
      <c r="J106" s="494"/>
      <c r="K106" s="208">
        <v>8.0</v>
      </c>
      <c r="L106" s="164"/>
      <c r="M106" s="142">
        <v>8.0</v>
      </c>
      <c r="N106" s="208">
        <v>0.0</v>
      </c>
      <c r="O106" s="208" t="s">
        <v>1478</v>
      </c>
      <c r="P106" s="208" t="s">
        <v>70</v>
      </c>
    </row>
    <row r="107" ht="39.75" customHeight="1">
      <c r="A107" s="214"/>
      <c r="B107" s="208" t="s">
        <v>16</v>
      </c>
      <c r="C107" s="150" t="s">
        <v>1411</v>
      </c>
      <c r="D107" s="216" t="s">
        <v>1493</v>
      </c>
      <c r="E107" s="142" t="s">
        <v>34</v>
      </c>
      <c r="F107" s="142" t="s">
        <v>23</v>
      </c>
      <c r="G107" s="142">
        <v>15.0</v>
      </c>
      <c r="H107" s="142" t="s">
        <v>76</v>
      </c>
      <c r="I107" s="505">
        <v>45852.0</v>
      </c>
      <c r="J107" s="504">
        <v>45866.0</v>
      </c>
      <c r="K107" s="208">
        <v>40.0</v>
      </c>
      <c r="L107" s="164"/>
      <c r="M107" s="142">
        <v>40.0</v>
      </c>
      <c r="N107" s="208">
        <v>0.0</v>
      </c>
      <c r="O107" s="208" t="s">
        <v>1382</v>
      </c>
      <c r="P107" s="208" t="s">
        <v>70</v>
      </c>
    </row>
    <row r="108" ht="30.75" customHeight="1">
      <c r="A108" s="157"/>
      <c r="B108" s="142" t="s">
        <v>16</v>
      </c>
      <c r="C108" s="150" t="s">
        <v>1494</v>
      </c>
      <c r="D108" s="150" t="s">
        <v>1474</v>
      </c>
      <c r="E108" s="156" t="s">
        <v>34</v>
      </c>
      <c r="F108" s="142" t="s">
        <v>22</v>
      </c>
      <c r="G108" s="142">
        <v>20.0</v>
      </c>
      <c r="H108" s="142" t="s">
        <v>76</v>
      </c>
      <c r="I108" s="153">
        <v>45887.0</v>
      </c>
      <c r="J108" s="508">
        <v>45918.0</v>
      </c>
      <c r="K108" s="142">
        <v>40.0</v>
      </c>
      <c r="L108" s="164"/>
      <c r="M108" s="502">
        <v>40.0</v>
      </c>
      <c r="N108" s="156">
        <v>0.0</v>
      </c>
      <c r="O108" s="142" t="s">
        <v>1475</v>
      </c>
      <c r="P108" s="142" t="s">
        <v>70</v>
      </c>
    </row>
    <row r="109" ht="30.75" customHeight="1">
      <c r="A109" s="157"/>
      <c r="B109" s="142" t="s">
        <v>16</v>
      </c>
      <c r="C109" s="147" t="s">
        <v>1357</v>
      </c>
      <c r="D109" s="147" t="s">
        <v>1467</v>
      </c>
      <c r="E109" s="141" t="s">
        <v>35</v>
      </c>
      <c r="F109" s="141" t="s">
        <v>19</v>
      </c>
      <c r="G109" s="141">
        <v>10.0</v>
      </c>
      <c r="H109" s="141" t="s">
        <v>92</v>
      </c>
      <c r="I109" s="151"/>
      <c r="J109" s="495"/>
      <c r="K109" s="141">
        <v>10.0</v>
      </c>
      <c r="L109" s="157"/>
      <c r="M109" s="502">
        <v>10.0</v>
      </c>
      <c r="N109" s="140">
        <v>0.0</v>
      </c>
      <c r="O109" s="141" t="s">
        <v>1418</v>
      </c>
      <c r="P109" s="142" t="s">
        <v>70</v>
      </c>
    </row>
    <row r="110" ht="30.75" customHeight="1">
      <c r="A110" s="214"/>
      <c r="B110" s="208" t="s">
        <v>17</v>
      </c>
      <c r="C110" s="150" t="s">
        <v>1495</v>
      </c>
      <c r="D110" s="493" t="s">
        <v>1496</v>
      </c>
      <c r="E110" s="208" t="s">
        <v>35</v>
      </c>
      <c r="F110" s="208" t="s">
        <v>23</v>
      </c>
      <c r="G110" s="208">
        <v>19.0</v>
      </c>
      <c r="H110" s="208" t="s">
        <v>92</v>
      </c>
      <c r="I110" s="211"/>
      <c r="J110" s="494"/>
      <c r="K110" s="208">
        <v>39.0</v>
      </c>
      <c r="L110" s="214"/>
      <c r="M110" s="207">
        <v>39.0</v>
      </c>
      <c r="N110" s="221">
        <v>0.0</v>
      </c>
      <c r="O110" s="208" t="s">
        <v>1431</v>
      </c>
      <c r="P110" s="208" t="s">
        <v>70</v>
      </c>
    </row>
    <row r="111" ht="30.75" customHeight="1">
      <c r="A111" s="214"/>
      <c r="B111" s="208" t="s">
        <v>17</v>
      </c>
      <c r="C111" s="150" t="s">
        <v>1497</v>
      </c>
      <c r="D111" s="493" t="s">
        <v>1498</v>
      </c>
      <c r="E111" s="208" t="s">
        <v>34</v>
      </c>
      <c r="F111" s="208" t="s">
        <v>22</v>
      </c>
      <c r="G111" s="208">
        <v>20.0</v>
      </c>
      <c r="H111" s="208" t="s">
        <v>76</v>
      </c>
      <c r="I111" s="209">
        <v>45839.0</v>
      </c>
      <c r="J111" s="498">
        <v>45853.0</v>
      </c>
      <c r="K111" s="208">
        <v>40.0</v>
      </c>
      <c r="L111" s="214"/>
      <c r="M111" s="207">
        <v>40.0</v>
      </c>
      <c r="N111" s="221">
        <v>0.0</v>
      </c>
      <c r="O111" s="208" t="s">
        <v>1367</v>
      </c>
      <c r="P111" s="208" t="s">
        <v>70</v>
      </c>
    </row>
    <row r="112" ht="30.75" customHeight="1">
      <c r="A112" s="214"/>
      <c r="B112" s="208" t="s">
        <v>17</v>
      </c>
      <c r="C112" s="147" t="s">
        <v>1499</v>
      </c>
      <c r="D112" s="493" t="s">
        <v>1500</v>
      </c>
      <c r="E112" s="207" t="s">
        <v>35</v>
      </c>
      <c r="F112" s="207" t="s">
        <v>23</v>
      </c>
      <c r="G112" s="207">
        <v>19.0</v>
      </c>
      <c r="H112" s="207" t="s">
        <v>92</v>
      </c>
      <c r="I112" s="211"/>
      <c r="J112" s="494"/>
      <c r="K112" s="207">
        <v>39.0</v>
      </c>
      <c r="L112" s="214"/>
      <c r="M112" s="208">
        <v>39.0</v>
      </c>
      <c r="N112" s="221">
        <v>0.0</v>
      </c>
      <c r="O112" s="207" t="s">
        <v>1469</v>
      </c>
      <c r="P112" s="208" t="s">
        <v>70</v>
      </c>
    </row>
    <row r="113" ht="30.75" customHeight="1">
      <c r="A113" s="214"/>
      <c r="B113" s="208" t="s">
        <v>17</v>
      </c>
      <c r="C113" s="147" t="s">
        <v>1501</v>
      </c>
      <c r="D113" s="493" t="s">
        <v>1502</v>
      </c>
      <c r="E113" s="207" t="s">
        <v>35</v>
      </c>
      <c r="F113" s="207" t="s">
        <v>20</v>
      </c>
      <c r="G113" s="207">
        <v>11.0</v>
      </c>
      <c r="H113" s="207" t="s">
        <v>92</v>
      </c>
      <c r="I113" s="211"/>
      <c r="J113" s="494"/>
      <c r="K113" s="207">
        <v>13.0</v>
      </c>
      <c r="L113" s="214"/>
      <c r="M113" s="208">
        <v>13.0</v>
      </c>
      <c r="N113" s="221">
        <v>0.0</v>
      </c>
      <c r="O113" s="207" t="s">
        <v>1478</v>
      </c>
      <c r="P113" s="208" t="s">
        <v>70</v>
      </c>
    </row>
    <row r="114" ht="30.75" customHeight="1">
      <c r="A114" s="214"/>
      <c r="B114" s="208" t="s">
        <v>17</v>
      </c>
      <c r="C114" s="150" t="s">
        <v>1503</v>
      </c>
      <c r="D114" s="500" t="s">
        <v>1504</v>
      </c>
      <c r="E114" s="208" t="s">
        <v>35</v>
      </c>
      <c r="F114" s="208" t="s">
        <v>28</v>
      </c>
      <c r="G114" s="208">
        <v>19.0</v>
      </c>
      <c r="H114" s="208" t="s">
        <v>92</v>
      </c>
      <c r="I114" s="211"/>
      <c r="J114" s="494"/>
      <c r="K114" s="208">
        <v>39.0</v>
      </c>
      <c r="L114" s="214"/>
      <c r="M114" s="208">
        <v>39.0</v>
      </c>
      <c r="N114" s="221">
        <v>0.0</v>
      </c>
      <c r="O114" s="208" t="s">
        <v>1382</v>
      </c>
      <c r="P114" s="208" t="s">
        <v>70</v>
      </c>
    </row>
    <row r="115" ht="30.75" customHeight="1">
      <c r="A115" s="214"/>
      <c r="B115" s="207" t="s">
        <v>17</v>
      </c>
      <c r="C115" s="147" t="s">
        <v>1505</v>
      </c>
      <c r="D115" s="493" t="s">
        <v>1506</v>
      </c>
      <c r="E115" s="207" t="s">
        <v>35</v>
      </c>
      <c r="F115" s="207" t="s">
        <v>23</v>
      </c>
      <c r="G115" s="207">
        <v>19.0</v>
      </c>
      <c r="H115" s="207" t="s">
        <v>92</v>
      </c>
      <c r="I115" s="211"/>
      <c r="J115" s="494"/>
      <c r="K115" s="207">
        <v>39.0</v>
      </c>
      <c r="L115" s="214"/>
      <c r="M115" s="208">
        <v>39.0</v>
      </c>
      <c r="N115" s="221">
        <v>0.0</v>
      </c>
      <c r="O115" s="207" t="s">
        <v>1507</v>
      </c>
      <c r="P115" s="208" t="s">
        <v>70</v>
      </c>
    </row>
    <row r="116" ht="36.75" customHeight="1">
      <c r="A116" s="214"/>
      <c r="B116" s="212" t="s">
        <v>18</v>
      </c>
      <c r="C116" s="147" t="s">
        <v>1508</v>
      </c>
      <c r="D116" s="493" t="s">
        <v>1509</v>
      </c>
      <c r="E116" s="212" t="s">
        <v>35</v>
      </c>
      <c r="F116" s="207" t="s">
        <v>19</v>
      </c>
      <c r="G116" s="212">
        <v>8.0</v>
      </c>
      <c r="H116" s="207" t="s">
        <v>92</v>
      </c>
      <c r="I116" s="211"/>
      <c r="J116" s="494"/>
      <c r="K116" s="212">
        <v>8.0</v>
      </c>
      <c r="L116" s="497"/>
      <c r="M116" s="208">
        <v>3.0</v>
      </c>
      <c r="N116" s="221">
        <v>0.0</v>
      </c>
      <c r="O116" s="207" t="s">
        <v>1507</v>
      </c>
      <c r="P116" s="208" t="s">
        <v>70</v>
      </c>
    </row>
    <row r="117" ht="36.75" customHeight="1">
      <c r="A117" s="214"/>
      <c r="B117" s="212" t="s">
        <v>18</v>
      </c>
      <c r="C117" s="147" t="s">
        <v>1510</v>
      </c>
      <c r="D117" s="493" t="s">
        <v>1511</v>
      </c>
      <c r="E117" s="207" t="s">
        <v>35</v>
      </c>
      <c r="F117" s="207" t="s">
        <v>20</v>
      </c>
      <c r="G117" s="212">
        <v>8.0</v>
      </c>
      <c r="H117" s="207" t="s">
        <v>92</v>
      </c>
      <c r="I117" s="211"/>
      <c r="J117" s="494"/>
      <c r="K117" s="212">
        <v>8.0</v>
      </c>
      <c r="L117" s="497"/>
      <c r="M117" s="208">
        <v>3.0</v>
      </c>
      <c r="N117" s="221">
        <v>0.0</v>
      </c>
      <c r="O117" s="207" t="s">
        <v>1507</v>
      </c>
      <c r="P117" s="208" t="s">
        <v>70</v>
      </c>
    </row>
    <row r="118" ht="30.75" customHeight="1">
      <c r="A118" s="214"/>
      <c r="B118" s="207" t="s">
        <v>18</v>
      </c>
      <c r="C118" s="147" t="s">
        <v>1512</v>
      </c>
      <c r="D118" s="493" t="s">
        <v>1030</v>
      </c>
      <c r="E118" s="207" t="s">
        <v>35</v>
      </c>
      <c r="F118" s="207" t="s">
        <v>20</v>
      </c>
      <c r="G118" s="207">
        <v>8.0</v>
      </c>
      <c r="H118" s="207" t="s">
        <v>92</v>
      </c>
      <c r="I118" s="211"/>
      <c r="J118" s="494"/>
      <c r="K118" s="207">
        <v>8.0</v>
      </c>
      <c r="L118" s="214"/>
      <c r="M118" s="208">
        <v>3.0</v>
      </c>
      <c r="N118" s="221">
        <v>0.0</v>
      </c>
      <c r="O118" s="207" t="s">
        <v>1507</v>
      </c>
      <c r="P118" s="208" t="s">
        <v>70</v>
      </c>
    </row>
    <row r="119" ht="39.75" customHeight="1">
      <c r="A119" s="214"/>
      <c r="B119" s="207" t="s">
        <v>18</v>
      </c>
      <c r="C119" s="147" t="s">
        <v>1513</v>
      </c>
      <c r="D119" s="493" t="s">
        <v>1511</v>
      </c>
      <c r="E119" s="207" t="s">
        <v>35</v>
      </c>
      <c r="F119" s="207" t="s">
        <v>20</v>
      </c>
      <c r="G119" s="207">
        <v>8.0</v>
      </c>
      <c r="H119" s="207" t="s">
        <v>92</v>
      </c>
      <c r="I119" s="211"/>
      <c r="J119" s="494"/>
      <c r="K119" s="207">
        <v>8.0</v>
      </c>
      <c r="L119" s="214"/>
      <c r="M119" s="208">
        <v>3.0</v>
      </c>
      <c r="N119" s="221">
        <v>0.0</v>
      </c>
      <c r="O119" s="207" t="s">
        <v>1507</v>
      </c>
      <c r="P119" s="208" t="s">
        <v>70</v>
      </c>
    </row>
    <row r="120" ht="30.75" customHeight="1">
      <c r="A120" s="214"/>
      <c r="B120" s="207" t="s">
        <v>18</v>
      </c>
      <c r="C120" s="147" t="s">
        <v>1514</v>
      </c>
      <c r="D120" s="493" t="s">
        <v>1515</v>
      </c>
      <c r="E120" s="207" t="s">
        <v>35</v>
      </c>
      <c r="F120" s="207" t="s">
        <v>20</v>
      </c>
      <c r="G120" s="207">
        <v>8.0</v>
      </c>
      <c r="H120" s="207" t="s">
        <v>92</v>
      </c>
      <c r="I120" s="211"/>
      <c r="J120" s="494"/>
      <c r="K120" s="207">
        <v>8.0</v>
      </c>
      <c r="L120" s="214"/>
      <c r="M120" s="208">
        <v>3.0</v>
      </c>
      <c r="N120" s="221">
        <v>0.0</v>
      </c>
      <c r="O120" s="207" t="s">
        <v>1507</v>
      </c>
      <c r="P120" s="208" t="s">
        <v>70</v>
      </c>
    </row>
    <row r="121" ht="39.75" customHeight="1">
      <c r="A121" s="214"/>
      <c r="B121" s="207" t="s">
        <v>18</v>
      </c>
      <c r="C121" s="147" t="s">
        <v>1516</v>
      </c>
      <c r="D121" s="493" t="s">
        <v>1515</v>
      </c>
      <c r="E121" s="207" t="s">
        <v>35</v>
      </c>
      <c r="F121" s="207" t="s">
        <v>20</v>
      </c>
      <c r="G121" s="207">
        <v>8.0</v>
      </c>
      <c r="H121" s="207" t="s">
        <v>92</v>
      </c>
      <c r="I121" s="211"/>
      <c r="J121" s="494"/>
      <c r="K121" s="207">
        <v>8.0</v>
      </c>
      <c r="L121" s="214"/>
      <c r="M121" s="208">
        <v>3.0</v>
      </c>
      <c r="N121" s="221">
        <v>0.0</v>
      </c>
      <c r="O121" s="207" t="s">
        <v>1507</v>
      </c>
      <c r="P121" s="208" t="s">
        <v>70</v>
      </c>
    </row>
    <row r="122" ht="39.75" customHeight="1">
      <c r="A122" s="214"/>
      <c r="B122" s="207" t="s">
        <v>18</v>
      </c>
      <c r="C122" s="147" t="s">
        <v>1517</v>
      </c>
      <c r="D122" s="493" t="s">
        <v>1511</v>
      </c>
      <c r="E122" s="207" t="s">
        <v>35</v>
      </c>
      <c r="F122" s="207" t="s">
        <v>20</v>
      </c>
      <c r="G122" s="207">
        <v>8.0</v>
      </c>
      <c r="H122" s="207" t="s">
        <v>92</v>
      </c>
      <c r="I122" s="211"/>
      <c r="J122" s="494"/>
      <c r="K122" s="207">
        <v>8.0</v>
      </c>
      <c r="L122" s="214"/>
      <c r="M122" s="208">
        <v>3.0</v>
      </c>
      <c r="N122" s="221">
        <v>0.0</v>
      </c>
      <c r="O122" s="207" t="s">
        <v>1507</v>
      </c>
      <c r="P122" s="208" t="s">
        <v>70</v>
      </c>
    </row>
    <row r="123" ht="36.75" customHeight="1">
      <c r="A123" s="214"/>
      <c r="B123" s="207" t="s">
        <v>18</v>
      </c>
      <c r="C123" s="147" t="s">
        <v>1518</v>
      </c>
      <c r="D123" s="493" t="s">
        <v>1511</v>
      </c>
      <c r="E123" s="207" t="s">
        <v>35</v>
      </c>
      <c r="F123" s="207" t="s">
        <v>20</v>
      </c>
      <c r="G123" s="207">
        <v>8.0</v>
      </c>
      <c r="H123" s="207" t="s">
        <v>92</v>
      </c>
      <c r="I123" s="211"/>
      <c r="J123" s="494"/>
      <c r="K123" s="207">
        <v>8.0</v>
      </c>
      <c r="L123" s="214"/>
      <c r="M123" s="208">
        <v>3.0</v>
      </c>
      <c r="N123" s="221">
        <v>0.0</v>
      </c>
      <c r="O123" s="207" t="s">
        <v>1507</v>
      </c>
      <c r="P123" s="208" t="s">
        <v>70</v>
      </c>
    </row>
    <row r="124" ht="39.75" customHeight="1">
      <c r="A124" s="214"/>
      <c r="B124" s="207" t="s">
        <v>18</v>
      </c>
      <c r="C124" s="147" t="s">
        <v>1518</v>
      </c>
      <c r="D124" s="493" t="s">
        <v>1515</v>
      </c>
      <c r="E124" s="207" t="s">
        <v>35</v>
      </c>
      <c r="F124" s="207" t="s">
        <v>20</v>
      </c>
      <c r="G124" s="207">
        <v>8.0</v>
      </c>
      <c r="H124" s="207" t="s">
        <v>92</v>
      </c>
      <c r="I124" s="211"/>
      <c r="J124" s="494"/>
      <c r="K124" s="207">
        <v>8.0</v>
      </c>
      <c r="L124" s="214"/>
      <c r="M124" s="208">
        <v>3.0</v>
      </c>
      <c r="N124" s="221">
        <v>0.0</v>
      </c>
      <c r="O124" s="207" t="s">
        <v>1507</v>
      </c>
      <c r="P124" s="208" t="s">
        <v>70</v>
      </c>
    </row>
    <row r="125" ht="39.75" customHeight="1">
      <c r="A125" s="214"/>
      <c r="B125" s="208" t="s">
        <v>15</v>
      </c>
      <c r="C125" s="380" t="s">
        <v>693</v>
      </c>
      <c r="D125" s="216" t="s">
        <v>1519</v>
      </c>
      <c r="E125" s="142" t="s">
        <v>34</v>
      </c>
      <c r="F125" s="142" t="s">
        <v>23</v>
      </c>
      <c r="G125" s="142">
        <v>25.0</v>
      </c>
      <c r="H125" s="142" t="s">
        <v>76</v>
      </c>
      <c r="I125" s="505">
        <v>45943.0</v>
      </c>
      <c r="J125" s="504">
        <v>45972.0</v>
      </c>
      <c r="K125" s="208">
        <v>50.0</v>
      </c>
      <c r="L125" s="157"/>
      <c r="M125" s="142">
        <v>50.0</v>
      </c>
      <c r="N125" s="221">
        <v>0.0</v>
      </c>
      <c r="O125" s="208" t="s">
        <v>1520</v>
      </c>
      <c r="P125" s="208" t="s">
        <v>70</v>
      </c>
    </row>
    <row r="126" ht="39.75" customHeight="1">
      <c r="A126" s="157"/>
      <c r="B126" s="142" t="s">
        <v>16</v>
      </c>
      <c r="C126" s="150" t="s">
        <v>1373</v>
      </c>
      <c r="D126" s="147" t="s">
        <v>1521</v>
      </c>
      <c r="E126" s="142" t="s">
        <v>34</v>
      </c>
      <c r="F126" s="142" t="s">
        <v>23</v>
      </c>
      <c r="G126" s="142">
        <v>25.0</v>
      </c>
      <c r="H126" s="142" t="s">
        <v>76</v>
      </c>
      <c r="I126" s="146">
        <v>45943.0</v>
      </c>
      <c r="J126" s="496">
        <v>45972.0</v>
      </c>
      <c r="K126" s="142">
        <v>50.0</v>
      </c>
      <c r="L126" s="157"/>
      <c r="M126" s="141">
        <v>50.0</v>
      </c>
      <c r="N126" s="156">
        <v>0.0</v>
      </c>
      <c r="O126" s="142" t="s">
        <v>1520</v>
      </c>
      <c r="P126" s="142" t="s">
        <v>70</v>
      </c>
    </row>
    <row r="127" ht="30.75" customHeight="1">
      <c r="A127" s="157"/>
      <c r="B127" s="142" t="s">
        <v>16</v>
      </c>
      <c r="C127" s="150" t="s">
        <v>1432</v>
      </c>
      <c r="D127" s="147" t="s">
        <v>1521</v>
      </c>
      <c r="E127" s="142" t="s">
        <v>34</v>
      </c>
      <c r="F127" s="142" t="s">
        <v>23</v>
      </c>
      <c r="G127" s="142">
        <v>25.0</v>
      </c>
      <c r="H127" s="142" t="s">
        <v>76</v>
      </c>
      <c r="I127" s="146">
        <v>45943.0</v>
      </c>
      <c r="J127" s="496">
        <v>45972.0</v>
      </c>
      <c r="K127" s="142">
        <v>50.0</v>
      </c>
      <c r="L127" s="157"/>
      <c r="M127" s="141">
        <v>50.0</v>
      </c>
      <c r="N127" s="156">
        <v>0.0</v>
      </c>
      <c r="O127" s="142" t="s">
        <v>1520</v>
      </c>
      <c r="P127" s="142" t="s">
        <v>70</v>
      </c>
    </row>
    <row r="128" ht="30.75" customHeight="1">
      <c r="A128" s="157"/>
      <c r="B128" s="142" t="s">
        <v>16</v>
      </c>
      <c r="C128" s="147" t="s">
        <v>1432</v>
      </c>
      <c r="D128" s="147" t="s">
        <v>1522</v>
      </c>
      <c r="E128" s="141" t="s">
        <v>35</v>
      </c>
      <c r="F128" s="141" t="s">
        <v>23</v>
      </c>
      <c r="G128" s="157"/>
      <c r="H128" s="141" t="s">
        <v>92</v>
      </c>
      <c r="I128" s="151"/>
      <c r="J128" s="495"/>
      <c r="K128" s="142">
        <v>8.0</v>
      </c>
      <c r="L128" s="157"/>
      <c r="M128" s="142">
        <v>8.0</v>
      </c>
      <c r="N128" s="156">
        <v>0.0</v>
      </c>
      <c r="O128" s="142" t="s">
        <v>1523</v>
      </c>
      <c r="P128" s="142" t="s">
        <v>70</v>
      </c>
    </row>
    <row r="129" ht="30.75" customHeight="1">
      <c r="A129" s="157"/>
      <c r="B129" s="142" t="s">
        <v>16</v>
      </c>
      <c r="C129" s="147" t="s">
        <v>1487</v>
      </c>
      <c r="D129" s="509" t="s">
        <v>1524</v>
      </c>
      <c r="E129" s="141" t="s">
        <v>35</v>
      </c>
      <c r="F129" s="141" t="s">
        <v>20</v>
      </c>
      <c r="G129" s="141">
        <v>10.0</v>
      </c>
      <c r="H129" s="141" t="s">
        <v>92</v>
      </c>
      <c r="I129" s="151"/>
      <c r="J129" s="495"/>
      <c r="K129" s="141">
        <v>10.0</v>
      </c>
      <c r="L129" s="157"/>
      <c r="M129" s="141">
        <v>10.0</v>
      </c>
      <c r="N129" s="140">
        <v>0.0</v>
      </c>
      <c r="O129" s="141" t="s">
        <v>1469</v>
      </c>
      <c r="P129" s="142" t="s">
        <v>70</v>
      </c>
    </row>
    <row r="130" ht="30.75" customHeight="1">
      <c r="A130" s="157"/>
      <c r="B130" s="142" t="s">
        <v>16</v>
      </c>
      <c r="C130" s="150" t="s">
        <v>1355</v>
      </c>
      <c r="D130" s="150" t="s">
        <v>1525</v>
      </c>
      <c r="E130" s="142" t="s">
        <v>34</v>
      </c>
      <c r="F130" s="142" t="s">
        <v>23</v>
      </c>
      <c r="G130" s="142">
        <v>25.0</v>
      </c>
      <c r="H130" s="142" t="s">
        <v>76</v>
      </c>
      <c r="I130" s="153">
        <v>45943.0</v>
      </c>
      <c r="J130" s="508">
        <v>45972.0</v>
      </c>
      <c r="K130" s="142">
        <v>50.0</v>
      </c>
      <c r="L130" s="157"/>
      <c r="M130" s="502">
        <v>50.0</v>
      </c>
      <c r="N130" s="156">
        <v>0.0</v>
      </c>
      <c r="O130" s="142" t="s">
        <v>1526</v>
      </c>
      <c r="P130" s="142" t="s">
        <v>70</v>
      </c>
    </row>
    <row r="131" ht="30.75" customHeight="1">
      <c r="A131" s="157"/>
      <c r="B131" s="142" t="s">
        <v>16</v>
      </c>
      <c r="C131" s="380" t="s">
        <v>1439</v>
      </c>
      <c r="D131" s="381" t="s">
        <v>1521</v>
      </c>
      <c r="E131" s="142" t="s">
        <v>34</v>
      </c>
      <c r="F131" s="142" t="s">
        <v>23</v>
      </c>
      <c r="G131" s="142">
        <v>25.0</v>
      </c>
      <c r="H131" s="142" t="s">
        <v>76</v>
      </c>
      <c r="I131" s="160">
        <v>45943.0</v>
      </c>
      <c r="J131" s="506">
        <v>45972.0</v>
      </c>
      <c r="K131" s="142">
        <v>50.0</v>
      </c>
      <c r="L131" s="157"/>
      <c r="M131" s="142">
        <v>50.0</v>
      </c>
      <c r="N131" s="156">
        <v>0.0</v>
      </c>
      <c r="O131" s="142" t="s">
        <v>1520</v>
      </c>
      <c r="P131" s="142" t="s">
        <v>70</v>
      </c>
    </row>
    <row r="132" ht="30.75" customHeight="1">
      <c r="A132" s="157"/>
      <c r="B132" s="142" t="s">
        <v>16</v>
      </c>
      <c r="C132" s="380" t="s">
        <v>1483</v>
      </c>
      <c r="D132" s="381" t="s">
        <v>1425</v>
      </c>
      <c r="E132" s="142" t="s">
        <v>35</v>
      </c>
      <c r="F132" s="142" t="s">
        <v>19</v>
      </c>
      <c r="G132" s="142">
        <v>15.0</v>
      </c>
      <c r="H132" s="142" t="s">
        <v>92</v>
      </c>
      <c r="I132" s="151"/>
      <c r="J132" s="495"/>
      <c r="K132" s="142">
        <v>25.0</v>
      </c>
      <c r="L132" s="157"/>
      <c r="M132" s="142">
        <v>25.0</v>
      </c>
      <c r="N132" s="156">
        <v>0.0</v>
      </c>
      <c r="O132" s="142" t="s">
        <v>1423</v>
      </c>
      <c r="P132" s="142" t="s">
        <v>70</v>
      </c>
    </row>
    <row r="133" ht="30.75" customHeight="1">
      <c r="A133" s="157"/>
      <c r="B133" s="142" t="s">
        <v>17</v>
      </c>
      <c r="C133" s="150" t="s">
        <v>1497</v>
      </c>
      <c r="D133" s="147" t="s">
        <v>1527</v>
      </c>
      <c r="E133" s="142" t="s">
        <v>34</v>
      </c>
      <c r="F133" s="142" t="s">
        <v>23</v>
      </c>
      <c r="G133" s="142">
        <v>20.0</v>
      </c>
      <c r="H133" s="142" t="s">
        <v>76</v>
      </c>
      <c r="I133" s="149">
        <v>45839.0</v>
      </c>
      <c r="J133" s="499">
        <v>45853.0</v>
      </c>
      <c r="K133" s="142">
        <v>40.0</v>
      </c>
      <c r="L133" s="157"/>
      <c r="M133" s="141">
        <v>40.0</v>
      </c>
      <c r="N133" s="156">
        <v>0.0</v>
      </c>
      <c r="O133" s="142" t="s">
        <v>1367</v>
      </c>
      <c r="P133" s="142" t="s">
        <v>70</v>
      </c>
    </row>
    <row r="134" ht="30.75" customHeight="1">
      <c r="A134" s="157"/>
      <c r="B134" s="142" t="s">
        <v>16</v>
      </c>
      <c r="C134" s="150" t="s">
        <v>1528</v>
      </c>
      <c r="D134" s="150" t="s">
        <v>1529</v>
      </c>
      <c r="E134" s="142" t="s">
        <v>34</v>
      </c>
      <c r="F134" s="142" t="s">
        <v>22</v>
      </c>
      <c r="G134" s="142">
        <v>20.0</v>
      </c>
      <c r="H134" s="142" t="s">
        <v>76</v>
      </c>
      <c r="I134" s="153">
        <v>45887.0</v>
      </c>
      <c r="J134" s="508">
        <v>45918.0</v>
      </c>
      <c r="K134" s="142">
        <v>40.0</v>
      </c>
      <c r="L134" s="157"/>
      <c r="M134" s="502">
        <v>40.0</v>
      </c>
      <c r="N134" s="156">
        <v>0.0</v>
      </c>
      <c r="O134" s="142" t="s">
        <v>1475</v>
      </c>
      <c r="P134" s="142" t="s">
        <v>70</v>
      </c>
    </row>
    <row r="135" ht="30.75" customHeight="1">
      <c r="A135" s="214"/>
      <c r="B135" s="208" t="s">
        <v>15</v>
      </c>
      <c r="C135" s="380" t="s">
        <v>1399</v>
      </c>
      <c r="D135" s="216" t="s">
        <v>1530</v>
      </c>
      <c r="E135" s="142" t="s">
        <v>35</v>
      </c>
      <c r="F135" s="142" t="s">
        <v>20</v>
      </c>
      <c r="G135" s="157"/>
      <c r="H135" s="142" t="s">
        <v>92</v>
      </c>
      <c r="I135" s="211"/>
      <c r="J135" s="494"/>
      <c r="K135" s="208">
        <v>8.0</v>
      </c>
      <c r="L135" s="157"/>
      <c r="M135" s="142">
        <v>8.0</v>
      </c>
      <c r="N135" s="221">
        <v>0.0</v>
      </c>
      <c r="O135" s="208" t="s">
        <v>1523</v>
      </c>
      <c r="P135" s="208" t="s">
        <v>70</v>
      </c>
    </row>
    <row r="136" ht="30.75" customHeight="1">
      <c r="A136" s="157"/>
      <c r="B136" s="142" t="s">
        <v>16</v>
      </c>
      <c r="C136" s="150" t="s">
        <v>1490</v>
      </c>
      <c r="D136" s="380" t="s">
        <v>1486</v>
      </c>
      <c r="E136" s="142" t="s">
        <v>35</v>
      </c>
      <c r="F136" s="142" t="s">
        <v>20</v>
      </c>
      <c r="G136" s="142">
        <v>10.0</v>
      </c>
      <c r="H136" s="142" t="s">
        <v>92</v>
      </c>
      <c r="I136" s="151"/>
      <c r="J136" s="495"/>
      <c r="K136" s="142">
        <v>10.0</v>
      </c>
      <c r="L136" s="157"/>
      <c r="M136" s="142">
        <v>10.0</v>
      </c>
      <c r="N136" s="156">
        <v>0.0</v>
      </c>
      <c r="O136" s="142" t="s">
        <v>1469</v>
      </c>
      <c r="P136" s="142" t="s">
        <v>70</v>
      </c>
    </row>
    <row r="137" ht="30.75" customHeight="1">
      <c r="A137" s="157"/>
      <c r="B137" s="142" t="s">
        <v>16</v>
      </c>
      <c r="C137" s="150" t="s">
        <v>1490</v>
      </c>
      <c r="D137" s="380" t="s">
        <v>1531</v>
      </c>
      <c r="E137" s="142" t="s">
        <v>35</v>
      </c>
      <c r="F137" s="142" t="s">
        <v>21</v>
      </c>
      <c r="G137" s="142">
        <v>10.0</v>
      </c>
      <c r="H137" s="142" t="s">
        <v>92</v>
      </c>
      <c r="I137" s="151"/>
      <c r="J137" s="495"/>
      <c r="K137" s="142">
        <v>10.0</v>
      </c>
      <c r="L137" s="157"/>
      <c r="M137" s="142">
        <v>10.0</v>
      </c>
      <c r="N137" s="156">
        <v>0.0</v>
      </c>
      <c r="O137" s="142" t="s">
        <v>1469</v>
      </c>
      <c r="P137" s="142" t="s">
        <v>70</v>
      </c>
    </row>
    <row r="138" ht="30.75" customHeight="1">
      <c r="A138" s="157"/>
      <c r="B138" s="142" t="s">
        <v>16</v>
      </c>
      <c r="C138" s="150" t="s">
        <v>1441</v>
      </c>
      <c r="D138" s="147" t="s">
        <v>1532</v>
      </c>
      <c r="E138" s="142" t="s">
        <v>34</v>
      </c>
      <c r="F138" s="142" t="s">
        <v>23</v>
      </c>
      <c r="G138" s="142">
        <v>30.0</v>
      </c>
      <c r="H138" s="142" t="s">
        <v>76</v>
      </c>
      <c r="I138" s="146">
        <v>45943.0</v>
      </c>
      <c r="J138" s="496">
        <v>45992.0</v>
      </c>
      <c r="K138" s="142">
        <v>65.0</v>
      </c>
      <c r="L138" s="157"/>
      <c r="M138" s="141">
        <v>65.0</v>
      </c>
      <c r="N138" s="156">
        <v>0.0</v>
      </c>
      <c r="O138" s="142" t="s">
        <v>1520</v>
      </c>
      <c r="P138" s="142" t="s">
        <v>70</v>
      </c>
    </row>
    <row r="139" ht="30.75" customHeight="1">
      <c r="A139" s="157"/>
      <c r="B139" s="142" t="s">
        <v>16</v>
      </c>
      <c r="C139" s="147" t="s">
        <v>1378</v>
      </c>
      <c r="D139" s="147" t="s">
        <v>1521</v>
      </c>
      <c r="E139" s="141" t="s">
        <v>34</v>
      </c>
      <c r="F139" s="141" t="s">
        <v>23</v>
      </c>
      <c r="G139" s="141">
        <v>25.0</v>
      </c>
      <c r="H139" s="141" t="s">
        <v>76</v>
      </c>
      <c r="I139" s="153">
        <v>45943.0</v>
      </c>
      <c r="J139" s="508">
        <v>45972.0</v>
      </c>
      <c r="K139" s="141">
        <v>50.0</v>
      </c>
      <c r="L139" s="157"/>
      <c r="M139" s="502">
        <v>50.0</v>
      </c>
      <c r="N139" s="140">
        <v>0.0</v>
      </c>
      <c r="O139" s="141" t="s">
        <v>1526</v>
      </c>
      <c r="P139" s="142" t="s">
        <v>70</v>
      </c>
    </row>
    <row r="140" ht="30.75" customHeight="1">
      <c r="A140" s="157"/>
      <c r="B140" s="141" t="s">
        <v>18</v>
      </c>
      <c r="C140" s="147" t="s">
        <v>1533</v>
      </c>
      <c r="D140" s="147" t="s">
        <v>1534</v>
      </c>
      <c r="E140" s="141" t="s">
        <v>35</v>
      </c>
      <c r="F140" s="141" t="s">
        <v>20</v>
      </c>
      <c r="G140" s="141">
        <v>10.0</v>
      </c>
      <c r="H140" s="141" t="s">
        <v>92</v>
      </c>
      <c r="I140" s="151"/>
      <c r="J140" s="495"/>
      <c r="K140" s="141">
        <v>10.0</v>
      </c>
      <c r="L140" s="157"/>
      <c r="M140" s="142">
        <v>10.0</v>
      </c>
      <c r="N140" s="156">
        <v>0.0</v>
      </c>
      <c r="O140" s="141" t="s">
        <v>1507</v>
      </c>
      <c r="P140" s="142" t="s">
        <v>70</v>
      </c>
    </row>
    <row r="141" ht="30.75" customHeight="1">
      <c r="A141" s="157"/>
      <c r="B141" s="141" t="s">
        <v>18</v>
      </c>
      <c r="C141" s="147" t="s">
        <v>1518</v>
      </c>
      <c r="D141" s="147" t="s">
        <v>1535</v>
      </c>
      <c r="E141" s="141" t="s">
        <v>35</v>
      </c>
      <c r="F141" s="141" t="s">
        <v>19</v>
      </c>
      <c r="G141" s="141">
        <v>15.0</v>
      </c>
      <c r="H141" s="141" t="s">
        <v>92</v>
      </c>
      <c r="I141" s="151"/>
      <c r="J141" s="495"/>
      <c r="K141" s="141">
        <v>35.0</v>
      </c>
      <c r="L141" s="157"/>
      <c r="M141" s="142">
        <v>3.0</v>
      </c>
      <c r="N141" s="142">
        <v>32.0</v>
      </c>
      <c r="O141" s="141" t="s">
        <v>1507</v>
      </c>
      <c r="P141" s="142" t="s">
        <v>100</v>
      </c>
    </row>
    <row r="142" ht="39.75" customHeight="1">
      <c r="A142" s="157"/>
      <c r="B142" s="141" t="s">
        <v>18</v>
      </c>
      <c r="C142" s="147" t="s">
        <v>1518</v>
      </c>
      <c r="D142" s="147" t="s">
        <v>1536</v>
      </c>
      <c r="E142" s="141" t="s">
        <v>35</v>
      </c>
      <c r="F142" s="141" t="s">
        <v>19</v>
      </c>
      <c r="G142" s="141">
        <v>10.0</v>
      </c>
      <c r="H142" s="141" t="s">
        <v>92</v>
      </c>
      <c r="I142" s="151"/>
      <c r="J142" s="495"/>
      <c r="K142" s="141">
        <v>10.0</v>
      </c>
      <c r="L142" s="157"/>
      <c r="M142" s="142">
        <v>0.0</v>
      </c>
      <c r="N142" s="142">
        <v>10.0</v>
      </c>
      <c r="O142" s="141" t="s">
        <v>1537</v>
      </c>
      <c r="P142" s="142" t="s">
        <v>100</v>
      </c>
    </row>
    <row r="143" ht="39.75" customHeight="1">
      <c r="A143" s="157"/>
      <c r="B143" s="142" t="s">
        <v>15</v>
      </c>
      <c r="C143" s="380" t="s">
        <v>1424</v>
      </c>
      <c r="D143" s="380" t="s">
        <v>1538</v>
      </c>
      <c r="E143" s="142" t="s">
        <v>34</v>
      </c>
      <c r="F143" s="142" t="s">
        <v>19</v>
      </c>
      <c r="G143" s="142">
        <v>20.0</v>
      </c>
      <c r="H143" s="142" t="s">
        <v>76</v>
      </c>
      <c r="I143" s="163">
        <v>45950.0</v>
      </c>
      <c r="J143" s="510">
        <v>45999.0</v>
      </c>
      <c r="K143" s="142">
        <v>40.0</v>
      </c>
      <c r="L143" s="157"/>
      <c r="M143" s="142">
        <v>40.0</v>
      </c>
      <c r="N143" s="142">
        <v>0.0</v>
      </c>
      <c r="O143" s="142" t="s">
        <v>1539</v>
      </c>
      <c r="P143" s="142" t="s">
        <v>70</v>
      </c>
    </row>
    <row r="144" ht="39.75" customHeight="1">
      <c r="A144" s="157"/>
      <c r="B144" s="142" t="s">
        <v>15</v>
      </c>
      <c r="C144" s="380" t="s">
        <v>1424</v>
      </c>
      <c r="D144" s="380" t="s">
        <v>1540</v>
      </c>
      <c r="E144" s="142" t="s">
        <v>35</v>
      </c>
      <c r="F144" s="142" t="s">
        <v>23</v>
      </c>
      <c r="G144" s="142">
        <v>19.0</v>
      </c>
      <c r="H144" s="142" t="s">
        <v>92</v>
      </c>
      <c r="I144" s="151"/>
      <c r="J144" s="495"/>
      <c r="K144" s="142">
        <v>39.0</v>
      </c>
      <c r="L144" s="157"/>
      <c r="M144" s="142">
        <v>39.0</v>
      </c>
      <c r="N144" s="142">
        <v>0.0</v>
      </c>
      <c r="O144" s="142" t="s">
        <v>1469</v>
      </c>
      <c r="P144" s="142" t="s">
        <v>70</v>
      </c>
    </row>
    <row r="145" ht="39.75" customHeight="1">
      <c r="A145" s="157"/>
      <c r="B145" s="142" t="s">
        <v>15</v>
      </c>
      <c r="C145" s="147" t="s">
        <v>1481</v>
      </c>
      <c r="D145" s="147" t="s">
        <v>1541</v>
      </c>
      <c r="E145" s="142" t="s">
        <v>35</v>
      </c>
      <c r="F145" s="141" t="s">
        <v>19</v>
      </c>
      <c r="G145" s="141">
        <v>10.0</v>
      </c>
      <c r="H145" s="141" t="s">
        <v>92</v>
      </c>
      <c r="I145" s="151"/>
      <c r="J145" s="495"/>
      <c r="K145" s="141">
        <v>10.0</v>
      </c>
      <c r="L145" s="157"/>
      <c r="M145" s="142">
        <v>10.0</v>
      </c>
      <c r="N145" s="142">
        <v>0.0</v>
      </c>
      <c r="O145" s="141" t="s">
        <v>1542</v>
      </c>
      <c r="P145" s="142" t="s">
        <v>70</v>
      </c>
    </row>
    <row r="146" ht="39.75" customHeight="1">
      <c r="A146" s="157"/>
      <c r="B146" s="142" t="s">
        <v>15</v>
      </c>
      <c r="C146" s="147" t="s">
        <v>1389</v>
      </c>
      <c r="D146" s="147" t="s">
        <v>1543</v>
      </c>
      <c r="E146" s="142" t="s">
        <v>35</v>
      </c>
      <c r="F146" s="141" t="s">
        <v>23</v>
      </c>
      <c r="G146" s="141">
        <v>19.0</v>
      </c>
      <c r="H146" s="141" t="s">
        <v>92</v>
      </c>
      <c r="I146" s="151"/>
      <c r="J146" s="495"/>
      <c r="K146" s="141">
        <v>39.0</v>
      </c>
      <c r="L146" s="157"/>
      <c r="M146" s="142">
        <v>39.0</v>
      </c>
      <c r="N146" s="142">
        <v>0.0</v>
      </c>
      <c r="O146" s="141" t="s">
        <v>1542</v>
      </c>
      <c r="P146" s="142" t="s">
        <v>70</v>
      </c>
    </row>
    <row r="147" ht="39.75" customHeight="1">
      <c r="A147" s="157"/>
      <c r="B147" s="142" t="s">
        <v>15</v>
      </c>
      <c r="C147" s="147" t="s">
        <v>1426</v>
      </c>
      <c r="D147" s="147" t="s">
        <v>1544</v>
      </c>
      <c r="E147" s="141" t="s">
        <v>35</v>
      </c>
      <c r="F147" s="141" t="s">
        <v>20</v>
      </c>
      <c r="G147" s="141">
        <v>8.0</v>
      </c>
      <c r="H147" s="141" t="s">
        <v>92</v>
      </c>
      <c r="I147" s="151"/>
      <c r="J147" s="495"/>
      <c r="K147" s="141">
        <v>8.0</v>
      </c>
      <c r="L147" s="157"/>
      <c r="M147" s="142">
        <v>8.0</v>
      </c>
      <c r="N147" s="142">
        <v>0.0</v>
      </c>
      <c r="O147" s="141" t="s">
        <v>1542</v>
      </c>
      <c r="P147" s="142" t="s">
        <v>70</v>
      </c>
    </row>
    <row r="148" ht="30.75" customHeight="1">
      <c r="A148" s="157"/>
      <c r="B148" s="142" t="s">
        <v>15</v>
      </c>
      <c r="C148" s="147" t="s">
        <v>1545</v>
      </c>
      <c r="D148" s="147" t="s">
        <v>1546</v>
      </c>
      <c r="E148" s="141" t="s">
        <v>35</v>
      </c>
      <c r="F148" s="141" t="s">
        <v>19</v>
      </c>
      <c r="G148" s="141">
        <v>10.0</v>
      </c>
      <c r="H148" s="141" t="s">
        <v>92</v>
      </c>
      <c r="I148" s="151"/>
      <c r="J148" s="495"/>
      <c r="K148" s="141">
        <v>10.0</v>
      </c>
      <c r="L148" s="157"/>
      <c r="M148" s="142">
        <v>10.0</v>
      </c>
      <c r="N148" s="156">
        <v>0.0</v>
      </c>
      <c r="O148" s="141" t="s">
        <v>1537</v>
      </c>
      <c r="P148" s="142" t="s">
        <v>70</v>
      </c>
    </row>
    <row r="149" ht="30.75" customHeight="1">
      <c r="A149" s="157"/>
      <c r="B149" s="142" t="s">
        <v>16</v>
      </c>
      <c r="C149" s="147" t="s">
        <v>1355</v>
      </c>
      <c r="D149" s="147" t="s">
        <v>1547</v>
      </c>
      <c r="E149" s="141" t="s">
        <v>35</v>
      </c>
      <c r="F149" s="141" t="s">
        <v>23</v>
      </c>
      <c r="G149" s="141">
        <v>19.0</v>
      </c>
      <c r="H149" s="141" t="s">
        <v>92</v>
      </c>
      <c r="I149" s="151"/>
      <c r="J149" s="495"/>
      <c r="K149" s="141">
        <v>39.0</v>
      </c>
      <c r="L149" s="157"/>
      <c r="M149" s="142">
        <v>39.0</v>
      </c>
      <c r="N149" s="156">
        <v>0.0</v>
      </c>
      <c r="O149" s="141" t="s">
        <v>1542</v>
      </c>
      <c r="P149" s="142" t="s">
        <v>70</v>
      </c>
    </row>
    <row r="150" ht="30.75" customHeight="1">
      <c r="A150" s="157"/>
      <c r="B150" s="141" t="s">
        <v>17</v>
      </c>
      <c r="C150" s="147" t="s">
        <v>1548</v>
      </c>
      <c r="D150" s="147" t="s">
        <v>1549</v>
      </c>
      <c r="E150" s="141" t="s">
        <v>35</v>
      </c>
      <c r="F150" s="141" t="s">
        <v>23</v>
      </c>
      <c r="G150" s="141">
        <v>19.0</v>
      </c>
      <c r="H150" s="141" t="s">
        <v>92</v>
      </c>
      <c r="I150" s="151"/>
      <c r="J150" s="495"/>
      <c r="K150" s="141">
        <v>39.0</v>
      </c>
      <c r="L150" s="157"/>
      <c r="M150" s="142">
        <v>39.0</v>
      </c>
      <c r="N150" s="156">
        <v>0.0</v>
      </c>
      <c r="O150" s="141" t="s">
        <v>1469</v>
      </c>
      <c r="P150" s="142" t="s">
        <v>70</v>
      </c>
    </row>
    <row r="151" ht="39.75" customHeight="1">
      <c r="A151" s="157"/>
      <c r="B151" s="141" t="s">
        <v>17</v>
      </c>
      <c r="C151" s="147" t="s">
        <v>1550</v>
      </c>
      <c r="D151" s="147" t="s">
        <v>1544</v>
      </c>
      <c r="E151" s="141" t="s">
        <v>35</v>
      </c>
      <c r="F151" s="141" t="s">
        <v>20</v>
      </c>
      <c r="G151" s="141">
        <v>8.0</v>
      </c>
      <c r="H151" s="141" t="s">
        <v>92</v>
      </c>
      <c r="I151" s="151"/>
      <c r="J151" s="495"/>
      <c r="K151" s="141">
        <v>8.0</v>
      </c>
      <c r="L151" s="157"/>
      <c r="M151" s="142">
        <v>8.0</v>
      </c>
      <c r="N151" s="142">
        <v>0.0</v>
      </c>
      <c r="O151" s="141" t="s">
        <v>1551</v>
      </c>
      <c r="P151" s="142" t="s">
        <v>70</v>
      </c>
    </row>
    <row r="152" ht="39.75" customHeight="1">
      <c r="A152" s="157"/>
      <c r="B152" s="141" t="s">
        <v>18</v>
      </c>
      <c r="C152" s="147" t="s">
        <v>1516</v>
      </c>
      <c r="D152" s="147" t="s">
        <v>1552</v>
      </c>
      <c r="E152" s="141" t="s">
        <v>35</v>
      </c>
      <c r="F152" s="141" t="s">
        <v>20</v>
      </c>
      <c r="G152" s="141">
        <v>8.0</v>
      </c>
      <c r="H152" s="141" t="s">
        <v>92</v>
      </c>
      <c r="I152" s="151"/>
      <c r="J152" s="495"/>
      <c r="K152" s="141">
        <v>8.0</v>
      </c>
      <c r="L152" s="157"/>
      <c r="M152" s="142">
        <v>8.0</v>
      </c>
      <c r="N152" s="142">
        <v>0.0</v>
      </c>
      <c r="O152" s="141" t="s">
        <v>1553</v>
      </c>
      <c r="P152" s="142" t="s">
        <v>70</v>
      </c>
    </row>
    <row r="153" ht="39.75" customHeight="1">
      <c r="A153" s="157"/>
      <c r="B153" s="141" t="s">
        <v>18</v>
      </c>
      <c r="C153" s="147" t="s">
        <v>202</v>
      </c>
      <c r="D153" s="147" t="s">
        <v>1554</v>
      </c>
      <c r="E153" s="141" t="s">
        <v>35</v>
      </c>
      <c r="F153" s="141" t="s">
        <v>20</v>
      </c>
      <c r="G153" s="141">
        <v>8.0</v>
      </c>
      <c r="H153" s="141" t="s">
        <v>92</v>
      </c>
      <c r="I153" s="151"/>
      <c r="J153" s="495"/>
      <c r="K153" s="141">
        <v>8.0</v>
      </c>
      <c r="L153" s="157"/>
      <c r="M153" s="142">
        <v>8.0</v>
      </c>
      <c r="N153" s="142">
        <v>0.0</v>
      </c>
      <c r="O153" s="141" t="s">
        <v>1537</v>
      </c>
      <c r="P153" s="142" t="s">
        <v>70</v>
      </c>
    </row>
    <row r="154" ht="39.75" customHeight="1">
      <c r="A154" s="157"/>
      <c r="B154" s="142" t="s">
        <v>15</v>
      </c>
      <c r="C154" s="380" t="s">
        <v>1421</v>
      </c>
      <c r="D154" s="380" t="s">
        <v>1555</v>
      </c>
      <c r="E154" s="142" t="s">
        <v>34</v>
      </c>
      <c r="F154" s="142" t="s">
        <v>23</v>
      </c>
      <c r="G154" s="142">
        <v>30.0</v>
      </c>
      <c r="H154" s="142" t="s">
        <v>76</v>
      </c>
      <c r="I154" s="163">
        <v>45978.0</v>
      </c>
      <c r="J154" s="510">
        <v>45662.0</v>
      </c>
      <c r="K154" s="142">
        <v>65.0</v>
      </c>
      <c r="L154" s="157"/>
      <c r="M154" s="142">
        <v>65.0</v>
      </c>
      <c r="N154" s="142">
        <v>0.0</v>
      </c>
      <c r="O154" s="142" t="s">
        <v>1556</v>
      </c>
      <c r="P154" s="142" t="s">
        <v>70</v>
      </c>
    </row>
    <row r="155" ht="39.75" customHeight="1">
      <c r="A155" s="157"/>
      <c r="B155" s="142" t="s">
        <v>15</v>
      </c>
      <c r="C155" s="147" t="s">
        <v>693</v>
      </c>
      <c r="D155" s="147" t="s">
        <v>1541</v>
      </c>
      <c r="E155" s="142" t="s">
        <v>35</v>
      </c>
      <c r="F155" s="141" t="s">
        <v>19</v>
      </c>
      <c r="G155" s="141">
        <v>10.0</v>
      </c>
      <c r="H155" s="141" t="s">
        <v>92</v>
      </c>
      <c r="I155" s="151"/>
      <c r="J155" s="495"/>
      <c r="K155" s="141">
        <v>10.0</v>
      </c>
      <c r="L155" s="157"/>
      <c r="M155" s="142">
        <v>10.0</v>
      </c>
      <c r="N155" s="142">
        <v>0.0</v>
      </c>
      <c r="O155" s="141" t="s">
        <v>1542</v>
      </c>
      <c r="P155" s="142" t="s">
        <v>70</v>
      </c>
    </row>
    <row r="156" ht="39.75" customHeight="1">
      <c r="A156" s="157"/>
      <c r="B156" s="142" t="s">
        <v>15</v>
      </c>
      <c r="C156" s="147" t="s">
        <v>693</v>
      </c>
      <c r="D156" s="147" t="s">
        <v>1557</v>
      </c>
      <c r="E156" s="142" t="s">
        <v>35</v>
      </c>
      <c r="F156" s="141" t="s">
        <v>23</v>
      </c>
      <c r="G156" s="141">
        <v>19.0</v>
      </c>
      <c r="H156" s="141" t="s">
        <v>92</v>
      </c>
      <c r="I156" s="151"/>
      <c r="J156" s="495"/>
      <c r="K156" s="141">
        <v>39.0</v>
      </c>
      <c r="L156" s="157"/>
      <c r="M156" s="142">
        <v>39.0</v>
      </c>
      <c r="N156" s="142">
        <v>0.0</v>
      </c>
      <c r="O156" s="141" t="s">
        <v>1542</v>
      </c>
      <c r="P156" s="142" t="s">
        <v>70</v>
      </c>
    </row>
    <row r="157" ht="39.75" customHeight="1">
      <c r="A157" s="157"/>
      <c r="B157" s="142" t="s">
        <v>15</v>
      </c>
      <c r="C157" s="147" t="s">
        <v>1558</v>
      </c>
      <c r="D157" s="147" t="s">
        <v>1559</v>
      </c>
      <c r="E157" s="142" t="s">
        <v>35</v>
      </c>
      <c r="F157" s="141" t="s">
        <v>23</v>
      </c>
      <c r="G157" s="141">
        <v>19.0</v>
      </c>
      <c r="H157" s="141" t="s">
        <v>92</v>
      </c>
      <c r="I157" s="151"/>
      <c r="J157" s="495"/>
      <c r="K157" s="141">
        <v>39.0</v>
      </c>
      <c r="L157" s="157"/>
      <c r="M157" s="142">
        <v>39.0</v>
      </c>
      <c r="N157" s="142">
        <v>0.0</v>
      </c>
      <c r="O157" s="141" t="s">
        <v>1542</v>
      </c>
      <c r="P157" s="142" t="s">
        <v>70</v>
      </c>
    </row>
    <row r="158" ht="39.75" customHeight="1">
      <c r="A158" s="157"/>
      <c r="B158" s="142" t="s">
        <v>15</v>
      </c>
      <c r="C158" s="147" t="s">
        <v>1481</v>
      </c>
      <c r="D158" s="147" t="s">
        <v>1560</v>
      </c>
      <c r="E158" s="142" t="s">
        <v>35</v>
      </c>
      <c r="F158" s="141" t="s">
        <v>23</v>
      </c>
      <c r="G158" s="141">
        <v>19.0</v>
      </c>
      <c r="H158" s="141" t="s">
        <v>92</v>
      </c>
      <c r="I158" s="151"/>
      <c r="J158" s="495"/>
      <c r="K158" s="141">
        <v>39.0</v>
      </c>
      <c r="L158" s="157"/>
      <c r="M158" s="142">
        <v>39.0</v>
      </c>
      <c r="N158" s="142">
        <v>0.0</v>
      </c>
      <c r="O158" s="141" t="s">
        <v>1542</v>
      </c>
      <c r="P158" s="142" t="s">
        <v>70</v>
      </c>
    </row>
    <row r="159" ht="30.75" customHeight="1">
      <c r="A159" s="157"/>
      <c r="B159" s="142" t="s">
        <v>16</v>
      </c>
      <c r="C159" s="147" t="s">
        <v>1483</v>
      </c>
      <c r="D159" s="147" t="s">
        <v>1561</v>
      </c>
      <c r="E159" s="141" t="s">
        <v>35</v>
      </c>
      <c r="F159" s="141" t="s">
        <v>23</v>
      </c>
      <c r="G159" s="141">
        <v>19.0</v>
      </c>
      <c r="H159" s="141" t="s">
        <v>92</v>
      </c>
      <c r="I159" s="151"/>
      <c r="J159" s="495"/>
      <c r="K159" s="141">
        <v>39.0</v>
      </c>
      <c r="L159" s="157"/>
      <c r="M159" s="502">
        <v>39.0</v>
      </c>
      <c r="N159" s="140">
        <v>0.0</v>
      </c>
      <c r="O159" s="141" t="s">
        <v>1469</v>
      </c>
      <c r="P159" s="142" t="s">
        <v>70</v>
      </c>
    </row>
    <row r="160" ht="30.75" customHeight="1">
      <c r="A160" s="157"/>
      <c r="B160" s="142" t="s">
        <v>16</v>
      </c>
      <c r="C160" s="147" t="s">
        <v>1439</v>
      </c>
      <c r="D160" s="147" t="s">
        <v>1562</v>
      </c>
      <c r="E160" s="141" t="s">
        <v>35</v>
      </c>
      <c r="F160" s="141" t="s">
        <v>23</v>
      </c>
      <c r="G160" s="141">
        <v>19.0</v>
      </c>
      <c r="H160" s="141" t="s">
        <v>92</v>
      </c>
      <c r="I160" s="151"/>
      <c r="J160" s="495"/>
      <c r="K160" s="141">
        <v>39.0</v>
      </c>
      <c r="L160" s="157"/>
      <c r="M160" s="142">
        <v>39.0</v>
      </c>
      <c r="N160" s="156">
        <v>0.0</v>
      </c>
      <c r="O160" s="141" t="s">
        <v>1542</v>
      </c>
      <c r="P160" s="142" t="s">
        <v>70</v>
      </c>
    </row>
    <row r="161" ht="30.75" customHeight="1">
      <c r="A161" s="157"/>
      <c r="B161" s="142" t="s">
        <v>16</v>
      </c>
      <c r="C161" s="147" t="s">
        <v>1441</v>
      </c>
      <c r="D161" s="147" t="s">
        <v>1563</v>
      </c>
      <c r="E161" s="141" t="s">
        <v>34</v>
      </c>
      <c r="F161" s="141" t="s">
        <v>23</v>
      </c>
      <c r="G161" s="141">
        <v>20.0</v>
      </c>
      <c r="H161" s="141" t="s">
        <v>76</v>
      </c>
      <c r="I161" s="146">
        <v>45993.0</v>
      </c>
      <c r="J161" s="496">
        <v>46007.0</v>
      </c>
      <c r="K161" s="141">
        <v>40.0</v>
      </c>
      <c r="L161" s="157"/>
      <c r="M161" s="141">
        <v>40.0</v>
      </c>
      <c r="N161" s="140">
        <v>0.0</v>
      </c>
      <c r="O161" s="142" t="s">
        <v>1556</v>
      </c>
      <c r="P161" s="142" t="s">
        <v>70</v>
      </c>
    </row>
    <row r="162" ht="30.75" customHeight="1">
      <c r="A162" s="157"/>
      <c r="B162" s="142" t="s">
        <v>16</v>
      </c>
      <c r="C162" s="147" t="s">
        <v>1528</v>
      </c>
      <c r="D162" s="147" t="s">
        <v>1564</v>
      </c>
      <c r="E162" s="141" t="s">
        <v>34</v>
      </c>
      <c r="F162" s="141" t="s">
        <v>23</v>
      </c>
      <c r="G162" s="157"/>
      <c r="H162" s="141" t="s">
        <v>76</v>
      </c>
      <c r="I162" s="146">
        <v>45965.0</v>
      </c>
      <c r="J162" s="496">
        <v>46014.0</v>
      </c>
      <c r="K162" s="141">
        <v>65.0</v>
      </c>
      <c r="L162" s="157"/>
      <c r="M162" s="141">
        <v>65.0</v>
      </c>
      <c r="N162" s="140">
        <v>0.0</v>
      </c>
      <c r="O162" s="142" t="s">
        <v>1565</v>
      </c>
      <c r="P162" s="142" t="s">
        <v>70</v>
      </c>
    </row>
    <row r="163" ht="39.75" customHeight="1">
      <c r="A163" s="157"/>
      <c r="B163" s="142" t="s">
        <v>16</v>
      </c>
      <c r="C163" s="147" t="s">
        <v>1432</v>
      </c>
      <c r="D163" s="147" t="s">
        <v>1566</v>
      </c>
      <c r="E163" s="141" t="s">
        <v>34</v>
      </c>
      <c r="F163" s="141" t="s">
        <v>23</v>
      </c>
      <c r="G163" s="141">
        <v>25.0</v>
      </c>
      <c r="H163" s="141" t="s">
        <v>76</v>
      </c>
      <c r="I163" s="146">
        <v>45987.0</v>
      </c>
      <c r="J163" s="496">
        <v>46016.0</v>
      </c>
      <c r="K163" s="142">
        <v>50.0</v>
      </c>
      <c r="L163" s="157"/>
      <c r="M163" s="141">
        <v>50.0</v>
      </c>
      <c r="N163" s="142">
        <v>0.0</v>
      </c>
      <c r="O163" s="142" t="s">
        <v>1567</v>
      </c>
      <c r="P163" s="142" t="s">
        <v>70</v>
      </c>
    </row>
    <row r="164" ht="30.75" customHeight="1">
      <c r="A164" s="157"/>
      <c r="B164" s="142" t="s">
        <v>16</v>
      </c>
      <c r="C164" s="147" t="s">
        <v>1443</v>
      </c>
      <c r="D164" s="147" t="s">
        <v>1521</v>
      </c>
      <c r="E164" s="141" t="s">
        <v>34</v>
      </c>
      <c r="F164" s="141" t="s">
        <v>23</v>
      </c>
      <c r="G164" s="141">
        <v>30.0</v>
      </c>
      <c r="H164" s="141" t="s">
        <v>76</v>
      </c>
      <c r="I164" s="146">
        <v>45943.0</v>
      </c>
      <c r="J164" s="496">
        <v>45992.0</v>
      </c>
      <c r="K164" s="142">
        <v>65.0</v>
      </c>
      <c r="L164" s="157"/>
      <c r="M164" s="141">
        <v>65.0</v>
      </c>
      <c r="N164" s="156">
        <v>0.0</v>
      </c>
      <c r="O164" s="142" t="s">
        <v>1520</v>
      </c>
      <c r="P164" s="142" t="s">
        <v>70</v>
      </c>
    </row>
    <row r="165" ht="30.75" customHeight="1">
      <c r="A165" s="157"/>
      <c r="B165" s="142" t="s">
        <v>16</v>
      </c>
      <c r="C165" s="147" t="s">
        <v>1443</v>
      </c>
      <c r="D165" s="147" t="s">
        <v>1561</v>
      </c>
      <c r="E165" s="141" t="s">
        <v>35</v>
      </c>
      <c r="F165" s="141" t="s">
        <v>23</v>
      </c>
      <c r="G165" s="141">
        <v>19.0</v>
      </c>
      <c r="H165" s="141" t="s">
        <v>92</v>
      </c>
      <c r="I165" s="151"/>
      <c r="J165" s="495"/>
      <c r="K165" s="141">
        <v>39.0</v>
      </c>
      <c r="L165" s="157"/>
      <c r="M165" s="502">
        <v>39.0</v>
      </c>
      <c r="N165" s="140">
        <v>0.0</v>
      </c>
      <c r="O165" s="141" t="s">
        <v>1469</v>
      </c>
      <c r="P165" s="142" t="s">
        <v>70</v>
      </c>
    </row>
    <row r="166" ht="30.75" customHeight="1">
      <c r="A166" s="157"/>
      <c r="B166" s="142" t="s">
        <v>16</v>
      </c>
      <c r="C166" s="147" t="s">
        <v>1374</v>
      </c>
      <c r="D166" s="147" t="s">
        <v>1521</v>
      </c>
      <c r="E166" s="141" t="s">
        <v>34</v>
      </c>
      <c r="F166" s="141" t="s">
        <v>23</v>
      </c>
      <c r="G166" s="141">
        <v>25.0</v>
      </c>
      <c r="H166" s="141" t="s">
        <v>76</v>
      </c>
      <c r="I166" s="146">
        <v>45943.0</v>
      </c>
      <c r="J166" s="496">
        <v>45972.0</v>
      </c>
      <c r="K166" s="141">
        <v>50.0</v>
      </c>
      <c r="L166" s="157"/>
      <c r="M166" s="141">
        <v>50.0</v>
      </c>
      <c r="N166" s="140">
        <v>0.0</v>
      </c>
      <c r="O166" s="141" t="s">
        <v>1520</v>
      </c>
      <c r="P166" s="142" t="s">
        <v>70</v>
      </c>
    </row>
    <row r="167" ht="30.75" customHeight="1">
      <c r="A167" s="157"/>
      <c r="B167" s="142" t="s">
        <v>16</v>
      </c>
      <c r="C167" s="150" t="s">
        <v>1490</v>
      </c>
      <c r="D167" s="150" t="s">
        <v>1568</v>
      </c>
      <c r="E167" s="142" t="s">
        <v>34</v>
      </c>
      <c r="F167" s="142" t="s">
        <v>23</v>
      </c>
      <c r="G167" s="142">
        <v>30.0</v>
      </c>
      <c r="H167" s="142" t="s">
        <v>76</v>
      </c>
      <c r="I167" s="163">
        <v>45978.0</v>
      </c>
      <c r="J167" s="510">
        <v>45662.0</v>
      </c>
      <c r="K167" s="142">
        <v>65.0</v>
      </c>
      <c r="L167" s="157"/>
      <c r="M167" s="142">
        <v>65.0</v>
      </c>
      <c r="N167" s="156">
        <v>0.0</v>
      </c>
      <c r="O167" s="142" t="s">
        <v>1556</v>
      </c>
      <c r="P167" s="142" t="s">
        <v>70</v>
      </c>
    </row>
    <row r="168" ht="30.75" customHeight="1">
      <c r="A168" s="157"/>
      <c r="B168" s="142" t="s">
        <v>16</v>
      </c>
      <c r="C168" s="150" t="s">
        <v>1411</v>
      </c>
      <c r="D168" s="150" t="s">
        <v>1569</v>
      </c>
      <c r="E168" s="142" t="s">
        <v>34</v>
      </c>
      <c r="F168" s="142" t="s">
        <v>19</v>
      </c>
      <c r="G168" s="142">
        <v>30.0</v>
      </c>
      <c r="H168" s="142" t="s">
        <v>76</v>
      </c>
      <c r="I168" s="149">
        <v>45863.0</v>
      </c>
      <c r="J168" s="499">
        <v>45912.0</v>
      </c>
      <c r="K168" s="142">
        <v>65.0</v>
      </c>
      <c r="L168" s="157"/>
      <c r="M168" s="142">
        <v>65.0</v>
      </c>
      <c r="N168" s="156">
        <v>0.0</v>
      </c>
      <c r="O168" s="142" t="s">
        <v>1570</v>
      </c>
      <c r="P168" s="142" t="s">
        <v>70</v>
      </c>
    </row>
    <row r="169" ht="30.75" customHeight="1">
      <c r="A169" s="157"/>
      <c r="B169" s="142" t="s">
        <v>16</v>
      </c>
      <c r="C169" s="150" t="s">
        <v>1411</v>
      </c>
      <c r="D169" s="380" t="s">
        <v>1531</v>
      </c>
      <c r="E169" s="142" t="s">
        <v>35</v>
      </c>
      <c r="F169" s="142" t="s">
        <v>21</v>
      </c>
      <c r="G169" s="142">
        <v>10.0</v>
      </c>
      <c r="H169" s="142" t="s">
        <v>92</v>
      </c>
      <c r="I169" s="151"/>
      <c r="J169" s="495"/>
      <c r="K169" s="142">
        <v>10.0</v>
      </c>
      <c r="L169" s="157"/>
      <c r="M169" s="142">
        <v>10.0</v>
      </c>
      <c r="N169" s="156">
        <v>0.0</v>
      </c>
      <c r="O169" s="142" t="s">
        <v>1469</v>
      </c>
      <c r="P169" s="142" t="s">
        <v>70</v>
      </c>
    </row>
    <row r="170" ht="30.75" customHeight="1">
      <c r="A170" s="157"/>
      <c r="B170" s="141" t="s">
        <v>16</v>
      </c>
      <c r="C170" s="147" t="s">
        <v>1357</v>
      </c>
      <c r="D170" s="147" t="s">
        <v>1521</v>
      </c>
      <c r="E170" s="141" t="s">
        <v>34</v>
      </c>
      <c r="F170" s="141" t="s">
        <v>23</v>
      </c>
      <c r="G170" s="141">
        <v>30.0</v>
      </c>
      <c r="H170" s="141" t="s">
        <v>76</v>
      </c>
      <c r="I170" s="146">
        <v>45943.0</v>
      </c>
      <c r="J170" s="496">
        <v>45992.0</v>
      </c>
      <c r="K170" s="141">
        <v>65.0</v>
      </c>
      <c r="L170" s="157"/>
      <c r="M170" s="141">
        <v>65.0</v>
      </c>
      <c r="N170" s="140">
        <v>0.0</v>
      </c>
      <c r="O170" s="141" t="s">
        <v>1526</v>
      </c>
      <c r="P170" s="142" t="s">
        <v>70</v>
      </c>
    </row>
    <row r="171" ht="30.75" customHeight="1">
      <c r="A171" s="157"/>
      <c r="B171" s="141" t="s">
        <v>16</v>
      </c>
      <c r="C171" s="147" t="s">
        <v>1357</v>
      </c>
      <c r="D171" s="147" t="s">
        <v>1571</v>
      </c>
      <c r="E171" s="141" t="s">
        <v>34</v>
      </c>
      <c r="F171" s="141" t="s">
        <v>22</v>
      </c>
      <c r="G171" s="141">
        <v>30.0</v>
      </c>
      <c r="H171" s="141" t="s">
        <v>76</v>
      </c>
      <c r="I171" s="146">
        <v>45993.0</v>
      </c>
      <c r="J171" s="496">
        <v>45677.0</v>
      </c>
      <c r="K171" s="141">
        <v>65.0</v>
      </c>
      <c r="L171" s="157"/>
      <c r="M171" s="142">
        <v>65.0</v>
      </c>
      <c r="N171" s="156">
        <v>0.0</v>
      </c>
      <c r="O171" s="142" t="s">
        <v>1565</v>
      </c>
      <c r="P171" s="142" t="s">
        <v>70</v>
      </c>
    </row>
    <row r="172" ht="30.75" customHeight="1">
      <c r="A172" s="157"/>
      <c r="B172" s="141" t="s">
        <v>17</v>
      </c>
      <c r="C172" s="147" t="s">
        <v>1572</v>
      </c>
      <c r="D172" s="147" t="s">
        <v>1573</v>
      </c>
      <c r="E172" s="141" t="s">
        <v>35</v>
      </c>
      <c r="F172" s="141" t="s">
        <v>23</v>
      </c>
      <c r="G172" s="141">
        <v>10.0</v>
      </c>
      <c r="H172" s="141" t="s">
        <v>92</v>
      </c>
      <c r="I172" s="151"/>
      <c r="J172" s="495"/>
      <c r="K172" s="141">
        <v>10.0</v>
      </c>
      <c r="L172" s="157"/>
      <c r="M172" s="142">
        <v>10.0</v>
      </c>
      <c r="N172" s="156">
        <v>0.0</v>
      </c>
      <c r="O172" s="141" t="s">
        <v>1537</v>
      </c>
      <c r="P172" s="142" t="s">
        <v>70</v>
      </c>
    </row>
    <row r="173" ht="30.75" customHeight="1">
      <c r="A173" s="157"/>
      <c r="B173" s="142" t="s">
        <v>17</v>
      </c>
      <c r="C173" s="147" t="s">
        <v>639</v>
      </c>
      <c r="D173" s="147" t="s">
        <v>1574</v>
      </c>
      <c r="E173" s="142" t="s">
        <v>34</v>
      </c>
      <c r="F173" s="141" t="s">
        <v>23</v>
      </c>
      <c r="G173" s="141">
        <v>20.0</v>
      </c>
      <c r="H173" s="141" t="s">
        <v>76</v>
      </c>
      <c r="I173" s="146">
        <v>45996.0</v>
      </c>
      <c r="J173" s="496">
        <v>46010.0</v>
      </c>
      <c r="K173" s="141">
        <v>40.0</v>
      </c>
      <c r="L173" s="157"/>
      <c r="M173" s="141">
        <v>40.0</v>
      </c>
      <c r="N173" s="140">
        <v>0.0</v>
      </c>
      <c r="O173" s="141" t="s">
        <v>1542</v>
      </c>
      <c r="P173" s="142" t="s">
        <v>70</v>
      </c>
    </row>
    <row r="174" ht="30.75" customHeight="1">
      <c r="A174" s="157"/>
      <c r="B174" s="141" t="s">
        <v>17</v>
      </c>
      <c r="C174" s="147" t="s">
        <v>1575</v>
      </c>
      <c r="D174" s="147" t="s">
        <v>1576</v>
      </c>
      <c r="E174" s="141" t="s">
        <v>34</v>
      </c>
      <c r="F174" s="141" t="s">
        <v>23</v>
      </c>
      <c r="G174" s="141">
        <v>20.0</v>
      </c>
      <c r="H174" s="141" t="s">
        <v>76</v>
      </c>
      <c r="I174" s="146">
        <v>45978.0</v>
      </c>
      <c r="J174" s="496">
        <v>45992.0</v>
      </c>
      <c r="K174" s="141">
        <v>40.0</v>
      </c>
      <c r="L174" s="157"/>
      <c r="M174" s="141">
        <v>40.0</v>
      </c>
      <c r="N174" s="140">
        <v>0.0</v>
      </c>
      <c r="O174" s="142" t="s">
        <v>1556</v>
      </c>
      <c r="P174" s="142" t="s">
        <v>70</v>
      </c>
    </row>
    <row r="175" ht="30.75" customHeight="1">
      <c r="A175" s="157"/>
      <c r="B175" s="142" t="s">
        <v>17</v>
      </c>
      <c r="C175" s="147" t="s">
        <v>1397</v>
      </c>
      <c r="D175" s="147" t="s">
        <v>1574</v>
      </c>
      <c r="E175" s="142" t="s">
        <v>34</v>
      </c>
      <c r="F175" s="141" t="s">
        <v>23</v>
      </c>
      <c r="G175" s="141">
        <v>20.0</v>
      </c>
      <c r="H175" s="141" t="s">
        <v>76</v>
      </c>
      <c r="I175" s="146">
        <v>45996.0</v>
      </c>
      <c r="J175" s="496">
        <v>46010.0</v>
      </c>
      <c r="K175" s="141">
        <v>40.0</v>
      </c>
      <c r="L175" s="157"/>
      <c r="M175" s="141">
        <v>40.0</v>
      </c>
      <c r="N175" s="140">
        <v>0.0</v>
      </c>
      <c r="O175" s="141" t="s">
        <v>1577</v>
      </c>
      <c r="P175" s="142" t="s">
        <v>70</v>
      </c>
    </row>
    <row r="176" ht="30.75" customHeight="1">
      <c r="A176" s="157"/>
      <c r="B176" s="141" t="s">
        <v>17</v>
      </c>
      <c r="C176" s="147" t="s">
        <v>265</v>
      </c>
      <c r="D176" s="147" t="s">
        <v>1549</v>
      </c>
      <c r="E176" s="141" t="s">
        <v>35</v>
      </c>
      <c r="F176" s="141" t="s">
        <v>23</v>
      </c>
      <c r="G176" s="141">
        <v>19.0</v>
      </c>
      <c r="H176" s="141" t="s">
        <v>92</v>
      </c>
      <c r="I176" s="151"/>
      <c r="J176" s="495"/>
      <c r="K176" s="141">
        <v>39.0</v>
      </c>
      <c r="L176" s="157"/>
      <c r="M176" s="142">
        <v>39.0</v>
      </c>
      <c r="N176" s="156">
        <v>0.0</v>
      </c>
      <c r="O176" s="141" t="s">
        <v>1507</v>
      </c>
      <c r="P176" s="142" t="s">
        <v>70</v>
      </c>
    </row>
    <row r="177" ht="30.75" customHeight="1">
      <c r="A177" s="157"/>
      <c r="B177" s="141" t="s">
        <v>17</v>
      </c>
      <c r="C177" s="147" t="s">
        <v>265</v>
      </c>
      <c r="D177" s="147" t="s">
        <v>1578</v>
      </c>
      <c r="E177" s="141" t="s">
        <v>35</v>
      </c>
      <c r="F177" s="141" t="s">
        <v>23</v>
      </c>
      <c r="G177" s="141">
        <v>30.0</v>
      </c>
      <c r="H177" s="141" t="s">
        <v>76</v>
      </c>
      <c r="I177" s="146">
        <v>46352.0</v>
      </c>
      <c r="J177" s="496">
        <v>46036.0</v>
      </c>
      <c r="K177" s="141">
        <v>65.0</v>
      </c>
      <c r="L177" s="157"/>
      <c r="M177" s="142">
        <v>65.0</v>
      </c>
      <c r="N177" s="156">
        <v>0.0</v>
      </c>
      <c r="O177" s="141" t="s">
        <v>1567</v>
      </c>
      <c r="P177" s="142" t="s">
        <v>70</v>
      </c>
    </row>
    <row r="178" ht="30.75" customHeight="1">
      <c r="A178" s="157"/>
      <c r="B178" s="141" t="s">
        <v>18</v>
      </c>
      <c r="C178" s="147" t="s">
        <v>1579</v>
      </c>
      <c r="D178" s="147" t="s">
        <v>1552</v>
      </c>
      <c r="E178" s="141" t="s">
        <v>35</v>
      </c>
      <c r="F178" s="141" t="s">
        <v>20</v>
      </c>
      <c r="G178" s="141">
        <v>8.0</v>
      </c>
      <c r="H178" s="141" t="s">
        <v>92</v>
      </c>
      <c r="I178" s="151"/>
      <c r="J178" s="495"/>
      <c r="K178" s="141">
        <v>8.0</v>
      </c>
      <c r="L178" s="157"/>
      <c r="M178" s="142">
        <v>8.0</v>
      </c>
      <c r="N178" s="156">
        <v>0.0</v>
      </c>
      <c r="O178" s="141" t="s">
        <v>1580</v>
      </c>
      <c r="P178" s="142" t="s">
        <v>70</v>
      </c>
    </row>
    <row r="179" ht="30.75" customHeight="1">
      <c r="A179" s="157"/>
      <c r="B179" s="141" t="s">
        <v>17</v>
      </c>
      <c r="C179" s="147" t="s">
        <v>1581</v>
      </c>
      <c r="D179" s="155" t="s">
        <v>1582</v>
      </c>
      <c r="E179" s="141" t="s">
        <v>35</v>
      </c>
      <c r="F179" s="141" t="s">
        <v>21</v>
      </c>
      <c r="G179" s="141">
        <v>19.0</v>
      </c>
      <c r="H179" s="141" t="s">
        <v>92</v>
      </c>
      <c r="I179" s="151"/>
      <c r="J179" s="495"/>
      <c r="K179" s="141">
        <v>39.0</v>
      </c>
      <c r="L179" s="157"/>
      <c r="M179" s="141">
        <v>39.0</v>
      </c>
      <c r="N179" s="140">
        <v>0.0</v>
      </c>
      <c r="O179" s="141" t="s">
        <v>1583</v>
      </c>
      <c r="P179" s="142" t="s">
        <v>70</v>
      </c>
    </row>
    <row r="180" ht="30.75" customHeight="1">
      <c r="A180" s="157"/>
      <c r="B180" s="141" t="s">
        <v>17</v>
      </c>
      <c r="C180" s="147" t="s">
        <v>1454</v>
      </c>
      <c r="D180" s="155" t="s">
        <v>1582</v>
      </c>
      <c r="E180" s="141" t="s">
        <v>35</v>
      </c>
      <c r="F180" s="141" t="s">
        <v>21</v>
      </c>
      <c r="G180" s="141">
        <v>19.0</v>
      </c>
      <c r="H180" s="141" t="s">
        <v>92</v>
      </c>
      <c r="I180" s="151"/>
      <c r="J180" s="495"/>
      <c r="K180" s="141">
        <v>39.0</v>
      </c>
      <c r="L180" s="157"/>
      <c r="M180" s="141">
        <v>39.0</v>
      </c>
      <c r="N180" s="140">
        <v>0.0</v>
      </c>
      <c r="O180" s="141" t="s">
        <v>1583</v>
      </c>
      <c r="P180" s="142" t="s">
        <v>70</v>
      </c>
    </row>
    <row r="181" ht="30.75" customHeight="1">
      <c r="A181" s="157"/>
      <c r="B181" s="142" t="s">
        <v>17</v>
      </c>
      <c r="C181" s="150" t="s">
        <v>1584</v>
      </c>
      <c r="D181" s="155" t="s">
        <v>1582</v>
      </c>
      <c r="E181" s="141" t="s">
        <v>35</v>
      </c>
      <c r="F181" s="141" t="s">
        <v>21</v>
      </c>
      <c r="G181" s="141">
        <v>19.0</v>
      </c>
      <c r="H181" s="141" t="s">
        <v>92</v>
      </c>
      <c r="I181" s="151"/>
      <c r="J181" s="495"/>
      <c r="K181" s="141">
        <v>39.0</v>
      </c>
      <c r="L181" s="157"/>
      <c r="M181" s="141">
        <v>39.0</v>
      </c>
      <c r="N181" s="140">
        <v>0.0</v>
      </c>
      <c r="O181" s="141" t="s">
        <v>1583</v>
      </c>
      <c r="P181" s="142" t="s">
        <v>70</v>
      </c>
    </row>
    <row r="182" ht="30.75" customHeight="1">
      <c r="A182" s="157"/>
      <c r="B182" s="141" t="s">
        <v>17</v>
      </c>
      <c r="C182" s="147" t="s">
        <v>1497</v>
      </c>
      <c r="D182" s="147" t="s">
        <v>1585</v>
      </c>
      <c r="E182" s="141" t="s">
        <v>35</v>
      </c>
      <c r="F182" s="141" t="s">
        <v>21</v>
      </c>
      <c r="G182" s="141">
        <v>19.0</v>
      </c>
      <c r="H182" s="141" t="s">
        <v>92</v>
      </c>
      <c r="I182" s="151"/>
      <c r="J182" s="495"/>
      <c r="K182" s="141">
        <v>39.0</v>
      </c>
      <c r="L182" s="157"/>
      <c r="M182" s="141">
        <v>39.0</v>
      </c>
      <c r="N182" s="140">
        <v>0.0</v>
      </c>
      <c r="O182" s="142" t="s">
        <v>1367</v>
      </c>
      <c r="P182" s="142" t="s">
        <v>70</v>
      </c>
    </row>
    <row r="183" ht="30.75" customHeight="1">
      <c r="A183" s="157"/>
      <c r="B183" s="141" t="s">
        <v>18</v>
      </c>
      <c r="C183" s="147" t="s">
        <v>1508</v>
      </c>
      <c r="D183" s="147" t="s">
        <v>1534</v>
      </c>
      <c r="E183" s="141" t="s">
        <v>35</v>
      </c>
      <c r="F183" s="141" t="s">
        <v>20</v>
      </c>
      <c r="G183" s="141">
        <v>10.0</v>
      </c>
      <c r="H183" s="141" t="s">
        <v>92</v>
      </c>
      <c r="I183" s="151"/>
      <c r="J183" s="495"/>
      <c r="K183" s="141">
        <v>10.0</v>
      </c>
      <c r="L183" s="157"/>
      <c r="M183" s="142">
        <v>10.0</v>
      </c>
      <c r="N183" s="156">
        <v>0.0</v>
      </c>
      <c r="O183" s="141" t="s">
        <v>1523</v>
      </c>
      <c r="P183" s="142" t="s">
        <v>70</v>
      </c>
    </row>
    <row r="184" ht="30.75" customHeight="1">
      <c r="A184" s="157"/>
      <c r="B184" s="141" t="s">
        <v>18</v>
      </c>
      <c r="C184" s="147" t="s">
        <v>1516</v>
      </c>
      <c r="D184" s="155"/>
      <c r="E184" s="141" t="s">
        <v>35</v>
      </c>
      <c r="F184" s="141" t="s">
        <v>22</v>
      </c>
      <c r="G184" s="141">
        <v>19.0</v>
      </c>
      <c r="H184" s="141" t="s">
        <v>92</v>
      </c>
      <c r="I184" s="151"/>
      <c r="J184" s="495"/>
      <c r="K184" s="141">
        <v>39.0</v>
      </c>
      <c r="L184" s="157"/>
      <c r="M184" s="142">
        <v>39.0</v>
      </c>
      <c r="N184" s="156">
        <v>0.0</v>
      </c>
      <c r="O184" s="141" t="s">
        <v>1583</v>
      </c>
      <c r="P184" s="142" t="s">
        <v>70</v>
      </c>
    </row>
    <row r="185" ht="30.75" customHeight="1">
      <c r="A185" s="157"/>
      <c r="B185" s="141" t="s">
        <v>18</v>
      </c>
      <c r="C185" s="147" t="s">
        <v>1586</v>
      </c>
      <c r="D185" s="147" t="s">
        <v>1587</v>
      </c>
      <c r="E185" s="141" t="s">
        <v>35</v>
      </c>
      <c r="F185" s="141" t="s">
        <v>20</v>
      </c>
      <c r="G185" s="141">
        <v>19.0</v>
      </c>
      <c r="H185" s="141" t="s">
        <v>92</v>
      </c>
      <c r="I185" s="151"/>
      <c r="J185" s="495"/>
      <c r="K185" s="141">
        <v>8.0</v>
      </c>
      <c r="L185" s="157"/>
      <c r="M185" s="142">
        <v>8.0</v>
      </c>
      <c r="N185" s="156">
        <v>0.0</v>
      </c>
      <c r="O185" s="141" t="s">
        <v>1553</v>
      </c>
      <c r="P185" s="142" t="s">
        <v>70</v>
      </c>
    </row>
    <row r="186" ht="30.75" customHeight="1">
      <c r="A186" s="157"/>
      <c r="B186" s="141" t="s">
        <v>18</v>
      </c>
      <c r="C186" s="147" t="s">
        <v>1588</v>
      </c>
      <c r="D186" s="155"/>
      <c r="E186" s="141" t="s">
        <v>35</v>
      </c>
      <c r="F186" s="141" t="s">
        <v>20</v>
      </c>
      <c r="G186" s="141">
        <v>8.0</v>
      </c>
      <c r="H186" s="141" t="s">
        <v>92</v>
      </c>
      <c r="I186" s="151"/>
      <c r="J186" s="495"/>
      <c r="K186" s="141">
        <v>8.0</v>
      </c>
      <c r="L186" s="157"/>
      <c r="M186" s="142">
        <v>8.0</v>
      </c>
      <c r="N186" s="156">
        <v>0.0</v>
      </c>
      <c r="O186" s="141" t="s">
        <v>1583</v>
      </c>
      <c r="P186" s="142" t="s">
        <v>70</v>
      </c>
    </row>
    <row r="187" ht="30.75" customHeight="1">
      <c r="A187" s="157"/>
      <c r="B187" s="141" t="s">
        <v>18</v>
      </c>
      <c r="C187" s="147" t="s">
        <v>1589</v>
      </c>
      <c r="D187" s="155"/>
      <c r="E187" s="141" t="s">
        <v>35</v>
      </c>
      <c r="F187" s="141" t="s">
        <v>20</v>
      </c>
      <c r="G187" s="141">
        <v>11.0</v>
      </c>
      <c r="H187" s="141" t="s">
        <v>92</v>
      </c>
      <c r="I187" s="151"/>
      <c r="J187" s="495"/>
      <c r="K187" s="141">
        <v>13.0</v>
      </c>
      <c r="L187" s="157"/>
      <c r="M187" s="142">
        <v>13.0</v>
      </c>
      <c r="N187" s="156">
        <v>0.0</v>
      </c>
      <c r="O187" s="141" t="s">
        <v>1583</v>
      </c>
      <c r="P187" s="142" t="s">
        <v>70</v>
      </c>
    </row>
    <row r="188" ht="30.75" customHeight="1">
      <c r="A188" s="157"/>
      <c r="B188" s="142" t="s">
        <v>16</v>
      </c>
      <c r="C188" s="147" t="s">
        <v>1419</v>
      </c>
      <c r="D188" s="147" t="s">
        <v>1590</v>
      </c>
      <c r="E188" s="141" t="s">
        <v>35</v>
      </c>
      <c r="F188" s="141" t="s">
        <v>23</v>
      </c>
      <c r="G188" s="141">
        <v>19.0</v>
      </c>
      <c r="H188" s="141" t="s">
        <v>92</v>
      </c>
      <c r="I188" s="151"/>
      <c r="J188" s="495"/>
      <c r="K188" s="141">
        <v>39.0</v>
      </c>
      <c r="L188" s="157"/>
      <c r="M188" s="141">
        <v>39.0</v>
      </c>
      <c r="N188" s="140">
        <v>0.0</v>
      </c>
      <c r="O188" s="141" t="s">
        <v>1583</v>
      </c>
      <c r="P188" s="142" t="s">
        <v>70</v>
      </c>
    </row>
    <row r="189" ht="30.75" customHeight="1">
      <c r="A189" s="157"/>
      <c r="B189" s="141" t="s">
        <v>16</v>
      </c>
      <c r="C189" s="147" t="s">
        <v>1355</v>
      </c>
      <c r="D189" s="147" t="s">
        <v>1591</v>
      </c>
      <c r="E189" s="141" t="s">
        <v>35</v>
      </c>
      <c r="F189" s="141" t="s">
        <v>23</v>
      </c>
      <c r="G189" s="141">
        <v>19.0</v>
      </c>
      <c r="H189" s="141" t="s">
        <v>92</v>
      </c>
      <c r="I189" s="151"/>
      <c r="J189" s="495"/>
      <c r="K189" s="141">
        <v>39.0</v>
      </c>
      <c r="L189" s="157"/>
      <c r="M189" s="141">
        <v>39.0</v>
      </c>
      <c r="N189" s="140">
        <v>0.0</v>
      </c>
      <c r="O189" s="141" t="s">
        <v>1583</v>
      </c>
      <c r="P189" s="142" t="s">
        <v>70</v>
      </c>
    </row>
    <row r="190" ht="30.75" customHeight="1">
      <c r="A190" s="157"/>
      <c r="B190" s="142" t="s">
        <v>17</v>
      </c>
      <c r="C190" s="150" t="s">
        <v>1471</v>
      </c>
      <c r="D190" s="150" t="s">
        <v>1592</v>
      </c>
      <c r="E190" s="142" t="s">
        <v>34</v>
      </c>
      <c r="F190" s="142" t="s">
        <v>22</v>
      </c>
      <c r="G190" s="142">
        <v>50.0</v>
      </c>
      <c r="H190" s="142" t="s">
        <v>76</v>
      </c>
      <c r="I190" s="149">
        <v>45870.0</v>
      </c>
      <c r="J190" s="499">
        <v>45684.0</v>
      </c>
      <c r="K190" s="142">
        <v>180.0</v>
      </c>
      <c r="L190" s="157"/>
      <c r="M190" s="141">
        <v>180.0</v>
      </c>
      <c r="N190" s="156">
        <v>0.0</v>
      </c>
      <c r="O190" s="142" t="s">
        <v>1456</v>
      </c>
      <c r="P190" s="142" t="s">
        <v>70</v>
      </c>
    </row>
    <row r="191" ht="30.75" customHeight="1">
      <c r="A191" s="157"/>
      <c r="B191" s="141" t="s">
        <v>17</v>
      </c>
      <c r="C191" s="147" t="s">
        <v>1572</v>
      </c>
      <c r="D191" s="147" t="s">
        <v>1573</v>
      </c>
      <c r="E191" s="141" t="s">
        <v>35</v>
      </c>
      <c r="F191" s="141" t="s">
        <v>23</v>
      </c>
      <c r="G191" s="141">
        <v>10.0</v>
      </c>
      <c r="H191" s="141" t="s">
        <v>92</v>
      </c>
      <c r="I191" s="151"/>
      <c r="J191" s="495"/>
      <c r="K191" s="141">
        <v>10.0</v>
      </c>
      <c r="L191" s="157"/>
      <c r="M191" s="142">
        <v>10.0</v>
      </c>
      <c r="N191" s="156">
        <v>0.0</v>
      </c>
      <c r="O191" s="141" t="s">
        <v>1537</v>
      </c>
      <c r="P191" s="142" t="s">
        <v>70</v>
      </c>
    </row>
    <row r="192" ht="30.75" customHeight="1">
      <c r="A192" s="157"/>
      <c r="B192" s="142" t="s">
        <v>17</v>
      </c>
      <c r="C192" s="147" t="s">
        <v>639</v>
      </c>
      <c r="D192" s="147" t="s">
        <v>1574</v>
      </c>
      <c r="E192" s="142" t="s">
        <v>34</v>
      </c>
      <c r="F192" s="141" t="s">
        <v>23</v>
      </c>
      <c r="G192" s="141">
        <v>20.0</v>
      </c>
      <c r="H192" s="141" t="s">
        <v>76</v>
      </c>
      <c r="I192" s="146">
        <v>45996.0</v>
      </c>
      <c r="J192" s="496">
        <v>46010.0</v>
      </c>
      <c r="K192" s="141">
        <v>40.0</v>
      </c>
      <c r="L192" s="157"/>
      <c r="M192" s="141">
        <v>40.0</v>
      </c>
      <c r="N192" s="140">
        <v>0.0</v>
      </c>
      <c r="O192" s="141" t="s">
        <v>1542</v>
      </c>
      <c r="P192" s="142" t="s">
        <v>70</v>
      </c>
    </row>
    <row r="193" ht="30.75" customHeight="1">
      <c r="A193" s="157"/>
      <c r="B193" s="141" t="s">
        <v>17</v>
      </c>
      <c r="C193" s="147" t="s">
        <v>1575</v>
      </c>
      <c r="D193" s="147" t="s">
        <v>1576</v>
      </c>
      <c r="E193" s="141" t="s">
        <v>34</v>
      </c>
      <c r="F193" s="141" t="s">
        <v>23</v>
      </c>
      <c r="G193" s="141">
        <v>20.0</v>
      </c>
      <c r="H193" s="141" t="s">
        <v>76</v>
      </c>
      <c r="I193" s="146">
        <v>45978.0</v>
      </c>
      <c r="J193" s="496">
        <v>45992.0</v>
      </c>
      <c r="K193" s="141">
        <v>40.0</v>
      </c>
      <c r="L193" s="157"/>
      <c r="M193" s="141">
        <v>40.0</v>
      </c>
      <c r="N193" s="140">
        <v>0.0</v>
      </c>
      <c r="O193" s="142" t="s">
        <v>1556</v>
      </c>
      <c r="P193" s="142" t="s">
        <v>70</v>
      </c>
    </row>
    <row r="194" ht="30.75" customHeight="1">
      <c r="A194" s="157"/>
      <c r="B194" s="142" t="s">
        <v>17</v>
      </c>
      <c r="C194" s="147" t="s">
        <v>1397</v>
      </c>
      <c r="D194" s="147" t="s">
        <v>1574</v>
      </c>
      <c r="E194" s="142" t="s">
        <v>34</v>
      </c>
      <c r="F194" s="141" t="s">
        <v>23</v>
      </c>
      <c r="G194" s="141">
        <v>20.0</v>
      </c>
      <c r="H194" s="141" t="s">
        <v>76</v>
      </c>
      <c r="I194" s="146">
        <v>45996.0</v>
      </c>
      <c r="J194" s="496">
        <v>46010.0</v>
      </c>
      <c r="K194" s="141">
        <v>40.0</v>
      </c>
      <c r="L194" s="157"/>
      <c r="M194" s="141">
        <v>40.0</v>
      </c>
      <c r="N194" s="140">
        <v>0.0</v>
      </c>
      <c r="O194" s="141" t="s">
        <v>1577</v>
      </c>
      <c r="P194" s="142" t="s">
        <v>70</v>
      </c>
    </row>
    <row r="195" ht="30.75" customHeight="1">
      <c r="A195" s="157"/>
      <c r="B195" s="141" t="s">
        <v>17</v>
      </c>
      <c r="C195" s="147" t="s">
        <v>265</v>
      </c>
      <c r="D195" s="147" t="s">
        <v>1549</v>
      </c>
      <c r="E195" s="141" t="s">
        <v>35</v>
      </c>
      <c r="F195" s="141" t="s">
        <v>23</v>
      </c>
      <c r="G195" s="141">
        <v>19.0</v>
      </c>
      <c r="H195" s="141" t="s">
        <v>92</v>
      </c>
      <c r="I195" s="151"/>
      <c r="J195" s="495"/>
      <c r="K195" s="141">
        <v>39.0</v>
      </c>
      <c r="L195" s="157"/>
      <c r="M195" s="142">
        <v>39.0</v>
      </c>
      <c r="N195" s="156">
        <v>0.0</v>
      </c>
      <c r="O195" s="141" t="s">
        <v>1507</v>
      </c>
      <c r="P195" s="142" t="s">
        <v>70</v>
      </c>
    </row>
    <row r="196" ht="30.75" customHeight="1">
      <c r="A196" s="157"/>
      <c r="B196" s="141" t="s">
        <v>17</v>
      </c>
      <c r="C196" s="147" t="s">
        <v>265</v>
      </c>
      <c r="D196" s="147" t="s">
        <v>1578</v>
      </c>
      <c r="E196" s="141" t="s">
        <v>35</v>
      </c>
      <c r="F196" s="141" t="s">
        <v>23</v>
      </c>
      <c r="G196" s="141">
        <v>30.0</v>
      </c>
      <c r="H196" s="141" t="s">
        <v>76</v>
      </c>
      <c r="I196" s="146">
        <v>46352.0</v>
      </c>
      <c r="J196" s="496">
        <v>46036.0</v>
      </c>
      <c r="K196" s="141">
        <v>65.0</v>
      </c>
      <c r="L196" s="157"/>
      <c r="M196" s="142">
        <v>65.0</v>
      </c>
      <c r="N196" s="156">
        <v>0.0</v>
      </c>
      <c r="O196" s="141" t="s">
        <v>1567</v>
      </c>
      <c r="P196" s="142" t="s">
        <v>70</v>
      </c>
    </row>
    <row r="197" ht="30.75" customHeight="1">
      <c r="A197" s="157"/>
      <c r="B197" s="141" t="s">
        <v>18</v>
      </c>
      <c r="C197" s="147" t="s">
        <v>1579</v>
      </c>
      <c r="D197" s="147" t="s">
        <v>1552</v>
      </c>
      <c r="E197" s="141" t="s">
        <v>35</v>
      </c>
      <c r="F197" s="141" t="s">
        <v>20</v>
      </c>
      <c r="G197" s="141">
        <v>8.0</v>
      </c>
      <c r="H197" s="141" t="s">
        <v>92</v>
      </c>
      <c r="I197" s="151"/>
      <c r="J197" s="495"/>
      <c r="K197" s="141">
        <v>8.0</v>
      </c>
      <c r="L197" s="157"/>
      <c r="M197" s="142">
        <v>8.0</v>
      </c>
      <c r="N197" s="156">
        <v>0.0</v>
      </c>
      <c r="O197" s="141" t="s">
        <v>1580</v>
      </c>
      <c r="P197" s="142" t="s">
        <v>70</v>
      </c>
    </row>
    <row r="198" ht="30.75" customHeight="1">
      <c r="A198" s="157"/>
      <c r="B198" s="141" t="s">
        <v>17</v>
      </c>
      <c r="C198" s="147" t="s">
        <v>1581</v>
      </c>
      <c r="D198" s="155" t="s">
        <v>1582</v>
      </c>
      <c r="E198" s="141" t="s">
        <v>35</v>
      </c>
      <c r="F198" s="141" t="s">
        <v>21</v>
      </c>
      <c r="G198" s="141">
        <v>19.0</v>
      </c>
      <c r="H198" s="141" t="s">
        <v>92</v>
      </c>
      <c r="I198" s="151"/>
      <c r="J198" s="495"/>
      <c r="K198" s="141">
        <v>39.0</v>
      </c>
      <c r="L198" s="157"/>
      <c r="M198" s="141">
        <v>39.0</v>
      </c>
      <c r="N198" s="140">
        <v>0.0</v>
      </c>
      <c r="O198" s="141" t="s">
        <v>1583</v>
      </c>
      <c r="P198" s="142" t="s">
        <v>70</v>
      </c>
    </row>
    <row r="199" ht="30.75" customHeight="1">
      <c r="A199" s="157"/>
      <c r="B199" s="141" t="s">
        <v>17</v>
      </c>
      <c r="C199" s="147" t="s">
        <v>1454</v>
      </c>
      <c r="D199" s="155" t="s">
        <v>1582</v>
      </c>
      <c r="E199" s="141" t="s">
        <v>35</v>
      </c>
      <c r="F199" s="141" t="s">
        <v>21</v>
      </c>
      <c r="G199" s="141">
        <v>19.0</v>
      </c>
      <c r="H199" s="141" t="s">
        <v>92</v>
      </c>
      <c r="I199" s="151"/>
      <c r="J199" s="495"/>
      <c r="K199" s="141">
        <v>39.0</v>
      </c>
      <c r="L199" s="157"/>
      <c r="M199" s="141">
        <v>39.0</v>
      </c>
      <c r="N199" s="140">
        <v>0.0</v>
      </c>
      <c r="O199" s="141" t="s">
        <v>1583</v>
      </c>
      <c r="P199" s="142" t="s">
        <v>70</v>
      </c>
    </row>
    <row r="200" ht="30.75" customHeight="1">
      <c r="A200" s="157"/>
      <c r="B200" s="142" t="s">
        <v>17</v>
      </c>
      <c r="C200" s="150" t="s">
        <v>1584</v>
      </c>
      <c r="D200" s="155" t="s">
        <v>1582</v>
      </c>
      <c r="E200" s="141" t="s">
        <v>35</v>
      </c>
      <c r="F200" s="141" t="s">
        <v>21</v>
      </c>
      <c r="G200" s="141">
        <v>19.0</v>
      </c>
      <c r="H200" s="141" t="s">
        <v>92</v>
      </c>
      <c r="I200" s="151"/>
      <c r="J200" s="495"/>
      <c r="K200" s="141">
        <v>39.0</v>
      </c>
      <c r="L200" s="157"/>
      <c r="M200" s="141">
        <v>39.0</v>
      </c>
      <c r="N200" s="140">
        <v>0.0</v>
      </c>
      <c r="O200" s="141" t="s">
        <v>1583</v>
      </c>
      <c r="P200" s="142" t="s">
        <v>70</v>
      </c>
    </row>
    <row r="201" ht="30.75" customHeight="1">
      <c r="A201" s="502"/>
      <c r="B201" s="142" t="s">
        <v>17</v>
      </c>
      <c r="C201" s="147" t="s">
        <v>1497</v>
      </c>
      <c r="D201" s="147" t="s">
        <v>1473</v>
      </c>
      <c r="E201" s="141" t="s">
        <v>34</v>
      </c>
      <c r="F201" s="141" t="s">
        <v>19</v>
      </c>
      <c r="G201" s="141">
        <v>30.0</v>
      </c>
      <c r="H201" s="141" t="s">
        <v>76</v>
      </c>
      <c r="I201" s="146">
        <v>45953.0</v>
      </c>
      <c r="J201" s="496">
        <v>46002.0</v>
      </c>
      <c r="K201" s="141">
        <v>65.0</v>
      </c>
      <c r="L201" s="157"/>
      <c r="M201" s="142">
        <v>65.0</v>
      </c>
      <c r="N201" s="156">
        <v>0.0</v>
      </c>
      <c r="O201" s="142" t="s">
        <v>1507</v>
      </c>
      <c r="P201" s="142" t="s">
        <v>70</v>
      </c>
    </row>
    <row r="202" ht="36.75" customHeight="1">
      <c r="A202" s="502"/>
      <c r="B202" s="141" t="s">
        <v>17</v>
      </c>
      <c r="C202" s="147" t="s">
        <v>265</v>
      </c>
      <c r="D202" s="147" t="s">
        <v>1593</v>
      </c>
      <c r="E202" s="141" t="s">
        <v>34</v>
      </c>
      <c r="F202" s="141" t="s">
        <v>23</v>
      </c>
      <c r="G202" s="141">
        <v>20.0</v>
      </c>
      <c r="H202" s="141" t="s">
        <v>76</v>
      </c>
      <c r="I202" s="146">
        <v>46037.0</v>
      </c>
      <c r="J202" s="496">
        <v>46051.0</v>
      </c>
      <c r="K202" s="141">
        <v>40.0</v>
      </c>
      <c r="L202" s="157"/>
      <c r="M202" s="142">
        <v>40.0</v>
      </c>
      <c r="N202" s="142">
        <v>0.0</v>
      </c>
      <c r="O202" s="141" t="s">
        <v>1567</v>
      </c>
      <c r="P202" s="142" t="s">
        <v>70</v>
      </c>
    </row>
    <row r="203" ht="36.75" customHeight="1">
      <c r="A203" s="502"/>
      <c r="B203" s="142" t="s">
        <v>17</v>
      </c>
      <c r="C203" s="147" t="s">
        <v>1471</v>
      </c>
      <c r="D203" s="147" t="s">
        <v>1594</v>
      </c>
      <c r="E203" s="156" t="s">
        <v>34</v>
      </c>
      <c r="F203" s="141" t="s">
        <v>23</v>
      </c>
      <c r="G203" s="141">
        <v>20.0</v>
      </c>
      <c r="H203" s="141" t="s">
        <v>76</v>
      </c>
      <c r="I203" s="146">
        <v>45996.0</v>
      </c>
      <c r="J203" s="496">
        <v>46022.0</v>
      </c>
      <c r="K203" s="141">
        <v>40.0</v>
      </c>
      <c r="L203" s="164"/>
      <c r="M203" s="141">
        <v>40.0</v>
      </c>
      <c r="N203" s="140">
        <v>0.0</v>
      </c>
      <c r="O203" s="141" t="s">
        <v>1595</v>
      </c>
      <c r="P203" s="142" t="s">
        <v>70</v>
      </c>
    </row>
    <row r="204" ht="36.75" customHeight="1">
      <c r="A204" s="502"/>
      <c r="B204" s="142" t="s">
        <v>16</v>
      </c>
      <c r="C204" s="147" t="s">
        <v>1441</v>
      </c>
      <c r="D204" s="147" t="s">
        <v>1596</v>
      </c>
      <c r="E204" s="142" t="s">
        <v>34</v>
      </c>
      <c r="F204" s="141" t="s">
        <v>23</v>
      </c>
      <c r="G204" s="141">
        <v>20.0</v>
      </c>
      <c r="H204" s="141" t="s">
        <v>76</v>
      </c>
      <c r="I204" s="146">
        <v>46008.0</v>
      </c>
      <c r="J204" s="496">
        <v>46022.0</v>
      </c>
      <c r="K204" s="141">
        <v>40.0</v>
      </c>
      <c r="L204" s="157"/>
      <c r="M204" s="141">
        <v>40.0</v>
      </c>
      <c r="N204" s="141">
        <v>0.0</v>
      </c>
      <c r="O204" s="141" t="s">
        <v>1595</v>
      </c>
      <c r="P204" s="142" t="s">
        <v>70</v>
      </c>
    </row>
    <row r="205" ht="36.75" customHeight="1">
      <c r="A205" s="502"/>
      <c r="B205" s="142" t="s">
        <v>16</v>
      </c>
      <c r="C205" s="147" t="s">
        <v>1022</v>
      </c>
      <c r="D205" s="147" t="s">
        <v>1597</v>
      </c>
      <c r="E205" s="141" t="s">
        <v>35</v>
      </c>
      <c r="F205" s="141" t="s">
        <v>20</v>
      </c>
      <c r="G205" s="141">
        <v>11.0</v>
      </c>
      <c r="H205" s="141" t="s">
        <v>92</v>
      </c>
      <c r="I205" s="151"/>
      <c r="J205" s="495"/>
      <c r="K205" s="141">
        <v>13.0</v>
      </c>
      <c r="L205" s="157"/>
      <c r="M205" s="142">
        <v>13.0</v>
      </c>
      <c r="N205" s="142">
        <v>0.0</v>
      </c>
      <c r="O205" s="141" t="s">
        <v>1542</v>
      </c>
      <c r="P205" s="142" t="s">
        <v>70</v>
      </c>
    </row>
    <row r="206" ht="36.75" customHeight="1">
      <c r="A206" s="249"/>
      <c r="B206" s="207" t="s">
        <v>18</v>
      </c>
      <c r="C206" s="147" t="s">
        <v>1598</v>
      </c>
      <c r="D206" s="493" t="s">
        <v>1599</v>
      </c>
      <c r="E206" s="208" t="s">
        <v>35</v>
      </c>
      <c r="F206" s="207" t="s">
        <v>23</v>
      </c>
      <c r="G206" s="207">
        <v>8.0</v>
      </c>
      <c r="H206" s="208" t="s">
        <v>92</v>
      </c>
      <c r="I206" s="211"/>
      <c r="J206" s="494"/>
      <c r="K206" s="207">
        <v>39.0</v>
      </c>
      <c r="L206" s="497"/>
      <c r="M206" s="205">
        <v>39.0</v>
      </c>
      <c r="N206" s="205">
        <v>0.0</v>
      </c>
      <c r="O206" s="141" t="s">
        <v>1580</v>
      </c>
      <c r="P206" s="139" t="s">
        <v>70</v>
      </c>
    </row>
    <row r="207" ht="36.75" customHeight="1">
      <c r="A207" s="263"/>
      <c r="B207" s="207" t="s">
        <v>18</v>
      </c>
      <c r="C207" s="147" t="s">
        <v>202</v>
      </c>
      <c r="D207" s="493" t="s">
        <v>1552</v>
      </c>
      <c r="E207" s="207" t="s">
        <v>35</v>
      </c>
      <c r="F207" s="207" t="s">
        <v>20</v>
      </c>
      <c r="G207" s="207">
        <v>10.0</v>
      </c>
      <c r="H207" s="207" t="s">
        <v>92</v>
      </c>
      <c r="I207" s="211"/>
      <c r="J207" s="494"/>
      <c r="K207" s="207">
        <v>10.0</v>
      </c>
      <c r="L207" s="497"/>
      <c r="M207" s="205">
        <v>10.0</v>
      </c>
      <c r="N207" s="205">
        <v>0.0</v>
      </c>
      <c r="O207" s="141" t="s">
        <v>1600</v>
      </c>
      <c r="P207" s="139" t="s">
        <v>70</v>
      </c>
    </row>
    <row r="208" ht="30.75" customHeight="1">
      <c r="A208" s="263">
        <v>9.0</v>
      </c>
      <c r="B208" s="208" t="s">
        <v>16</v>
      </c>
      <c r="C208" s="150" t="s">
        <v>1490</v>
      </c>
      <c r="D208" s="500" t="s">
        <v>1601</v>
      </c>
      <c r="E208" s="141" t="s">
        <v>35</v>
      </c>
      <c r="F208" s="208" t="s">
        <v>20</v>
      </c>
      <c r="G208" s="141">
        <v>19.0</v>
      </c>
      <c r="H208" s="141" t="s">
        <v>92</v>
      </c>
      <c r="I208" s="151"/>
      <c r="J208" s="495"/>
      <c r="K208" s="141">
        <v>39.0</v>
      </c>
      <c r="L208" s="157"/>
      <c r="M208" s="139">
        <v>39.0</v>
      </c>
      <c r="N208" s="139">
        <v>0.0</v>
      </c>
      <c r="O208" s="141" t="s">
        <v>1542</v>
      </c>
      <c r="P208" s="139" t="s">
        <v>70</v>
      </c>
    </row>
    <row r="209" ht="36.75" customHeight="1">
      <c r="A209" s="186">
        <v>11.0</v>
      </c>
      <c r="B209" s="140" t="s">
        <v>18</v>
      </c>
      <c r="C209" s="147" t="s">
        <v>1602</v>
      </c>
      <c r="D209" s="147" t="s">
        <v>1552</v>
      </c>
      <c r="E209" s="156" t="s">
        <v>35</v>
      </c>
      <c r="F209" s="141" t="s">
        <v>20</v>
      </c>
      <c r="G209" s="141">
        <v>8.0</v>
      </c>
      <c r="H209" s="142" t="s">
        <v>92</v>
      </c>
      <c r="I209" s="151"/>
      <c r="J209" s="495"/>
      <c r="K209" s="141">
        <v>8.0</v>
      </c>
      <c r="L209" s="164"/>
      <c r="M209" s="142">
        <v>8.0</v>
      </c>
      <c r="N209" s="156">
        <v>0.0</v>
      </c>
      <c r="O209" s="140" t="s">
        <v>1553</v>
      </c>
      <c r="P209" s="142" t="s">
        <v>70</v>
      </c>
    </row>
    <row r="210" ht="30.75" customHeight="1">
      <c r="A210" s="502">
        <v>14.0</v>
      </c>
      <c r="B210" s="141" t="s">
        <v>18</v>
      </c>
      <c r="C210" s="147" t="s">
        <v>1603</v>
      </c>
      <c r="D210" s="147" t="s">
        <v>1511</v>
      </c>
      <c r="E210" s="141" t="s">
        <v>35</v>
      </c>
      <c r="F210" s="141" t="s">
        <v>20</v>
      </c>
      <c r="G210" s="141">
        <v>8.0</v>
      </c>
      <c r="H210" s="141" t="s">
        <v>92</v>
      </c>
      <c r="I210" s="151"/>
      <c r="J210" s="495"/>
      <c r="K210" s="141">
        <v>8.0</v>
      </c>
      <c r="L210" s="157"/>
      <c r="M210" s="142">
        <v>8.0</v>
      </c>
      <c r="N210" s="156">
        <v>0.0</v>
      </c>
      <c r="O210" s="141" t="s">
        <v>1507</v>
      </c>
      <c r="P210" s="142" t="s">
        <v>70</v>
      </c>
    </row>
    <row r="211" ht="30.75" customHeight="1">
      <c r="A211" s="502">
        <v>16.0</v>
      </c>
      <c r="B211" s="141" t="s">
        <v>18</v>
      </c>
      <c r="C211" s="147" t="s">
        <v>1363</v>
      </c>
      <c r="D211" s="147" t="s">
        <v>1552</v>
      </c>
      <c r="E211" s="141" t="s">
        <v>35</v>
      </c>
      <c r="F211" s="141" t="s">
        <v>20</v>
      </c>
      <c r="G211" s="141">
        <v>10.0</v>
      </c>
      <c r="H211" s="141" t="s">
        <v>92</v>
      </c>
      <c r="I211" s="151"/>
      <c r="J211" s="495"/>
      <c r="K211" s="141">
        <v>10.0</v>
      </c>
      <c r="L211" s="157"/>
      <c r="M211" s="142">
        <v>10.0</v>
      </c>
      <c r="N211" s="156">
        <v>0.0</v>
      </c>
      <c r="O211" s="141" t="s">
        <v>1600</v>
      </c>
      <c r="P211" s="142" t="s">
        <v>70</v>
      </c>
    </row>
    <row r="212" ht="30.75" customHeight="1">
      <c r="A212" s="502">
        <v>7.0</v>
      </c>
      <c r="B212" s="142" t="s">
        <v>16</v>
      </c>
      <c r="C212" s="147" t="s">
        <v>1374</v>
      </c>
      <c r="D212" s="147" t="s">
        <v>1604</v>
      </c>
      <c r="E212" s="141" t="s">
        <v>34</v>
      </c>
      <c r="F212" s="141" t="s">
        <v>23</v>
      </c>
      <c r="G212" s="141">
        <v>50.0</v>
      </c>
      <c r="H212" s="141" t="s">
        <v>76</v>
      </c>
      <c r="I212" s="146">
        <v>45972.0</v>
      </c>
      <c r="J212" s="496">
        <v>45786.0</v>
      </c>
      <c r="K212" s="141">
        <v>180.0</v>
      </c>
      <c r="L212" s="157"/>
      <c r="M212" s="141">
        <v>180.0</v>
      </c>
      <c r="N212" s="140">
        <v>0.0</v>
      </c>
      <c r="O212" s="141" t="s">
        <v>1520</v>
      </c>
      <c r="P212" s="142" t="s">
        <v>70</v>
      </c>
    </row>
    <row r="213" ht="30.75" customHeight="1">
      <c r="A213" s="228"/>
      <c r="B213" s="502"/>
      <c r="C213" s="142"/>
      <c r="D213" s="150"/>
      <c r="E213" s="380"/>
      <c r="F213" s="142"/>
      <c r="G213" s="142"/>
      <c r="H213" s="142"/>
      <c r="I213" s="149"/>
      <c r="J213" s="151"/>
      <c r="K213" s="495"/>
      <c r="L213" s="142"/>
      <c r="M213" s="157"/>
      <c r="N213" s="156"/>
      <c r="O213" s="142"/>
      <c r="P213" s="142"/>
    </row>
    <row r="214" ht="30.75" customHeight="1">
      <c r="A214" s="228"/>
      <c r="B214" s="502"/>
      <c r="C214" s="142"/>
      <c r="D214" s="150"/>
      <c r="E214" s="380"/>
      <c r="F214" s="142"/>
      <c r="G214" s="142"/>
      <c r="H214" s="142"/>
      <c r="I214" s="149"/>
      <c r="J214" s="151"/>
      <c r="K214" s="495"/>
      <c r="L214" s="142"/>
      <c r="M214" s="157"/>
      <c r="N214" s="511"/>
      <c r="O214" s="142"/>
      <c r="P214" s="142"/>
    </row>
    <row r="215" ht="30.75" customHeight="1">
      <c r="A215" s="228"/>
      <c r="B215" s="502"/>
      <c r="C215" s="142"/>
      <c r="D215" s="147"/>
      <c r="E215" s="147"/>
      <c r="F215" s="141"/>
      <c r="G215" s="141"/>
      <c r="H215" s="141"/>
      <c r="I215" s="146"/>
      <c r="J215" s="151"/>
      <c r="K215" s="495"/>
      <c r="L215" s="141"/>
      <c r="M215" s="157"/>
      <c r="N215" s="511"/>
      <c r="O215" s="141"/>
      <c r="P215" s="141"/>
    </row>
    <row r="216" ht="30.75" customHeight="1">
      <c r="A216" s="228"/>
      <c r="B216" s="141"/>
      <c r="C216" s="147"/>
      <c r="D216" s="147"/>
      <c r="E216" s="141"/>
      <c r="F216" s="141"/>
      <c r="G216" s="141"/>
      <c r="H216" s="141"/>
      <c r="I216" s="151"/>
      <c r="J216" s="495"/>
      <c r="K216" s="141"/>
      <c r="L216" s="157"/>
      <c r="M216" s="141"/>
      <c r="N216" s="140"/>
      <c r="O216" s="141"/>
      <c r="P216" s="142"/>
    </row>
    <row r="217" ht="30.75" customHeight="1">
      <c r="A217" s="228">
        <v>131.0</v>
      </c>
      <c r="B217" s="187"/>
      <c r="C217" s="186"/>
      <c r="D217" s="186"/>
      <c r="E217" s="186"/>
      <c r="F217" s="186"/>
      <c r="G217" s="186"/>
      <c r="H217" s="186"/>
      <c r="I217" s="188"/>
      <c r="J217" s="188"/>
      <c r="K217" s="186"/>
      <c r="L217" s="186"/>
      <c r="M217" s="186"/>
      <c r="N217" s="189"/>
      <c r="O217" s="186"/>
      <c r="P217" s="186"/>
    </row>
    <row r="218" ht="36.75" customHeight="1">
      <c r="A218" s="186">
        <v>3.0</v>
      </c>
      <c r="B218" s="186"/>
      <c r="C218" s="186"/>
      <c r="D218" s="186"/>
      <c r="E218" s="186"/>
      <c r="F218" s="186"/>
      <c r="G218" s="186"/>
      <c r="H218" s="186"/>
      <c r="I218" s="225"/>
      <c r="J218" s="191"/>
      <c r="K218" s="186"/>
      <c r="L218" s="189"/>
      <c r="M218" s="189"/>
      <c r="N218" s="190"/>
      <c r="O218" s="186"/>
      <c r="P218" s="186"/>
    </row>
    <row r="219" ht="36.75" customHeight="1">
      <c r="A219" s="186">
        <v>4.0</v>
      </c>
      <c r="B219" s="187"/>
      <c r="C219" s="186"/>
      <c r="D219" s="186"/>
      <c r="E219" s="186"/>
      <c r="F219" s="186"/>
      <c r="G219" s="186"/>
      <c r="H219" s="186"/>
      <c r="I219" s="188"/>
      <c r="J219" s="188"/>
      <c r="K219" s="186"/>
      <c r="L219" s="186"/>
      <c r="M219" s="186"/>
      <c r="N219" s="190"/>
      <c r="O219" s="186"/>
      <c r="P219" s="186"/>
    </row>
    <row r="220" ht="36.75" customHeight="1">
      <c r="A220" s="186">
        <v>5.0</v>
      </c>
      <c r="B220" s="187"/>
      <c r="C220" s="186"/>
      <c r="D220" s="186"/>
      <c r="E220" s="186"/>
      <c r="F220" s="186"/>
      <c r="G220" s="186"/>
      <c r="H220" s="186"/>
      <c r="I220" s="188"/>
      <c r="J220" s="188"/>
      <c r="K220" s="186"/>
      <c r="L220" s="186"/>
      <c r="M220" s="186"/>
      <c r="N220" s="190"/>
      <c r="O220" s="186"/>
      <c r="P220" s="186"/>
    </row>
    <row r="221" ht="36.75" customHeight="1">
      <c r="A221" s="186">
        <v>6.0</v>
      </c>
      <c r="B221" s="389"/>
      <c r="C221" s="186"/>
      <c r="D221" s="390"/>
      <c r="E221" s="186"/>
      <c r="F221" s="186"/>
      <c r="G221" s="186"/>
      <c r="H221" s="186"/>
      <c r="I221" s="188"/>
      <c r="J221" s="188"/>
      <c r="K221" s="186"/>
      <c r="L221" s="186"/>
      <c r="M221" s="186"/>
      <c r="N221" s="190"/>
      <c r="O221" s="186"/>
      <c r="P221" s="186"/>
    </row>
    <row r="222" ht="36.75" customHeight="1">
      <c r="A222" s="186">
        <v>7.0</v>
      </c>
      <c r="B222" s="186"/>
      <c r="C222" s="186"/>
      <c r="D222" s="186"/>
      <c r="E222" s="186"/>
      <c r="F222" s="186"/>
      <c r="G222" s="186"/>
      <c r="H222" s="186"/>
      <c r="I222" s="225"/>
      <c r="J222" s="191"/>
      <c r="K222" s="186"/>
      <c r="L222" s="186"/>
      <c r="M222" s="186"/>
      <c r="N222" s="190"/>
      <c r="O222" s="186"/>
      <c r="P222" s="186"/>
    </row>
    <row r="223" ht="36.75" customHeight="1">
      <c r="A223" s="186">
        <v>8.0</v>
      </c>
      <c r="B223" s="189"/>
      <c r="C223" s="186"/>
      <c r="D223" s="186"/>
      <c r="E223" s="189"/>
      <c r="F223" s="186"/>
      <c r="G223" s="189"/>
      <c r="H223" s="186"/>
      <c r="I223" s="225"/>
      <c r="J223" s="191"/>
      <c r="K223" s="189"/>
      <c r="L223" s="189"/>
      <c r="M223" s="186"/>
      <c r="N223" s="190"/>
      <c r="O223" s="189"/>
      <c r="P223" s="186"/>
    </row>
    <row r="224" ht="36.75" customHeight="1">
      <c r="A224" s="186">
        <v>9.0</v>
      </c>
      <c r="B224" s="186"/>
      <c r="C224" s="186"/>
      <c r="D224" s="186"/>
      <c r="E224" s="186"/>
      <c r="F224" s="186"/>
      <c r="G224" s="186"/>
      <c r="H224" s="186"/>
      <c r="I224" s="188"/>
      <c r="J224" s="188"/>
      <c r="K224" s="186"/>
      <c r="L224" s="186"/>
      <c r="M224" s="186"/>
      <c r="N224" s="190"/>
      <c r="O224" s="186"/>
      <c r="P224" s="186"/>
    </row>
    <row r="225" ht="36.75" customHeight="1">
      <c r="A225" s="186">
        <v>10.0</v>
      </c>
      <c r="B225" s="186"/>
      <c r="C225" s="186"/>
      <c r="D225" s="186"/>
      <c r="E225" s="186"/>
      <c r="F225" s="186"/>
      <c r="G225" s="186"/>
      <c r="H225" s="186"/>
      <c r="I225" s="188"/>
      <c r="J225" s="188"/>
      <c r="K225" s="186"/>
      <c r="L225" s="186"/>
      <c r="M225" s="186"/>
      <c r="N225" s="190"/>
      <c r="O225" s="207"/>
      <c r="P225" s="186"/>
    </row>
    <row r="226" ht="30.75" customHeight="1">
      <c r="A226" s="228">
        <v>132.0</v>
      </c>
      <c r="B226" s="187"/>
      <c r="C226" s="186"/>
      <c r="D226" s="186"/>
      <c r="E226" s="186"/>
      <c r="F226" s="186"/>
      <c r="G226" s="186"/>
      <c r="H226" s="186"/>
      <c r="I226" s="188"/>
      <c r="J226" s="188"/>
      <c r="K226" s="186"/>
      <c r="L226" s="186"/>
      <c r="M226" s="186"/>
      <c r="N226" s="189"/>
      <c r="O226" s="186"/>
      <c r="P226" s="186"/>
    </row>
    <row r="227" ht="30.75" customHeight="1">
      <c r="A227" s="228">
        <v>133.0</v>
      </c>
      <c r="B227" s="187"/>
      <c r="C227" s="186"/>
      <c r="D227" s="186"/>
      <c r="E227" s="186"/>
      <c r="F227" s="186"/>
      <c r="G227" s="186"/>
      <c r="H227" s="186"/>
      <c r="I227" s="188"/>
      <c r="J227" s="188"/>
      <c r="K227" s="186"/>
      <c r="L227" s="186"/>
      <c r="M227" s="186"/>
      <c r="N227" s="189"/>
      <c r="O227" s="186"/>
      <c r="P227" s="186"/>
    </row>
    <row r="228" ht="30.75" customHeight="1">
      <c r="A228" s="228">
        <v>134.0</v>
      </c>
      <c r="B228" s="187"/>
      <c r="C228" s="186"/>
      <c r="D228" s="186"/>
      <c r="E228" s="186"/>
      <c r="F228" s="186"/>
      <c r="G228" s="186"/>
      <c r="H228" s="186"/>
      <c r="I228" s="188"/>
      <c r="J228" s="188"/>
      <c r="K228" s="186"/>
      <c r="L228" s="186"/>
      <c r="M228" s="186"/>
      <c r="N228" s="189"/>
      <c r="O228" s="186"/>
      <c r="P228" s="186"/>
    </row>
    <row r="229" ht="36.75" customHeight="1">
      <c r="A229" s="186">
        <v>2.0</v>
      </c>
      <c r="B229" s="186"/>
      <c r="C229" s="186"/>
      <c r="D229" s="186"/>
      <c r="E229" s="186"/>
      <c r="F229" s="186"/>
      <c r="G229" s="186"/>
      <c r="H229" s="186"/>
      <c r="I229" s="225"/>
      <c r="J229" s="191"/>
      <c r="K229" s="186"/>
      <c r="L229" s="186"/>
      <c r="M229" s="186"/>
      <c r="N229" s="190"/>
      <c r="O229" s="186"/>
      <c r="P229" s="186"/>
    </row>
    <row r="230" ht="30.75" customHeight="1">
      <c r="A230" s="228">
        <v>135.0</v>
      </c>
      <c r="B230" s="186"/>
      <c r="C230" s="186"/>
      <c r="D230" s="186"/>
      <c r="E230" s="189"/>
      <c r="F230" s="186"/>
      <c r="G230" s="186"/>
      <c r="H230" s="186"/>
      <c r="I230" s="225"/>
      <c r="J230" s="191"/>
      <c r="K230" s="186"/>
      <c r="L230" s="189"/>
      <c r="M230" s="186"/>
      <c r="N230" s="189"/>
      <c r="O230" s="186"/>
      <c r="P230" s="186"/>
    </row>
    <row r="231" ht="30.75" customHeight="1">
      <c r="A231" s="228">
        <v>136.0</v>
      </c>
      <c r="B231" s="186"/>
      <c r="C231" s="186"/>
      <c r="D231" s="186"/>
      <c r="E231" s="189"/>
      <c r="F231" s="186"/>
      <c r="G231" s="186"/>
      <c r="H231" s="186"/>
      <c r="I231" s="225"/>
      <c r="J231" s="191"/>
      <c r="K231" s="186"/>
      <c r="L231" s="189"/>
      <c r="M231" s="186"/>
      <c r="N231" s="189"/>
      <c r="O231" s="186"/>
      <c r="P231" s="186"/>
    </row>
    <row r="232" ht="30.75" customHeight="1">
      <c r="A232" s="228">
        <v>137.0</v>
      </c>
      <c r="B232" s="186"/>
      <c r="C232" s="186"/>
      <c r="D232" s="186"/>
      <c r="E232" s="189"/>
      <c r="F232" s="186"/>
      <c r="G232" s="186"/>
      <c r="H232" s="186"/>
      <c r="I232" s="225"/>
      <c r="J232" s="191"/>
      <c r="K232" s="186"/>
      <c r="L232" s="189"/>
      <c r="M232" s="186"/>
      <c r="N232" s="189"/>
      <c r="O232" s="186"/>
      <c r="P232" s="186"/>
    </row>
    <row r="233" ht="36.75" customHeight="1">
      <c r="A233" s="186">
        <v>15.0</v>
      </c>
      <c r="B233" s="187"/>
      <c r="C233" s="186"/>
      <c r="D233" s="186"/>
      <c r="E233" s="186"/>
      <c r="F233" s="186"/>
      <c r="G233" s="186"/>
      <c r="H233" s="186"/>
      <c r="I233" s="188"/>
      <c r="J233" s="188"/>
      <c r="K233" s="186"/>
      <c r="L233" s="186"/>
      <c r="M233" s="186"/>
      <c r="N233" s="189"/>
      <c r="O233" s="186"/>
      <c r="P233" s="186"/>
    </row>
    <row r="234" ht="36.75" customHeight="1">
      <c r="A234" s="186">
        <v>16.0</v>
      </c>
      <c r="B234" s="189"/>
      <c r="C234" s="186"/>
      <c r="D234" s="186"/>
      <c r="E234" s="186"/>
      <c r="F234" s="186"/>
      <c r="G234" s="186"/>
      <c r="H234" s="186"/>
      <c r="I234" s="225"/>
      <c r="J234" s="191"/>
      <c r="K234" s="186"/>
      <c r="L234" s="189"/>
      <c r="M234" s="186"/>
      <c r="N234" s="189"/>
      <c r="O234" s="189"/>
      <c r="P234" s="186"/>
    </row>
    <row r="235" ht="30.75" customHeight="1">
      <c r="A235" s="228">
        <v>138.0</v>
      </c>
      <c r="B235" s="389"/>
      <c r="C235" s="186"/>
      <c r="D235" s="390"/>
      <c r="E235" s="186"/>
      <c r="F235" s="186"/>
      <c r="G235" s="186"/>
      <c r="H235" s="186"/>
      <c r="I235" s="188"/>
      <c r="J235" s="188"/>
      <c r="K235" s="186"/>
      <c r="L235" s="186"/>
      <c r="M235" s="186"/>
      <c r="N235" s="189"/>
      <c r="O235" s="186"/>
      <c r="P235" s="201"/>
    </row>
    <row r="236" ht="30.75" customHeight="1">
      <c r="A236" s="228">
        <v>139.0</v>
      </c>
      <c r="B236" s="187"/>
      <c r="C236" s="186"/>
      <c r="D236" s="186"/>
      <c r="E236" s="186"/>
      <c r="F236" s="186"/>
      <c r="G236" s="186"/>
      <c r="H236" s="186"/>
      <c r="I236" s="188"/>
      <c r="J236" s="186"/>
      <c r="K236" s="186"/>
      <c r="L236" s="186"/>
      <c r="M236" s="186"/>
      <c r="N236" s="189"/>
      <c r="O236" s="186"/>
      <c r="P236" s="186"/>
    </row>
    <row r="237" ht="30.75" customHeight="1">
      <c r="A237" s="228">
        <v>140.0</v>
      </c>
      <c r="B237" s="189"/>
      <c r="C237" s="186"/>
      <c r="D237" s="186"/>
      <c r="E237" s="189"/>
      <c r="F237" s="186"/>
      <c r="G237" s="186"/>
      <c r="H237" s="186"/>
      <c r="I237" s="225"/>
      <c r="J237" s="191"/>
      <c r="K237" s="186"/>
      <c r="L237" s="189"/>
      <c r="M237" s="186"/>
      <c r="N237" s="189"/>
      <c r="O237" s="189"/>
      <c r="P237" s="186"/>
    </row>
    <row r="238" ht="30.75" customHeight="1">
      <c r="A238" s="228">
        <v>141.0</v>
      </c>
      <c r="B238" s="187"/>
      <c r="C238" s="186"/>
      <c r="D238" s="186"/>
      <c r="E238" s="186"/>
      <c r="F238" s="186"/>
      <c r="G238" s="186"/>
      <c r="H238" s="186"/>
      <c r="I238" s="188"/>
      <c r="J238" s="188"/>
      <c r="K238" s="186"/>
      <c r="L238" s="186"/>
      <c r="M238" s="186"/>
      <c r="N238" s="189"/>
      <c r="O238" s="186"/>
      <c r="P238" s="186"/>
    </row>
    <row r="239" ht="30.75" customHeight="1">
      <c r="A239" s="228">
        <v>142.0</v>
      </c>
      <c r="B239" s="186"/>
      <c r="C239" s="186"/>
      <c r="D239" s="186"/>
      <c r="E239" s="189"/>
      <c r="F239" s="186"/>
      <c r="G239" s="186"/>
      <c r="H239" s="186"/>
      <c r="I239" s="225"/>
      <c r="J239" s="191"/>
      <c r="K239" s="186"/>
      <c r="L239" s="189"/>
      <c r="M239" s="186"/>
      <c r="N239" s="189"/>
      <c r="O239" s="186"/>
      <c r="P239" s="186"/>
    </row>
    <row r="240" ht="30.75" customHeight="1">
      <c r="A240" s="228">
        <v>143.0</v>
      </c>
      <c r="B240" s="189"/>
      <c r="C240" s="186"/>
      <c r="D240" s="186"/>
      <c r="E240" s="189"/>
      <c r="F240" s="186"/>
      <c r="G240" s="189"/>
      <c r="H240" s="186"/>
      <c r="I240" s="225"/>
      <c r="J240" s="191"/>
      <c r="K240" s="189"/>
      <c r="L240" s="189"/>
      <c r="M240" s="186"/>
      <c r="N240" s="189"/>
      <c r="O240" s="189"/>
      <c r="P240" s="186"/>
    </row>
    <row r="241" ht="30.75" customHeight="1">
      <c r="A241" s="228">
        <v>144.0</v>
      </c>
      <c r="B241" s="187"/>
      <c r="C241" s="186"/>
      <c r="D241" s="186"/>
      <c r="E241" s="186"/>
      <c r="F241" s="186"/>
      <c r="G241" s="186"/>
      <c r="H241" s="186"/>
      <c r="I241" s="188"/>
      <c r="J241" s="188"/>
      <c r="K241" s="186"/>
      <c r="L241" s="186"/>
      <c r="M241" s="186"/>
      <c r="N241" s="189"/>
      <c r="O241" s="186"/>
      <c r="P241" s="201"/>
    </row>
    <row r="242" ht="30.75" customHeight="1">
      <c r="A242" s="228">
        <v>145.0</v>
      </c>
      <c r="B242" s="186"/>
      <c r="C242" s="186"/>
      <c r="D242" s="186"/>
      <c r="E242" s="189"/>
      <c r="F242" s="186"/>
      <c r="G242" s="186"/>
      <c r="H242" s="186"/>
      <c r="I242" s="225"/>
      <c r="J242" s="191"/>
      <c r="K242" s="186"/>
      <c r="L242" s="189"/>
      <c r="M242" s="186"/>
      <c r="N242" s="189"/>
      <c r="O242" s="186"/>
      <c r="P242" s="186"/>
    </row>
    <row r="243" ht="30.75" customHeight="1">
      <c r="A243" s="228">
        <v>146.0</v>
      </c>
      <c r="B243" s="389"/>
      <c r="C243" s="186"/>
      <c r="D243" s="390"/>
      <c r="E243" s="186"/>
      <c r="F243" s="186"/>
      <c r="G243" s="186"/>
      <c r="H243" s="186"/>
      <c r="I243" s="188"/>
      <c r="J243" s="188"/>
      <c r="K243" s="186"/>
      <c r="L243" s="186"/>
      <c r="M243" s="186"/>
      <c r="N243" s="189"/>
      <c r="O243" s="186"/>
      <c r="P243" s="201"/>
    </row>
    <row r="244" ht="30.75" customHeight="1">
      <c r="A244" s="228">
        <v>147.0</v>
      </c>
      <c r="B244" s="389"/>
      <c r="C244" s="186"/>
      <c r="D244" s="390"/>
      <c r="E244" s="186"/>
      <c r="F244" s="186"/>
      <c r="G244" s="186"/>
      <c r="H244" s="186"/>
      <c r="I244" s="188"/>
      <c r="J244" s="188"/>
      <c r="K244" s="186"/>
      <c r="L244" s="186"/>
      <c r="M244" s="186"/>
      <c r="N244" s="189"/>
      <c r="O244" s="186"/>
      <c r="P244" s="201"/>
    </row>
    <row r="245" ht="30.75" customHeight="1">
      <c r="A245" s="228">
        <v>148.0</v>
      </c>
      <c r="B245" s="187"/>
      <c r="C245" s="186"/>
      <c r="D245" s="186"/>
      <c r="E245" s="186"/>
      <c r="F245" s="186"/>
      <c r="G245" s="186"/>
      <c r="H245" s="186"/>
      <c r="I245" s="188"/>
      <c r="J245" s="188"/>
      <c r="K245" s="186"/>
      <c r="L245" s="186"/>
      <c r="M245" s="186"/>
      <c r="N245" s="189"/>
      <c r="O245" s="186"/>
      <c r="P245" s="186"/>
    </row>
    <row r="246" ht="30.75" customHeight="1">
      <c r="A246" s="228">
        <v>149.0</v>
      </c>
      <c r="B246" s="187"/>
      <c r="C246" s="186"/>
      <c r="D246" s="186"/>
      <c r="E246" s="186"/>
      <c r="F246" s="186"/>
      <c r="G246" s="186"/>
      <c r="H246" s="186"/>
      <c r="I246" s="188"/>
      <c r="J246" s="188"/>
      <c r="K246" s="186"/>
      <c r="L246" s="186"/>
      <c r="M246" s="186"/>
      <c r="N246" s="189"/>
      <c r="O246" s="186"/>
      <c r="P246" s="186"/>
    </row>
    <row r="247" ht="30.75" customHeight="1">
      <c r="A247" s="228">
        <v>150.0</v>
      </c>
      <c r="B247" s="187"/>
      <c r="C247" s="186"/>
      <c r="D247" s="186"/>
      <c r="E247" s="186"/>
      <c r="F247" s="186"/>
      <c r="G247" s="186"/>
      <c r="H247" s="186"/>
      <c r="I247" s="188"/>
      <c r="J247" s="188"/>
      <c r="K247" s="186"/>
      <c r="L247" s="186"/>
      <c r="M247" s="186"/>
      <c r="N247" s="189"/>
      <c r="O247" s="186"/>
      <c r="P247" s="186"/>
    </row>
    <row r="248" ht="30.75" customHeight="1">
      <c r="A248" s="228">
        <v>151.0</v>
      </c>
      <c r="B248" s="389"/>
      <c r="C248" s="186"/>
      <c r="D248" s="390"/>
      <c r="E248" s="186"/>
      <c r="F248" s="186"/>
      <c r="G248" s="186"/>
      <c r="H248" s="186"/>
      <c r="I248" s="188"/>
      <c r="J248" s="188"/>
      <c r="K248" s="186"/>
      <c r="L248" s="186"/>
      <c r="M248" s="186"/>
      <c r="N248" s="189"/>
      <c r="O248" s="186"/>
      <c r="P248" s="201"/>
    </row>
    <row r="249" ht="30.75" customHeight="1">
      <c r="A249" s="228">
        <v>152.0</v>
      </c>
      <c r="B249" s="187"/>
      <c r="C249" s="186"/>
      <c r="D249" s="186"/>
      <c r="E249" s="186"/>
      <c r="F249" s="186"/>
      <c r="G249" s="186"/>
      <c r="H249" s="186"/>
      <c r="I249" s="188"/>
      <c r="J249" s="188"/>
      <c r="K249" s="186"/>
      <c r="L249" s="186"/>
      <c r="M249" s="186"/>
      <c r="N249" s="189"/>
      <c r="O249" s="186"/>
      <c r="P249" s="186"/>
    </row>
    <row r="250" ht="30.75" customHeight="1">
      <c r="A250" s="228">
        <v>153.0</v>
      </c>
      <c r="B250" s="187"/>
      <c r="C250" s="186"/>
      <c r="D250" s="186"/>
      <c r="E250" s="186"/>
      <c r="F250" s="186"/>
      <c r="G250" s="186"/>
      <c r="H250" s="186"/>
      <c r="I250" s="188"/>
      <c r="J250" s="188"/>
      <c r="K250" s="186"/>
      <c r="L250" s="186"/>
      <c r="M250" s="186"/>
      <c r="N250" s="189"/>
      <c r="O250" s="186"/>
      <c r="P250" s="186"/>
    </row>
    <row r="251" ht="30.75" customHeight="1">
      <c r="A251" s="228">
        <v>154.0</v>
      </c>
      <c r="B251" s="389"/>
      <c r="C251" s="186"/>
      <c r="D251" s="390"/>
      <c r="E251" s="186"/>
      <c r="F251" s="186"/>
      <c r="G251" s="186"/>
      <c r="H251" s="186"/>
      <c r="I251" s="188"/>
      <c r="J251" s="188"/>
      <c r="K251" s="186"/>
      <c r="L251" s="186"/>
      <c r="M251" s="186"/>
      <c r="N251" s="189"/>
      <c r="O251" s="186"/>
      <c r="P251" s="201"/>
    </row>
    <row r="252" ht="30.75" customHeight="1">
      <c r="A252" s="228">
        <v>155.0</v>
      </c>
      <c r="B252" s="187"/>
      <c r="C252" s="186"/>
      <c r="D252" s="186"/>
      <c r="E252" s="186"/>
      <c r="F252" s="186"/>
      <c r="G252" s="186"/>
      <c r="H252" s="186"/>
      <c r="I252" s="188"/>
      <c r="J252" s="188"/>
      <c r="K252" s="186"/>
      <c r="L252" s="186"/>
      <c r="M252" s="186"/>
      <c r="N252" s="189"/>
      <c r="O252" s="186"/>
      <c r="P252" s="186"/>
    </row>
    <row r="253" ht="30.75" customHeight="1">
      <c r="A253" s="228">
        <v>156.0</v>
      </c>
      <c r="B253" s="187"/>
      <c r="C253" s="186"/>
      <c r="D253" s="186"/>
      <c r="E253" s="186"/>
      <c r="F253" s="186"/>
      <c r="G253" s="186"/>
      <c r="H253" s="186"/>
      <c r="I253" s="188"/>
      <c r="J253" s="188"/>
      <c r="K253" s="186"/>
      <c r="L253" s="186"/>
      <c r="M253" s="186"/>
      <c r="N253" s="189"/>
      <c r="O253" s="186"/>
      <c r="P253" s="186"/>
    </row>
    <row r="254" ht="30.75" customHeight="1">
      <c r="A254" s="228">
        <v>157.0</v>
      </c>
      <c r="B254" s="187"/>
      <c r="C254" s="186"/>
      <c r="D254" s="186"/>
      <c r="E254" s="186"/>
      <c r="F254" s="186"/>
      <c r="G254" s="186"/>
      <c r="H254" s="186"/>
      <c r="I254" s="188"/>
      <c r="J254" s="188"/>
      <c r="K254" s="186"/>
      <c r="L254" s="186"/>
      <c r="M254" s="186"/>
      <c r="N254" s="189"/>
      <c r="O254" s="186"/>
      <c r="P254" s="186"/>
    </row>
    <row r="255" ht="30.75" customHeight="1">
      <c r="A255" s="228">
        <v>158.0</v>
      </c>
      <c r="B255" s="389"/>
      <c r="C255" s="186"/>
      <c r="D255" s="390"/>
      <c r="E255" s="186"/>
      <c r="F255" s="186"/>
      <c r="G255" s="186"/>
      <c r="H255" s="186"/>
      <c r="I255" s="188"/>
      <c r="J255" s="188"/>
      <c r="K255" s="186"/>
      <c r="L255" s="186"/>
      <c r="M255" s="186"/>
      <c r="N255" s="189"/>
      <c r="O255" s="186"/>
      <c r="P255" s="201"/>
    </row>
    <row r="256" ht="30.75" customHeight="1">
      <c r="A256" s="228">
        <v>159.0</v>
      </c>
      <c r="B256" s="186"/>
      <c r="C256" s="186"/>
      <c r="D256" s="186"/>
      <c r="E256" s="189"/>
      <c r="F256" s="186"/>
      <c r="G256" s="186"/>
      <c r="H256" s="186"/>
      <c r="I256" s="225"/>
      <c r="J256" s="191"/>
      <c r="K256" s="186"/>
      <c r="L256" s="189"/>
      <c r="M256" s="186"/>
      <c r="N256" s="189"/>
      <c r="O256" s="186"/>
      <c r="P256" s="186"/>
    </row>
    <row r="257" ht="30.75" customHeight="1">
      <c r="A257" s="228">
        <v>160.0</v>
      </c>
      <c r="B257" s="187"/>
      <c r="C257" s="186"/>
      <c r="D257" s="186"/>
      <c r="E257" s="186"/>
      <c r="F257" s="186"/>
      <c r="G257" s="186"/>
      <c r="H257" s="186"/>
      <c r="I257" s="188"/>
      <c r="J257" s="188"/>
      <c r="K257" s="186"/>
      <c r="L257" s="186"/>
      <c r="M257" s="186"/>
      <c r="N257" s="189"/>
      <c r="O257" s="186"/>
      <c r="P257" s="186"/>
    </row>
    <row r="258" ht="30.75" customHeight="1">
      <c r="A258" s="228">
        <v>161.0</v>
      </c>
      <c r="B258" s="187"/>
      <c r="C258" s="186"/>
      <c r="D258" s="186"/>
      <c r="E258" s="186"/>
      <c r="F258" s="186"/>
      <c r="G258" s="186"/>
      <c r="H258" s="186"/>
      <c r="I258" s="188"/>
      <c r="J258" s="188"/>
      <c r="K258" s="186"/>
      <c r="L258" s="186"/>
      <c r="M258" s="186"/>
      <c r="N258" s="189"/>
      <c r="O258" s="186"/>
      <c r="P258" s="186"/>
    </row>
    <row r="259" ht="30.75" customHeight="1">
      <c r="A259" s="228">
        <v>162.0</v>
      </c>
      <c r="B259" s="189"/>
      <c r="C259" s="186"/>
      <c r="D259" s="186"/>
      <c r="E259" s="189"/>
      <c r="F259" s="186"/>
      <c r="G259" s="186"/>
      <c r="H259" s="186"/>
      <c r="I259" s="225"/>
      <c r="J259" s="191"/>
      <c r="K259" s="186"/>
      <c r="L259" s="189"/>
      <c r="M259" s="186"/>
      <c r="N259" s="189"/>
      <c r="O259" s="189"/>
      <c r="P259" s="186"/>
    </row>
    <row r="260" ht="30.75" customHeight="1">
      <c r="A260" s="228">
        <v>163.0</v>
      </c>
      <c r="B260" s="187"/>
      <c r="C260" s="186"/>
      <c r="D260" s="186"/>
      <c r="E260" s="186"/>
      <c r="F260" s="186"/>
      <c r="G260" s="186"/>
      <c r="H260" s="186"/>
      <c r="I260" s="188"/>
      <c r="J260" s="188"/>
      <c r="K260" s="186"/>
      <c r="L260" s="186"/>
      <c r="M260" s="186"/>
      <c r="N260" s="189"/>
      <c r="O260" s="186"/>
      <c r="P260" s="186"/>
    </row>
    <row r="261" ht="30.75" customHeight="1">
      <c r="A261" s="228">
        <v>164.0</v>
      </c>
      <c r="B261" s="186"/>
      <c r="C261" s="186"/>
      <c r="D261" s="186"/>
      <c r="E261" s="189"/>
      <c r="F261" s="186"/>
      <c r="G261" s="186"/>
      <c r="H261" s="186"/>
      <c r="I261" s="225"/>
      <c r="J261" s="191"/>
      <c r="K261" s="186"/>
      <c r="L261" s="189"/>
      <c r="M261" s="186"/>
      <c r="N261" s="189"/>
      <c r="O261" s="186"/>
      <c r="P261" s="186"/>
    </row>
    <row r="262" ht="30.75" customHeight="1">
      <c r="A262" s="228">
        <v>165.0</v>
      </c>
      <c r="B262" s="186"/>
      <c r="C262" s="186"/>
      <c r="D262" s="186"/>
      <c r="E262" s="189"/>
      <c r="F262" s="186"/>
      <c r="G262" s="186"/>
      <c r="H262" s="186"/>
      <c r="I262" s="225"/>
      <c r="J262" s="191"/>
      <c r="K262" s="186"/>
      <c r="L262" s="189"/>
      <c r="M262" s="186"/>
      <c r="N262" s="189"/>
      <c r="O262" s="186"/>
      <c r="P262" s="186"/>
    </row>
    <row r="263" ht="30.75" customHeight="1">
      <c r="A263" s="228">
        <v>166.0</v>
      </c>
      <c r="B263" s="189"/>
      <c r="C263" s="186"/>
      <c r="D263" s="186"/>
      <c r="E263" s="189"/>
      <c r="F263" s="186"/>
      <c r="G263" s="186"/>
      <c r="H263" s="186"/>
      <c r="I263" s="225"/>
      <c r="J263" s="191"/>
      <c r="K263" s="186"/>
      <c r="L263" s="189"/>
      <c r="M263" s="186"/>
      <c r="N263" s="189"/>
      <c r="O263" s="189"/>
      <c r="P263" s="186"/>
    </row>
    <row r="264" ht="30.75" customHeight="1">
      <c r="A264" s="228">
        <v>167.0</v>
      </c>
      <c r="B264" s="187"/>
      <c r="C264" s="186"/>
      <c r="D264" s="186"/>
      <c r="E264" s="186"/>
      <c r="F264" s="186"/>
      <c r="G264" s="186"/>
      <c r="H264" s="186"/>
      <c r="I264" s="188"/>
      <c r="J264" s="188"/>
      <c r="K264" s="186"/>
      <c r="L264" s="186"/>
      <c r="M264" s="186"/>
      <c r="N264" s="189"/>
      <c r="O264" s="186"/>
      <c r="P264" s="186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</row>
    <row r="1050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</row>
    <row r="105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</row>
    <row r="105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</row>
    <row r="1053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</row>
    <row r="1054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</row>
    <row r="105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</row>
    <row r="105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</row>
    <row r="1057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</row>
    <row r="1058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</row>
    <row r="1059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</row>
    <row r="1060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</row>
    <row r="106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</row>
    <row r="1062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</row>
    <row r="1063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</row>
    <row r="1064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</row>
    <row r="106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</row>
    <row r="106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</row>
    <row r="1067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</row>
    <row r="1068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</row>
    <row r="1069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</row>
    <row r="1070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</row>
    <row r="1071">
      <c r="A1071" s="192"/>
      <c r="B1071" s="192"/>
      <c r="C1071" s="192"/>
      <c r="D1071" s="192"/>
      <c r="E1071" s="192"/>
      <c r="F1071" s="192"/>
      <c r="G1071" s="192"/>
      <c r="H1071" s="192"/>
      <c r="I1071" s="192"/>
      <c r="J1071" s="192"/>
      <c r="K1071" s="192"/>
      <c r="L1071" s="192"/>
      <c r="M1071" s="192"/>
      <c r="N1071" s="192"/>
      <c r="O1071" s="192"/>
      <c r="P1071" s="192"/>
    </row>
    <row r="1072">
      <c r="A1072" s="192"/>
      <c r="B1072" s="192"/>
      <c r="C1072" s="192"/>
      <c r="D1072" s="192"/>
      <c r="E1072" s="192"/>
      <c r="F1072" s="192"/>
      <c r="G1072" s="192"/>
      <c r="H1072" s="192"/>
      <c r="I1072" s="192"/>
      <c r="J1072" s="192"/>
      <c r="K1072" s="192"/>
      <c r="L1072" s="192"/>
      <c r="M1072" s="192"/>
      <c r="N1072" s="192"/>
      <c r="O1072" s="192"/>
      <c r="P1072" s="192"/>
    </row>
    <row r="1073">
      <c r="A1073" s="192"/>
      <c r="B1073" s="192"/>
      <c r="C1073" s="192"/>
      <c r="D1073" s="192"/>
      <c r="E1073" s="192"/>
      <c r="F1073" s="192"/>
      <c r="G1073" s="192"/>
      <c r="H1073" s="192"/>
      <c r="I1073" s="192"/>
      <c r="J1073" s="192"/>
      <c r="K1073" s="192"/>
      <c r="L1073" s="192"/>
      <c r="M1073" s="192"/>
      <c r="N1073" s="192"/>
      <c r="O1073" s="192"/>
      <c r="P1073" s="192"/>
    </row>
    <row r="1074">
      <c r="A1074" s="192"/>
      <c r="B1074" s="192"/>
      <c r="C1074" s="192"/>
      <c r="D1074" s="192"/>
      <c r="E1074" s="192"/>
      <c r="F1074" s="192"/>
      <c r="G1074" s="192"/>
      <c r="H1074" s="192"/>
      <c r="I1074" s="192"/>
      <c r="J1074" s="192"/>
      <c r="K1074" s="192"/>
      <c r="L1074" s="192"/>
      <c r="M1074" s="192"/>
      <c r="N1074" s="192"/>
      <c r="O1074" s="192"/>
      <c r="P1074" s="192"/>
    </row>
    <row r="1075">
      <c r="A1075" s="192"/>
      <c r="B1075" s="192"/>
      <c r="C1075" s="192"/>
      <c r="D1075" s="192"/>
      <c r="E1075" s="192"/>
      <c r="F1075" s="192"/>
      <c r="G1075" s="192"/>
      <c r="H1075" s="192"/>
      <c r="I1075" s="192"/>
      <c r="J1075" s="192"/>
      <c r="K1075" s="192"/>
      <c r="L1075" s="192"/>
      <c r="M1075" s="192"/>
      <c r="N1075" s="192"/>
      <c r="O1075" s="192"/>
      <c r="P1075" s="192"/>
    </row>
    <row r="1076">
      <c r="A1076" s="192"/>
      <c r="B1076" s="192"/>
      <c r="C1076" s="192"/>
      <c r="D1076" s="192"/>
      <c r="E1076" s="192"/>
      <c r="F1076" s="192"/>
      <c r="G1076" s="192"/>
      <c r="H1076" s="192"/>
      <c r="I1076" s="192"/>
      <c r="J1076" s="192"/>
      <c r="K1076" s="192"/>
      <c r="L1076" s="192"/>
      <c r="M1076" s="192"/>
      <c r="N1076" s="192"/>
      <c r="O1076" s="192"/>
      <c r="P1076" s="192"/>
    </row>
    <row r="1077">
      <c r="A1077" s="192"/>
      <c r="B1077" s="192"/>
      <c r="C1077" s="192"/>
      <c r="D1077" s="192"/>
      <c r="E1077" s="192"/>
      <c r="F1077" s="192"/>
      <c r="G1077" s="192"/>
      <c r="H1077" s="192"/>
      <c r="I1077" s="192"/>
      <c r="J1077" s="192"/>
      <c r="K1077" s="192"/>
      <c r="L1077" s="192"/>
      <c r="M1077" s="192"/>
      <c r="N1077" s="192"/>
      <c r="O1077" s="192"/>
      <c r="P1077" s="192"/>
    </row>
    <row r="1078">
      <c r="A1078" s="192"/>
      <c r="B1078" s="192"/>
      <c r="C1078" s="192"/>
      <c r="D1078" s="192"/>
      <c r="E1078" s="192"/>
      <c r="F1078" s="192"/>
      <c r="G1078" s="192"/>
      <c r="H1078" s="192"/>
      <c r="I1078" s="192"/>
      <c r="J1078" s="192"/>
      <c r="K1078" s="192"/>
      <c r="L1078" s="192"/>
      <c r="M1078" s="192"/>
      <c r="N1078" s="192"/>
      <c r="O1078" s="192"/>
      <c r="P1078" s="192"/>
    </row>
    <row r="1079">
      <c r="A1079" s="192"/>
      <c r="B1079" s="192"/>
      <c r="C1079" s="192"/>
      <c r="D1079" s="192"/>
      <c r="E1079" s="192"/>
      <c r="F1079" s="192"/>
      <c r="G1079" s="192"/>
      <c r="H1079" s="192"/>
      <c r="I1079" s="192"/>
      <c r="J1079" s="192"/>
      <c r="K1079" s="192"/>
      <c r="L1079" s="192"/>
      <c r="M1079" s="192"/>
      <c r="N1079" s="192"/>
      <c r="O1079" s="192"/>
      <c r="P1079" s="192"/>
    </row>
    <row r="1080">
      <c r="A1080" s="192"/>
      <c r="B1080" s="192"/>
      <c r="C1080" s="192"/>
      <c r="D1080" s="192"/>
      <c r="E1080" s="192"/>
      <c r="F1080" s="192"/>
      <c r="G1080" s="192"/>
      <c r="H1080" s="192"/>
      <c r="I1080" s="192"/>
      <c r="J1080" s="192"/>
      <c r="K1080" s="192"/>
      <c r="L1080" s="192"/>
      <c r="M1080" s="192"/>
      <c r="N1080" s="192"/>
      <c r="O1080" s="192"/>
      <c r="P1080" s="192"/>
    </row>
    <row r="1081">
      <c r="A1081" s="192"/>
      <c r="B1081" s="192"/>
      <c r="C1081" s="192"/>
      <c r="D1081" s="192"/>
      <c r="E1081" s="192"/>
      <c r="F1081" s="192"/>
      <c r="G1081" s="192"/>
      <c r="H1081" s="192"/>
      <c r="I1081" s="192"/>
      <c r="J1081" s="192"/>
      <c r="K1081" s="192"/>
      <c r="L1081" s="192"/>
      <c r="M1081" s="192"/>
      <c r="N1081" s="192"/>
      <c r="O1081" s="192"/>
      <c r="P1081" s="192"/>
    </row>
    <row r="1082">
      <c r="A1082" s="192"/>
      <c r="B1082" s="192"/>
      <c r="C1082" s="192"/>
      <c r="D1082" s="192"/>
      <c r="E1082" s="192"/>
      <c r="F1082" s="192"/>
      <c r="G1082" s="192"/>
      <c r="H1082" s="192"/>
      <c r="I1082" s="192"/>
      <c r="J1082" s="192"/>
      <c r="K1082" s="192"/>
      <c r="L1082" s="192"/>
      <c r="M1082" s="192"/>
      <c r="N1082" s="192"/>
      <c r="O1082" s="192"/>
      <c r="P1082" s="192"/>
    </row>
    <row r="1083">
      <c r="A1083" s="192"/>
      <c r="B1083" s="192"/>
      <c r="C1083" s="192"/>
      <c r="D1083" s="192"/>
      <c r="E1083" s="192"/>
      <c r="F1083" s="192"/>
      <c r="G1083" s="192"/>
      <c r="H1083" s="192"/>
      <c r="I1083" s="192"/>
      <c r="J1083" s="192"/>
      <c r="K1083" s="192"/>
      <c r="L1083" s="192"/>
      <c r="M1083" s="192"/>
      <c r="N1083" s="192"/>
      <c r="O1083" s="192"/>
      <c r="P1083" s="192"/>
    </row>
    <row r="1084">
      <c r="A1084" s="192"/>
      <c r="B1084" s="192"/>
      <c r="C1084" s="192"/>
      <c r="D1084" s="192"/>
      <c r="E1084" s="192"/>
      <c r="F1084" s="192"/>
      <c r="G1084" s="192"/>
      <c r="H1084" s="192"/>
      <c r="I1084" s="192"/>
      <c r="J1084" s="192"/>
      <c r="K1084" s="192"/>
      <c r="L1084" s="192"/>
      <c r="M1084" s="192"/>
      <c r="N1084" s="192"/>
      <c r="O1084" s="192"/>
      <c r="P1084" s="192"/>
    </row>
    <row r="1085">
      <c r="A1085" s="192"/>
      <c r="B1085" s="192"/>
      <c r="C1085" s="192"/>
      <c r="D1085" s="192"/>
      <c r="E1085" s="192"/>
      <c r="F1085" s="192"/>
      <c r="G1085" s="192"/>
      <c r="H1085" s="192"/>
      <c r="I1085" s="192"/>
      <c r="J1085" s="192"/>
      <c r="K1085" s="192"/>
      <c r="L1085" s="192"/>
      <c r="M1085" s="192"/>
      <c r="N1085" s="192"/>
      <c r="O1085" s="192"/>
      <c r="P1085" s="192"/>
    </row>
    <row r="1086">
      <c r="A1086" s="192"/>
      <c r="B1086" s="192"/>
      <c r="C1086" s="192"/>
      <c r="D1086" s="192"/>
      <c r="E1086" s="192"/>
      <c r="F1086" s="192"/>
      <c r="G1086" s="192"/>
      <c r="H1086" s="192"/>
      <c r="I1086" s="192"/>
      <c r="J1086" s="192"/>
      <c r="K1086" s="192"/>
      <c r="L1086" s="192"/>
      <c r="M1086" s="192"/>
      <c r="N1086" s="192"/>
      <c r="O1086" s="192"/>
      <c r="P1086" s="192"/>
    </row>
    <row r="1087">
      <c r="A1087" s="192"/>
      <c r="B1087" s="192"/>
      <c r="C1087" s="192"/>
      <c r="D1087" s="192"/>
      <c r="E1087" s="192"/>
      <c r="F1087" s="192"/>
      <c r="G1087" s="192"/>
      <c r="H1087" s="192"/>
      <c r="I1087" s="192"/>
      <c r="J1087" s="192"/>
      <c r="K1087" s="192"/>
      <c r="L1087" s="192"/>
      <c r="M1087" s="192"/>
      <c r="N1087" s="192"/>
      <c r="O1087" s="192"/>
      <c r="P1087" s="192"/>
    </row>
    <row r="1088">
      <c r="A1088" s="192"/>
      <c r="B1088" s="192"/>
      <c r="C1088" s="192"/>
      <c r="D1088" s="192"/>
      <c r="E1088" s="192"/>
      <c r="F1088" s="192"/>
      <c r="G1088" s="192"/>
      <c r="H1088" s="192"/>
      <c r="I1088" s="192"/>
      <c r="J1088" s="192"/>
      <c r="K1088" s="192"/>
      <c r="L1088" s="192"/>
      <c r="M1088" s="192"/>
      <c r="N1088" s="192"/>
      <c r="O1088" s="192"/>
      <c r="P1088" s="192"/>
    </row>
    <row r="1089">
      <c r="A1089" s="192"/>
      <c r="B1089" s="192"/>
      <c r="C1089" s="192"/>
      <c r="D1089" s="192"/>
      <c r="E1089" s="192"/>
      <c r="F1089" s="192"/>
      <c r="G1089" s="192"/>
      <c r="H1089" s="192"/>
      <c r="I1089" s="192"/>
      <c r="J1089" s="192"/>
      <c r="K1089" s="192"/>
      <c r="L1089" s="192"/>
      <c r="M1089" s="192"/>
      <c r="N1089" s="192"/>
      <c r="O1089" s="192"/>
      <c r="P1089" s="192"/>
    </row>
    <row r="1090">
      <c r="A1090" s="192"/>
      <c r="B1090" s="192"/>
      <c r="C1090" s="192"/>
      <c r="D1090" s="192"/>
      <c r="E1090" s="192"/>
      <c r="F1090" s="192"/>
      <c r="G1090" s="192"/>
      <c r="H1090" s="192"/>
      <c r="I1090" s="192"/>
      <c r="J1090" s="192"/>
      <c r="K1090" s="192"/>
      <c r="L1090" s="192"/>
      <c r="M1090" s="192"/>
      <c r="N1090" s="192"/>
      <c r="O1090" s="192"/>
      <c r="P1090" s="192"/>
    </row>
    <row r="1091">
      <c r="A1091" s="192"/>
      <c r="B1091" s="192"/>
      <c r="C1091" s="192"/>
      <c r="D1091" s="192"/>
      <c r="E1091" s="192"/>
      <c r="F1091" s="192"/>
      <c r="G1091" s="192"/>
      <c r="H1091" s="192"/>
      <c r="I1091" s="192"/>
      <c r="J1091" s="192"/>
      <c r="K1091" s="192"/>
      <c r="L1091" s="192"/>
      <c r="M1091" s="192"/>
      <c r="N1091" s="192"/>
      <c r="O1091" s="192"/>
      <c r="P1091" s="192"/>
    </row>
    <row r="1092">
      <c r="A1092" s="192"/>
      <c r="B1092" s="192"/>
      <c r="C1092" s="192"/>
      <c r="D1092" s="192"/>
      <c r="E1092" s="192"/>
      <c r="F1092" s="192"/>
      <c r="G1092" s="192"/>
      <c r="H1092" s="192"/>
      <c r="I1092" s="192"/>
      <c r="J1092" s="192"/>
      <c r="K1092" s="192"/>
      <c r="L1092" s="192"/>
      <c r="M1092" s="192"/>
      <c r="N1092" s="192"/>
      <c r="O1092" s="192"/>
      <c r="P1092" s="192"/>
    </row>
    <row r="1093">
      <c r="A1093" s="192"/>
      <c r="B1093" s="192"/>
      <c r="C1093" s="192"/>
      <c r="D1093" s="192"/>
      <c r="E1093" s="192"/>
      <c r="F1093" s="192"/>
      <c r="G1093" s="192"/>
      <c r="H1093" s="192"/>
      <c r="I1093" s="192"/>
      <c r="J1093" s="192"/>
      <c r="K1093" s="192"/>
      <c r="L1093" s="192"/>
      <c r="M1093" s="192"/>
      <c r="N1093" s="192"/>
      <c r="O1093" s="192"/>
      <c r="P1093" s="192"/>
    </row>
    <row r="1094">
      <c r="A1094" s="192"/>
      <c r="B1094" s="192"/>
      <c r="C1094" s="192"/>
      <c r="D1094" s="192"/>
      <c r="E1094" s="192"/>
      <c r="F1094" s="192"/>
      <c r="G1094" s="192"/>
      <c r="H1094" s="192"/>
      <c r="I1094" s="192"/>
      <c r="J1094" s="192"/>
      <c r="K1094" s="192"/>
      <c r="L1094" s="192"/>
      <c r="M1094" s="192"/>
      <c r="N1094" s="192"/>
      <c r="O1094" s="192"/>
      <c r="P1094" s="192"/>
    </row>
    <row r="1095">
      <c r="A1095" s="192"/>
      <c r="B1095" s="192"/>
      <c r="C1095" s="192"/>
      <c r="D1095" s="192"/>
      <c r="E1095" s="192"/>
      <c r="F1095" s="192"/>
      <c r="G1095" s="192"/>
      <c r="H1095" s="192"/>
      <c r="I1095" s="192"/>
      <c r="J1095" s="192"/>
      <c r="K1095" s="192"/>
      <c r="L1095" s="192"/>
      <c r="M1095" s="192"/>
      <c r="N1095" s="192"/>
      <c r="O1095" s="192"/>
      <c r="P1095" s="192"/>
    </row>
    <row r="1096">
      <c r="A1096" s="192"/>
      <c r="B1096" s="192"/>
      <c r="C1096" s="192"/>
      <c r="D1096" s="192"/>
      <c r="E1096" s="192"/>
      <c r="F1096" s="192"/>
      <c r="G1096" s="192"/>
      <c r="H1096" s="192"/>
      <c r="I1096" s="192"/>
      <c r="J1096" s="192"/>
      <c r="K1096" s="192"/>
      <c r="L1096" s="192"/>
      <c r="M1096" s="192"/>
      <c r="N1096" s="192"/>
      <c r="O1096" s="192"/>
      <c r="P1096" s="192"/>
    </row>
    <row r="1097">
      <c r="A1097" s="192"/>
      <c r="B1097" s="192"/>
      <c r="C1097" s="192"/>
      <c r="D1097" s="192"/>
      <c r="E1097" s="192"/>
      <c r="F1097" s="192"/>
      <c r="G1097" s="192"/>
      <c r="H1097" s="192"/>
      <c r="I1097" s="192"/>
      <c r="J1097" s="192"/>
      <c r="K1097" s="192"/>
      <c r="L1097" s="192"/>
      <c r="M1097" s="192"/>
      <c r="N1097" s="192"/>
      <c r="O1097" s="192"/>
      <c r="P1097" s="192"/>
    </row>
    <row r="1098">
      <c r="A1098" s="192"/>
      <c r="B1098" s="192"/>
      <c r="C1098" s="192"/>
      <c r="D1098" s="192"/>
      <c r="E1098" s="192"/>
      <c r="F1098" s="192"/>
      <c r="G1098" s="192"/>
      <c r="H1098" s="192"/>
      <c r="I1098" s="192"/>
      <c r="J1098" s="192"/>
      <c r="K1098" s="192"/>
      <c r="L1098" s="192"/>
      <c r="M1098" s="192"/>
      <c r="N1098" s="192"/>
      <c r="O1098" s="192"/>
      <c r="P1098" s="192"/>
    </row>
    <row r="1099">
      <c r="A1099" s="192"/>
      <c r="B1099" s="192"/>
      <c r="C1099" s="192"/>
      <c r="D1099" s="192"/>
      <c r="E1099" s="192"/>
      <c r="F1099" s="192"/>
      <c r="G1099" s="192"/>
      <c r="H1099" s="192"/>
      <c r="I1099" s="192"/>
      <c r="J1099" s="192"/>
      <c r="K1099" s="192"/>
      <c r="L1099" s="192"/>
      <c r="M1099" s="192"/>
      <c r="N1099" s="192"/>
      <c r="O1099" s="192"/>
      <c r="P1099" s="192"/>
    </row>
    <row r="1100">
      <c r="A1100" s="192"/>
      <c r="B1100" s="192"/>
      <c r="C1100" s="192"/>
      <c r="D1100" s="192"/>
      <c r="E1100" s="192"/>
      <c r="F1100" s="192"/>
      <c r="G1100" s="192"/>
      <c r="H1100" s="192"/>
      <c r="I1100" s="192"/>
      <c r="J1100" s="192"/>
      <c r="K1100" s="192"/>
      <c r="L1100" s="192"/>
      <c r="M1100" s="192"/>
      <c r="N1100" s="192"/>
      <c r="O1100" s="192"/>
      <c r="P1100" s="192"/>
    </row>
    <row r="1101">
      <c r="A1101" s="192"/>
      <c r="B1101" s="192"/>
      <c r="C1101" s="192"/>
      <c r="D1101" s="192"/>
      <c r="E1101" s="192"/>
      <c r="F1101" s="192"/>
      <c r="G1101" s="192"/>
      <c r="H1101" s="192"/>
      <c r="I1101" s="192"/>
      <c r="J1101" s="192"/>
      <c r="K1101" s="192"/>
      <c r="L1101" s="192"/>
      <c r="M1101" s="192"/>
      <c r="N1101" s="192"/>
      <c r="O1101" s="192"/>
      <c r="P1101" s="192"/>
    </row>
    <row r="1102">
      <c r="A1102" s="192"/>
      <c r="B1102" s="192"/>
      <c r="C1102" s="192"/>
      <c r="D1102" s="192"/>
      <c r="E1102" s="192"/>
      <c r="F1102" s="192"/>
      <c r="G1102" s="192"/>
      <c r="H1102" s="192"/>
      <c r="I1102" s="192"/>
      <c r="J1102" s="192"/>
      <c r="K1102" s="192"/>
      <c r="L1102" s="192"/>
      <c r="M1102" s="192"/>
      <c r="N1102" s="192"/>
      <c r="O1102" s="192"/>
      <c r="P1102" s="192"/>
    </row>
    <row r="1103">
      <c r="A1103" s="192"/>
      <c r="B1103" s="192"/>
      <c r="C1103" s="192"/>
      <c r="D1103" s="192"/>
      <c r="E1103" s="192"/>
      <c r="F1103" s="192"/>
      <c r="G1103" s="192"/>
      <c r="H1103" s="192"/>
      <c r="I1103" s="192"/>
      <c r="J1103" s="192"/>
      <c r="K1103" s="192"/>
      <c r="L1103" s="192"/>
      <c r="M1103" s="192"/>
      <c r="N1103" s="192"/>
      <c r="O1103" s="192"/>
      <c r="P1103" s="192"/>
    </row>
  </sheetData>
  <mergeCells count="18">
    <mergeCell ref="B6:B7"/>
    <mergeCell ref="C6:C7"/>
    <mergeCell ref="D6:D7"/>
    <mergeCell ref="E6:E7"/>
    <mergeCell ref="F6:F7"/>
    <mergeCell ref="G6:G7"/>
    <mergeCell ref="H6:J6"/>
    <mergeCell ref="K6:N6"/>
    <mergeCell ref="O6:O7"/>
    <mergeCell ref="P6:P7"/>
    <mergeCell ref="A1:P1"/>
    <mergeCell ref="A2:P2"/>
    <mergeCell ref="E3:H3"/>
    <mergeCell ref="I3:L3"/>
    <mergeCell ref="A4:P4"/>
    <mergeCell ref="A5:P5"/>
    <mergeCell ref="A6:A7"/>
    <mergeCell ref="A16:P16"/>
  </mergeCells>
  <dataValidations>
    <dataValidation type="list" allowBlank="1" showErrorMessage="1" sqref="B8:B12 A13:B15 B17:B212 B213:C215 B216:B264">
      <formula1>"1CL,2CL,3CL,4CL"</formula1>
    </dataValidation>
    <dataValidation type="list" allowBlank="1" showErrorMessage="1" sqref="P215 P217:P234 P236:P240 P242 P245:P247 P249:P250 P252:P254 P256:P264">
      <formula1>"SERVED,ONGOING,CLEARED OUT"</formula1>
    </dataValidation>
    <dataValidation type="list" allowBlank="1" showErrorMessage="1" sqref="F8:F10 F17:F42 F44:F62 F64:F212 G213:G215 F216">
      <formula1>#REF!</formula1>
    </dataValidation>
    <dataValidation type="list" allowBlank="1" showErrorMessage="1" sqref="P8:P10 P12:P15 P17:P60 P62:P212 P216">
      <formula1>"SERVED,ONGOING,CONFINED"</formula1>
    </dataValidation>
    <dataValidation type="list" allowBlank="1" showErrorMessage="1" sqref="E8:E12 D13:D15 E17:E212 E213:F215 E216:E264">
      <formula1>"I,II,III"</formula1>
    </dataValidation>
    <dataValidation type="list" allowBlank="1" showErrorMessage="1" sqref="P11 P213:P214 P235 P241 P243:P244 P248 P251 P255">
      <formula1>"SERVED,ONGOING,CONFINED,ONGOING/CONFINED"</formula1>
    </dataValidation>
    <dataValidation type="list" allowBlank="1" sqref="F11 F217:F264">
      <formula1>SUMMARY!$E$10:$E$19</formula1>
    </dataValidation>
    <dataValidation type="list" allowBlank="1" showErrorMessage="1" sqref="P61">
      <formula1>"SERVED,ONGOING,CONFINED"</formula1>
    </dataValidation>
    <dataValidation type="list" allowBlank="1" showErrorMessage="1" sqref="F43 F63">
      <formula1>SUMMARY!$E$10:$E$19</formula1>
    </dataValidation>
    <dataValidation type="custom" allowBlank="1" showDropDown="1" sqref="M3:P3 I8:J12 I13:I15 I17:J212 J213:K215 I216:J264">
      <formula1>OR(NOT(ISERROR(DATEVALUE(I3))), AND(ISNUMBER(I3), LEFT(CELL("format", I3))="D"))</formula1>
    </dataValidation>
    <dataValidation type="list" allowBlank="1" showDropDown="1" showErrorMessage="1" sqref="H8:H12 G13:H15 H17:H212 H213:I215 H216:H264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25.75"/>
    <col customWidth="1" min="4" max="4" width="16.38"/>
    <col customWidth="1" min="5" max="5" width="118.88"/>
    <col customWidth="1" min="6" max="6" width="8.25"/>
    <col customWidth="1" min="7" max="7" width="31.75"/>
    <col customWidth="1" min="17" max="17" width="28.88"/>
  </cols>
  <sheetData>
    <row r="1">
      <c r="A1" s="512"/>
      <c r="R1" s="513"/>
      <c r="S1" s="513"/>
      <c r="T1" s="513"/>
      <c r="U1" s="513"/>
      <c r="V1" s="513"/>
      <c r="W1" s="513"/>
      <c r="X1" s="513"/>
      <c r="Y1" s="513"/>
      <c r="Z1" s="513"/>
      <c r="AA1" s="513"/>
      <c r="AB1" s="513"/>
      <c r="AC1" s="513"/>
      <c r="AD1" s="513"/>
      <c r="AE1" s="513"/>
      <c r="AF1" s="513"/>
      <c r="AG1" s="513"/>
    </row>
    <row r="2">
      <c r="A2" s="514" t="s">
        <v>1605</v>
      </c>
      <c r="R2" s="513"/>
      <c r="S2" s="513"/>
      <c r="T2" s="513"/>
      <c r="U2" s="513"/>
      <c r="V2" s="513"/>
      <c r="W2" s="513"/>
      <c r="X2" s="513"/>
      <c r="Y2" s="513"/>
      <c r="Z2" s="513"/>
      <c r="AA2" s="513"/>
      <c r="AB2" s="513"/>
      <c r="AC2" s="513"/>
      <c r="AD2" s="513"/>
      <c r="AE2" s="513"/>
      <c r="AF2" s="513"/>
      <c r="AG2" s="513"/>
    </row>
    <row r="3">
      <c r="A3" s="512" t="s">
        <v>72</v>
      </c>
      <c r="F3" s="515">
        <v>46146.0</v>
      </c>
      <c r="R3" s="513"/>
      <c r="S3" s="513"/>
      <c r="T3" s="513"/>
      <c r="U3" s="513"/>
      <c r="V3" s="513"/>
      <c r="W3" s="513"/>
      <c r="X3" s="513"/>
      <c r="Y3" s="513"/>
      <c r="Z3" s="513"/>
      <c r="AA3" s="513"/>
      <c r="AB3" s="513"/>
      <c r="AC3" s="513"/>
      <c r="AD3" s="513"/>
      <c r="AE3" s="513"/>
      <c r="AF3" s="513"/>
      <c r="AG3" s="513"/>
    </row>
    <row r="4">
      <c r="A4" s="514" t="s">
        <v>53</v>
      </c>
      <c r="R4" s="513"/>
      <c r="S4" s="513"/>
      <c r="T4" s="513"/>
      <c r="U4" s="513"/>
      <c r="V4" s="513"/>
      <c r="W4" s="513"/>
      <c r="X4" s="513"/>
      <c r="Y4" s="513"/>
      <c r="Z4" s="513"/>
      <c r="AA4" s="513"/>
      <c r="AB4" s="513"/>
      <c r="AC4" s="513"/>
      <c r="AD4" s="513"/>
      <c r="AE4" s="513"/>
      <c r="AF4" s="513"/>
      <c r="AG4" s="513"/>
    </row>
    <row r="5">
      <c r="A5" s="516" t="s">
        <v>54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7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</row>
    <row r="6">
      <c r="A6" s="517" t="s">
        <v>55</v>
      </c>
      <c r="B6" s="517" t="s">
        <v>56</v>
      </c>
      <c r="C6" s="517" t="s">
        <v>57</v>
      </c>
      <c r="D6" s="518" t="s">
        <v>1606</v>
      </c>
      <c r="E6" s="517" t="s">
        <v>58</v>
      </c>
      <c r="F6" s="517" t="s">
        <v>59</v>
      </c>
      <c r="G6" s="517" t="s">
        <v>60</v>
      </c>
      <c r="H6" s="518" t="s">
        <v>1607</v>
      </c>
      <c r="I6" s="519" t="s">
        <v>62</v>
      </c>
      <c r="J6" s="96"/>
      <c r="K6" s="97"/>
      <c r="L6" s="519" t="s">
        <v>63</v>
      </c>
      <c r="M6" s="96"/>
      <c r="N6" s="96"/>
      <c r="O6" s="97"/>
      <c r="P6" s="517" t="s">
        <v>64</v>
      </c>
      <c r="Q6" s="517" t="s">
        <v>65</v>
      </c>
      <c r="R6" s="513"/>
      <c r="S6" s="513"/>
      <c r="T6" s="513"/>
      <c r="U6" s="513"/>
      <c r="V6" s="513"/>
      <c r="W6" s="513"/>
      <c r="X6" s="513"/>
      <c r="Y6" s="513"/>
      <c r="Z6" s="513"/>
      <c r="AA6" s="513"/>
      <c r="AB6" s="513"/>
      <c r="AC6" s="513"/>
      <c r="AD6" s="513"/>
      <c r="AE6" s="513"/>
      <c r="AF6" s="513"/>
      <c r="AG6" s="513"/>
    </row>
    <row r="7">
      <c r="A7" s="68"/>
      <c r="B7" s="68"/>
      <c r="C7" s="68"/>
      <c r="D7" s="68"/>
      <c r="E7" s="68"/>
      <c r="F7" s="68"/>
      <c r="G7" s="68"/>
      <c r="H7" s="68"/>
      <c r="I7" s="520" t="s">
        <v>66</v>
      </c>
      <c r="J7" s="520" t="s">
        <v>67</v>
      </c>
      <c r="K7" s="520" t="s">
        <v>68</v>
      </c>
      <c r="L7" s="520" t="s">
        <v>30</v>
      </c>
      <c r="M7" s="520" t="s">
        <v>69</v>
      </c>
      <c r="N7" s="520" t="s">
        <v>70</v>
      </c>
      <c r="O7" s="520" t="s">
        <v>71</v>
      </c>
      <c r="P7" s="68"/>
      <c r="Q7" s="68"/>
      <c r="R7" s="513"/>
      <c r="S7" s="513"/>
      <c r="T7" s="513"/>
      <c r="U7" s="513"/>
      <c r="V7" s="513"/>
      <c r="W7" s="513"/>
      <c r="X7" s="513"/>
      <c r="Y7" s="513"/>
      <c r="Z7" s="513"/>
      <c r="AA7" s="513"/>
      <c r="AB7" s="513"/>
      <c r="AC7" s="513"/>
      <c r="AD7" s="513"/>
      <c r="AE7" s="513"/>
      <c r="AF7" s="513"/>
      <c r="AG7" s="513"/>
    </row>
    <row r="8" ht="34.5" customHeight="1">
      <c r="A8" s="56"/>
      <c r="B8" s="56" t="s">
        <v>15</v>
      </c>
      <c r="C8" s="56" t="s">
        <v>136</v>
      </c>
      <c r="D8" s="56" t="s">
        <v>41</v>
      </c>
      <c r="E8" s="416" t="s">
        <v>1608</v>
      </c>
      <c r="F8" s="56" t="s">
        <v>35</v>
      </c>
      <c r="G8" s="201" t="s">
        <v>23</v>
      </c>
      <c r="H8" s="56" t="s">
        <v>1609</v>
      </c>
      <c r="I8" s="201" t="s">
        <v>76</v>
      </c>
      <c r="J8" s="439">
        <v>46045.0</v>
      </c>
      <c r="K8" s="521">
        <v>46065.0</v>
      </c>
      <c r="L8" s="56">
        <v>39.0</v>
      </c>
      <c r="M8" s="56"/>
      <c r="N8" s="56"/>
      <c r="O8" s="56">
        <f t="shared" ref="O8:O13" si="1">L8-M8-N8</f>
        <v>39</v>
      </c>
      <c r="P8" s="56" t="s">
        <v>1610</v>
      </c>
      <c r="Q8" s="201" t="s">
        <v>78</v>
      </c>
      <c r="R8" s="513"/>
      <c r="S8" s="513"/>
      <c r="T8" s="513"/>
      <c r="U8" s="513"/>
      <c r="V8" s="513"/>
      <c r="W8" s="513"/>
      <c r="X8" s="513"/>
      <c r="Y8" s="513"/>
      <c r="Z8" s="513"/>
      <c r="AA8" s="513"/>
      <c r="AB8" s="513"/>
      <c r="AC8" s="513"/>
      <c r="AD8" s="513"/>
      <c r="AE8" s="513"/>
      <c r="AF8" s="513"/>
      <c r="AG8" s="513"/>
    </row>
    <row r="9" ht="34.5" customHeight="1">
      <c r="A9" s="56">
        <f>A58+1</f>
        <v>3</v>
      </c>
      <c r="B9" s="56" t="s">
        <v>15</v>
      </c>
      <c r="C9" s="56" t="s">
        <v>1611</v>
      </c>
      <c r="D9" s="56" t="s">
        <v>44</v>
      </c>
      <c r="E9" s="56" t="s">
        <v>1612</v>
      </c>
      <c r="F9" s="56" t="s">
        <v>34</v>
      </c>
      <c r="G9" s="201" t="s">
        <v>23</v>
      </c>
      <c r="H9" s="56" t="s">
        <v>1613</v>
      </c>
      <c r="I9" s="201" t="s">
        <v>76</v>
      </c>
      <c r="J9" s="439">
        <v>46015.0</v>
      </c>
      <c r="K9" s="521">
        <v>45700.0</v>
      </c>
      <c r="L9" s="56">
        <v>65.0</v>
      </c>
      <c r="M9" s="56">
        <v>36.0</v>
      </c>
      <c r="N9" s="56">
        <v>29.0</v>
      </c>
      <c r="O9" s="56">
        <f t="shared" si="1"/>
        <v>0</v>
      </c>
      <c r="P9" s="56" t="s">
        <v>1614</v>
      </c>
      <c r="Q9" s="201" t="s">
        <v>70</v>
      </c>
      <c r="R9" s="513"/>
      <c r="S9" s="513"/>
      <c r="T9" s="513"/>
      <c r="U9" s="513"/>
      <c r="V9" s="513"/>
      <c r="W9" s="513"/>
      <c r="X9" s="513"/>
      <c r="Y9" s="513"/>
      <c r="Z9" s="513"/>
      <c r="AA9" s="513"/>
      <c r="AB9" s="513"/>
      <c r="AC9" s="513"/>
      <c r="AD9" s="513"/>
      <c r="AE9" s="513"/>
      <c r="AF9" s="513"/>
      <c r="AG9" s="513"/>
    </row>
    <row r="10" ht="34.5" customHeight="1">
      <c r="A10" s="56"/>
      <c r="B10" s="56" t="s">
        <v>16</v>
      </c>
      <c r="C10" s="56" t="s">
        <v>1615</v>
      </c>
      <c r="D10" s="56" t="s">
        <v>40</v>
      </c>
      <c r="E10" s="276" t="s">
        <v>1616</v>
      </c>
      <c r="F10" s="56" t="s">
        <v>33</v>
      </c>
      <c r="G10" s="201" t="s">
        <v>23</v>
      </c>
      <c r="H10" s="56" t="s">
        <v>1617</v>
      </c>
      <c r="I10" s="201" t="s">
        <v>76</v>
      </c>
      <c r="J10" s="439">
        <v>46045.0</v>
      </c>
      <c r="K10" s="521">
        <v>46226.0</v>
      </c>
      <c r="L10" s="56">
        <v>181.0</v>
      </c>
      <c r="M10" s="56">
        <v>0.0</v>
      </c>
      <c r="N10" s="56">
        <v>163.0</v>
      </c>
      <c r="O10" s="56">
        <f t="shared" si="1"/>
        <v>18</v>
      </c>
      <c r="P10" s="56" t="s">
        <v>1610</v>
      </c>
      <c r="Q10" s="201" t="s">
        <v>78</v>
      </c>
      <c r="R10" s="513"/>
      <c r="S10" s="513"/>
      <c r="T10" s="513"/>
      <c r="U10" s="513"/>
      <c r="V10" s="513"/>
      <c r="W10" s="513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</row>
    <row r="11" ht="37.5" customHeight="1">
      <c r="A11" s="56" t="str">
        <f>A75+1</f>
        <v>#REF!</v>
      </c>
      <c r="B11" s="56" t="s">
        <v>16</v>
      </c>
      <c r="C11" s="56" t="s">
        <v>155</v>
      </c>
      <c r="D11" s="56" t="s">
        <v>41</v>
      </c>
      <c r="E11" s="56" t="s">
        <v>1618</v>
      </c>
      <c r="F11" s="56" t="s">
        <v>34</v>
      </c>
      <c r="G11" s="201" t="s">
        <v>22</v>
      </c>
      <c r="H11" s="56" t="s">
        <v>1619</v>
      </c>
      <c r="I11" s="201" t="s">
        <v>76</v>
      </c>
      <c r="J11" s="439">
        <v>45940.0</v>
      </c>
      <c r="K11" s="521">
        <v>45755.0</v>
      </c>
      <c r="L11" s="56">
        <v>180.0</v>
      </c>
      <c r="M11" s="56">
        <v>0.0</v>
      </c>
      <c r="N11" s="56">
        <v>180.0</v>
      </c>
      <c r="O11" s="56">
        <f t="shared" si="1"/>
        <v>0</v>
      </c>
      <c r="P11" s="201" t="s">
        <v>1620</v>
      </c>
      <c r="Q11" s="201" t="s">
        <v>100</v>
      </c>
      <c r="R11" s="513"/>
      <c r="S11" s="513"/>
      <c r="T11" s="513"/>
      <c r="U11" s="513"/>
      <c r="V11" s="513"/>
      <c r="W11" s="513"/>
      <c r="X11" s="513"/>
      <c r="Y11" s="513"/>
      <c r="Z11" s="513"/>
      <c r="AA11" s="513"/>
      <c r="AB11" s="513"/>
      <c r="AC11" s="513"/>
      <c r="AD11" s="513"/>
      <c r="AE11" s="513"/>
      <c r="AF11" s="513"/>
      <c r="AG11" s="513"/>
    </row>
    <row r="12" ht="37.5" customHeight="1">
      <c r="A12" s="56" t="str">
        <f>A11+1</f>
        <v>#REF!</v>
      </c>
      <c r="B12" s="208" t="s">
        <v>16</v>
      </c>
      <c r="C12" s="208" t="s">
        <v>155</v>
      </c>
      <c r="D12" s="215" t="s">
        <v>41</v>
      </c>
      <c r="E12" s="150" t="s">
        <v>1621</v>
      </c>
      <c r="F12" s="208" t="s">
        <v>35</v>
      </c>
      <c r="G12" s="208" t="s">
        <v>20</v>
      </c>
      <c r="H12" s="205" t="s">
        <v>1622</v>
      </c>
      <c r="I12" s="208" t="s">
        <v>76</v>
      </c>
      <c r="J12" s="209">
        <v>45960.0</v>
      </c>
      <c r="K12" s="209">
        <v>45975.0</v>
      </c>
      <c r="L12" s="208">
        <v>15.0</v>
      </c>
      <c r="M12" s="221">
        <v>0.0</v>
      </c>
      <c r="N12" s="205">
        <v>15.0</v>
      </c>
      <c r="O12" s="56">
        <f t="shared" si="1"/>
        <v>0</v>
      </c>
      <c r="P12" s="221" t="s">
        <v>1623</v>
      </c>
      <c r="Q12" s="205" t="s">
        <v>70</v>
      </c>
      <c r="R12" s="513"/>
      <c r="S12" s="513"/>
      <c r="T12" s="513"/>
      <c r="U12" s="513"/>
      <c r="V12" s="513"/>
      <c r="W12" s="513"/>
      <c r="X12" s="513"/>
      <c r="Y12" s="513"/>
      <c r="Z12" s="513"/>
      <c r="AA12" s="513"/>
      <c r="AB12" s="513"/>
      <c r="AC12" s="513"/>
      <c r="AD12" s="513"/>
      <c r="AE12" s="513"/>
      <c r="AF12" s="513"/>
      <c r="AG12" s="513"/>
    </row>
    <row r="13" ht="39.75" customHeight="1">
      <c r="A13" s="56" t="str">
        <f>#REF!+1</f>
        <v>#REF!</v>
      </c>
      <c r="B13" s="56" t="s">
        <v>16</v>
      </c>
      <c r="C13" s="56" t="s">
        <v>648</v>
      </c>
      <c r="D13" s="416" t="s">
        <v>43</v>
      </c>
      <c r="E13" s="522" t="s">
        <v>1624</v>
      </c>
      <c r="F13" s="56" t="s">
        <v>34</v>
      </c>
      <c r="G13" s="201" t="s">
        <v>23</v>
      </c>
      <c r="H13" s="56" t="s">
        <v>1625</v>
      </c>
      <c r="I13" s="201" t="s">
        <v>76</v>
      </c>
      <c r="J13" s="439">
        <v>45960.0</v>
      </c>
      <c r="K13" s="521">
        <v>45735.0</v>
      </c>
      <c r="L13" s="56">
        <v>140.0</v>
      </c>
      <c r="M13" s="59"/>
      <c r="N13" s="56">
        <v>140.0</v>
      </c>
      <c r="O13" s="56">
        <f t="shared" si="1"/>
        <v>0</v>
      </c>
      <c r="P13" s="56" t="s">
        <v>1623</v>
      </c>
      <c r="Q13" s="201" t="s">
        <v>70</v>
      </c>
      <c r="R13" s="513"/>
      <c r="S13" s="513"/>
      <c r="T13" s="513"/>
      <c r="U13" s="513"/>
      <c r="V13" s="513"/>
      <c r="W13" s="513"/>
      <c r="X13" s="513"/>
      <c r="Y13" s="513"/>
      <c r="Z13" s="513"/>
      <c r="AA13" s="513"/>
      <c r="AB13" s="513"/>
      <c r="AC13" s="513"/>
      <c r="AD13" s="513"/>
      <c r="AE13" s="513"/>
      <c r="AF13" s="513"/>
      <c r="AG13" s="513"/>
    </row>
    <row r="14" ht="39.75" customHeight="1">
      <c r="A14" s="56"/>
      <c r="B14" s="56" t="s">
        <v>16</v>
      </c>
      <c r="C14" s="56" t="s">
        <v>648</v>
      </c>
      <c r="D14" s="416" t="s">
        <v>43</v>
      </c>
      <c r="E14" s="522" t="s">
        <v>1626</v>
      </c>
      <c r="F14" s="56" t="s">
        <v>35</v>
      </c>
      <c r="G14" s="201" t="s">
        <v>21</v>
      </c>
      <c r="H14" s="523">
        <v>45934.0</v>
      </c>
      <c r="I14" s="201" t="s">
        <v>76</v>
      </c>
      <c r="J14" s="439">
        <v>45736.0</v>
      </c>
      <c r="K14" s="521">
        <v>45740.0</v>
      </c>
      <c r="L14" s="56">
        <v>10.0</v>
      </c>
      <c r="M14" s="59"/>
      <c r="N14" s="56">
        <v>10.0</v>
      </c>
      <c r="O14" s="56">
        <v>0.0</v>
      </c>
      <c r="P14" s="59"/>
      <c r="Q14" s="201" t="s">
        <v>70</v>
      </c>
      <c r="R14" s="513"/>
      <c r="S14" s="513"/>
      <c r="T14" s="513"/>
      <c r="U14" s="513"/>
      <c r="V14" s="513"/>
      <c r="W14" s="513"/>
      <c r="X14" s="513"/>
      <c r="Y14" s="513"/>
      <c r="Z14" s="513"/>
      <c r="AA14" s="513"/>
      <c r="AB14" s="513"/>
      <c r="AC14" s="513"/>
      <c r="AD14" s="513"/>
      <c r="AE14" s="513"/>
      <c r="AF14" s="513"/>
      <c r="AG14" s="513"/>
    </row>
    <row r="15" ht="37.5" customHeight="1">
      <c r="A15" s="56" t="str">
        <f>A12+1</f>
        <v>#REF!</v>
      </c>
      <c r="B15" s="56" t="s">
        <v>16</v>
      </c>
      <c r="C15" s="56" t="s">
        <v>775</v>
      </c>
      <c r="D15" s="56" t="s">
        <v>43</v>
      </c>
      <c r="E15" s="56" t="s">
        <v>1627</v>
      </c>
      <c r="F15" s="56" t="s">
        <v>34</v>
      </c>
      <c r="G15" s="201" t="s">
        <v>23</v>
      </c>
      <c r="H15" s="56" t="s">
        <v>1628</v>
      </c>
      <c r="I15" s="201" t="s">
        <v>76</v>
      </c>
      <c r="J15" s="439">
        <v>45940.0</v>
      </c>
      <c r="K15" s="521">
        <v>45965.0</v>
      </c>
      <c r="L15" s="56">
        <v>40.0</v>
      </c>
      <c r="M15" s="59"/>
      <c r="N15" s="56">
        <v>40.0</v>
      </c>
      <c r="O15" s="56">
        <v>0.0</v>
      </c>
      <c r="P15" s="56" t="s">
        <v>1614</v>
      </c>
      <c r="Q15" s="201" t="s">
        <v>70</v>
      </c>
      <c r="R15" s="513"/>
      <c r="S15" s="513"/>
      <c r="T15" s="513"/>
      <c r="U15" s="513"/>
      <c r="V15" s="513"/>
      <c r="W15" s="513"/>
      <c r="X15" s="513"/>
      <c r="Y15" s="513"/>
      <c r="Z15" s="513"/>
      <c r="AA15" s="513"/>
      <c r="AB15" s="513"/>
      <c r="AC15" s="513"/>
      <c r="AD15" s="513"/>
      <c r="AE15" s="513"/>
      <c r="AF15" s="513"/>
      <c r="AG15" s="513"/>
    </row>
    <row r="16" ht="37.5" customHeight="1">
      <c r="A16" s="56"/>
      <c r="B16" s="56" t="s">
        <v>16</v>
      </c>
      <c r="C16" s="56" t="s">
        <v>777</v>
      </c>
      <c r="D16" s="416" t="s">
        <v>43</v>
      </c>
      <c r="E16" s="416" t="s">
        <v>1629</v>
      </c>
      <c r="F16" s="56" t="s">
        <v>35</v>
      </c>
      <c r="G16" s="201" t="s">
        <v>20</v>
      </c>
      <c r="H16" s="56" t="s">
        <v>1630</v>
      </c>
      <c r="I16" s="201" t="s">
        <v>76</v>
      </c>
      <c r="J16" s="439">
        <v>45960.0</v>
      </c>
      <c r="K16" s="521">
        <v>45970.0</v>
      </c>
      <c r="L16" s="56">
        <v>22.0</v>
      </c>
      <c r="M16" s="59"/>
      <c r="N16" s="56">
        <v>0.0</v>
      </c>
      <c r="O16" s="56">
        <f t="shared" ref="O16:O45" si="2">L16-M16-N16</f>
        <v>22</v>
      </c>
      <c r="P16" s="56" t="s">
        <v>1631</v>
      </c>
      <c r="Q16" s="201" t="s">
        <v>100</v>
      </c>
      <c r="R16" s="513"/>
      <c r="S16" s="513"/>
      <c r="T16" s="513"/>
      <c r="U16" s="513"/>
      <c r="V16" s="513"/>
      <c r="W16" s="513"/>
      <c r="X16" s="513"/>
      <c r="Y16" s="513"/>
      <c r="Z16" s="513"/>
      <c r="AA16" s="513"/>
      <c r="AB16" s="513"/>
      <c r="AC16" s="513"/>
      <c r="AD16" s="513"/>
      <c r="AE16" s="513"/>
      <c r="AF16" s="513"/>
      <c r="AG16" s="513"/>
    </row>
    <row r="17" ht="37.5" customHeight="1">
      <c r="A17" s="56" t="str">
        <f t="shared" ref="A17:A18" si="3">#REF!+1</f>
        <v>#REF!</v>
      </c>
      <c r="B17" s="56" t="s">
        <v>16</v>
      </c>
      <c r="C17" s="56" t="s">
        <v>842</v>
      </c>
      <c r="D17" s="416" t="s">
        <v>44</v>
      </c>
      <c r="E17" s="427" t="s">
        <v>1632</v>
      </c>
      <c r="F17" s="56" t="s">
        <v>34</v>
      </c>
      <c r="G17" s="201" t="s">
        <v>23</v>
      </c>
      <c r="H17" s="56" t="s">
        <v>1625</v>
      </c>
      <c r="I17" s="201" t="s">
        <v>76</v>
      </c>
      <c r="J17" s="439">
        <v>45960.0</v>
      </c>
      <c r="K17" s="521">
        <v>45735.0</v>
      </c>
      <c r="L17" s="56">
        <v>140.0</v>
      </c>
      <c r="M17" s="59"/>
      <c r="N17" s="56">
        <v>140.0</v>
      </c>
      <c r="O17" s="56">
        <f t="shared" si="2"/>
        <v>0</v>
      </c>
      <c r="P17" s="56" t="s">
        <v>1623</v>
      </c>
      <c r="Q17" s="201" t="s">
        <v>70</v>
      </c>
      <c r="R17" s="513"/>
      <c r="S17" s="513"/>
      <c r="T17" s="513"/>
      <c r="U17" s="513"/>
      <c r="V17" s="513"/>
      <c r="W17" s="513"/>
      <c r="X17" s="513"/>
      <c r="Y17" s="513"/>
      <c r="Z17" s="513"/>
      <c r="AA17" s="513"/>
      <c r="AB17" s="513"/>
      <c r="AC17" s="513"/>
      <c r="AD17" s="513"/>
      <c r="AE17" s="513"/>
      <c r="AF17" s="513"/>
      <c r="AG17" s="513"/>
    </row>
    <row r="18" ht="34.5" customHeight="1">
      <c r="A18" s="56" t="str">
        <f t="shared" si="3"/>
        <v>#REF!</v>
      </c>
      <c r="B18" s="56" t="s">
        <v>16</v>
      </c>
      <c r="C18" s="56" t="s">
        <v>896</v>
      </c>
      <c r="D18" s="56" t="s">
        <v>44</v>
      </c>
      <c r="E18" s="56" t="s">
        <v>1633</v>
      </c>
      <c r="F18" s="56" t="s">
        <v>34</v>
      </c>
      <c r="G18" s="201" t="s">
        <v>22</v>
      </c>
      <c r="H18" s="56" t="s">
        <v>1634</v>
      </c>
      <c r="I18" s="201" t="s">
        <v>76</v>
      </c>
      <c r="J18" s="439">
        <v>45980.0</v>
      </c>
      <c r="K18" s="439">
        <v>45765.0</v>
      </c>
      <c r="L18" s="56">
        <v>150.0</v>
      </c>
      <c r="M18" s="56">
        <v>0.0</v>
      </c>
      <c r="N18" s="56">
        <v>150.0</v>
      </c>
      <c r="O18" s="56">
        <f t="shared" si="2"/>
        <v>0</v>
      </c>
      <c r="P18" s="56" t="s">
        <v>1614</v>
      </c>
      <c r="Q18" s="201" t="s">
        <v>70</v>
      </c>
      <c r="R18" s="513"/>
      <c r="S18" s="513"/>
      <c r="T18" s="513"/>
      <c r="U18" s="513"/>
      <c r="V18" s="513"/>
      <c r="W18" s="513"/>
      <c r="X18" s="513"/>
      <c r="Y18" s="513"/>
      <c r="Z18" s="513"/>
      <c r="AA18" s="513"/>
      <c r="AB18" s="513"/>
      <c r="AC18" s="513"/>
      <c r="AD18" s="513"/>
      <c r="AE18" s="513"/>
      <c r="AF18" s="513"/>
      <c r="AG18" s="513"/>
    </row>
    <row r="19" ht="37.5" customHeight="1">
      <c r="A19" s="56" t="str">
        <f>A70+1</f>
        <v>#REF!</v>
      </c>
      <c r="B19" s="56" t="s">
        <v>16</v>
      </c>
      <c r="C19" s="56" t="s">
        <v>173</v>
      </c>
      <c r="D19" s="56" t="s">
        <v>45</v>
      </c>
      <c r="E19" s="56" t="s">
        <v>1635</v>
      </c>
      <c r="F19" s="56" t="s">
        <v>34</v>
      </c>
      <c r="G19" s="201" t="s">
        <v>21</v>
      </c>
      <c r="H19" s="56" t="s">
        <v>1619</v>
      </c>
      <c r="I19" s="201" t="s">
        <v>76</v>
      </c>
      <c r="J19" s="439">
        <v>45940.0</v>
      </c>
      <c r="K19" s="521">
        <v>45755.0</v>
      </c>
      <c r="L19" s="56">
        <v>180.0</v>
      </c>
      <c r="M19" s="59"/>
      <c r="N19" s="56">
        <v>180.0</v>
      </c>
      <c r="O19" s="56">
        <f t="shared" si="2"/>
        <v>0</v>
      </c>
      <c r="P19" s="56" t="s">
        <v>1614</v>
      </c>
      <c r="Q19" s="201" t="s">
        <v>70</v>
      </c>
      <c r="R19" s="513"/>
      <c r="S19" s="513"/>
      <c r="T19" s="513"/>
      <c r="U19" s="513"/>
      <c r="V19" s="513"/>
      <c r="W19" s="513"/>
      <c r="X19" s="513"/>
      <c r="Y19" s="513"/>
      <c r="Z19" s="513"/>
      <c r="AA19" s="513"/>
      <c r="AB19" s="513"/>
      <c r="AC19" s="513"/>
      <c r="AD19" s="513"/>
      <c r="AE19" s="513"/>
      <c r="AF19" s="513"/>
      <c r="AG19" s="513"/>
    </row>
    <row r="20" ht="37.5" customHeight="1">
      <c r="A20" s="56" t="str">
        <f>A19+1</f>
        <v>#REF!</v>
      </c>
      <c r="B20" s="56" t="s">
        <v>16</v>
      </c>
      <c r="C20" s="56" t="s">
        <v>173</v>
      </c>
      <c r="D20" s="56" t="s">
        <v>45</v>
      </c>
      <c r="E20" s="56" t="s">
        <v>1636</v>
      </c>
      <c r="F20" s="56" t="s">
        <v>34</v>
      </c>
      <c r="G20" s="201" t="s">
        <v>23</v>
      </c>
      <c r="H20" s="56" t="s">
        <v>1613</v>
      </c>
      <c r="I20" s="201" t="s">
        <v>76</v>
      </c>
      <c r="J20" s="439">
        <v>45755.0</v>
      </c>
      <c r="K20" s="521">
        <v>45805.0</v>
      </c>
      <c r="L20" s="56">
        <v>65.0</v>
      </c>
      <c r="M20" s="59"/>
      <c r="N20" s="56">
        <v>65.0</v>
      </c>
      <c r="O20" s="56">
        <f t="shared" si="2"/>
        <v>0</v>
      </c>
      <c r="P20" s="56" t="s">
        <v>1614</v>
      </c>
      <c r="Q20" s="201" t="s">
        <v>84</v>
      </c>
      <c r="R20" s="513"/>
      <c r="S20" s="513"/>
      <c r="T20" s="513"/>
      <c r="U20" s="513"/>
      <c r="V20" s="513"/>
      <c r="W20" s="513"/>
      <c r="X20" s="513"/>
      <c r="Y20" s="513"/>
      <c r="Z20" s="513"/>
      <c r="AA20" s="513"/>
      <c r="AB20" s="513"/>
      <c r="AC20" s="513"/>
      <c r="AD20" s="513"/>
      <c r="AE20" s="513"/>
      <c r="AF20" s="513"/>
      <c r="AG20" s="513"/>
    </row>
    <row r="21" ht="37.5" customHeight="1">
      <c r="A21" s="56"/>
      <c r="B21" s="56" t="s">
        <v>16</v>
      </c>
      <c r="C21" s="56" t="s">
        <v>1211</v>
      </c>
      <c r="D21" s="56" t="s">
        <v>45</v>
      </c>
      <c r="E21" s="56" t="s">
        <v>1637</v>
      </c>
      <c r="F21" s="56" t="s">
        <v>34</v>
      </c>
      <c r="G21" s="201" t="s">
        <v>21</v>
      </c>
      <c r="H21" s="56" t="s">
        <v>1628</v>
      </c>
      <c r="I21" s="201" t="s">
        <v>76</v>
      </c>
      <c r="J21" s="439">
        <v>46045.0</v>
      </c>
      <c r="K21" s="521">
        <v>46070.0</v>
      </c>
      <c r="L21" s="56">
        <v>40.0</v>
      </c>
      <c r="M21" s="59"/>
      <c r="N21" s="56">
        <v>40.0</v>
      </c>
      <c r="O21" s="56">
        <f t="shared" si="2"/>
        <v>0</v>
      </c>
      <c r="P21" s="56" t="s">
        <v>1610</v>
      </c>
      <c r="Q21" s="201" t="s">
        <v>70</v>
      </c>
      <c r="R21" s="513"/>
      <c r="S21" s="513"/>
      <c r="T21" s="513"/>
      <c r="U21" s="513"/>
      <c r="V21" s="513"/>
      <c r="W21" s="513"/>
      <c r="X21" s="513"/>
      <c r="Y21" s="513"/>
      <c r="Z21" s="513"/>
      <c r="AA21" s="513"/>
      <c r="AB21" s="513"/>
      <c r="AC21" s="513"/>
      <c r="AD21" s="513"/>
      <c r="AE21" s="513"/>
      <c r="AF21" s="513"/>
      <c r="AG21" s="513"/>
    </row>
    <row r="22" ht="39.75" customHeight="1">
      <c r="A22" s="56"/>
      <c r="B22" s="56" t="s">
        <v>17</v>
      </c>
      <c r="C22" s="56" t="s">
        <v>1638</v>
      </c>
      <c r="D22" s="56" t="s">
        <v>40</v>
      </c>
      <c r="E22" s="56" t="s">
        <v>1639</v>
      </c>
      <c r="F22" s="56" t="s">
        <v>35</v>
      </c>
      <c r="G22" s="201" t="s">
        <v>23</v>
      </c>
      <c r="H22" s="56" t="s">
        <v>1630</v>
      </c>
      <c r="I22" s="201" t="s">
        <v>76</v>
      </c>
      <c r="J22" s="439">
        <v>45985.0</v>
      </c>
      <c r="K22" s="439">
        <v>45995.0</v>
      </c>
      <c r="L22" s="56">
        <v>22.0</v>
      </c>
      <c r="M22" s="56">
        <v>0.0</v>
      </c>
      <c r="N22" s="56">
        <v>0.0</v>
      </c>
      <c r="O22" s="56">
        <f t="shared" si="2"/>
        <v>22</v>
      </c>
      <c r="P22" s="205" t="s">
        <v>1640</v>
      </c>
      <c r="Q22" s="201" t="s">
        <v>100</v>
      </c>
      <c r="R22" s="513"/>
      <c r="S22" s="513"/>
      <c r="T22" s="513"/>
      <c r="U22" s="513"/>
      <c r="V22" s="513"/>
      <c r="W22" s="513"/>
      <c r="X22" s="513"/>
      <c r="Y22" s="513"/>
      <c r="Z22" s="513"/>
      <c r="AA22" s="513"/>
      <c r="AB22" s="513"/>
      <c r="AC22" s="513"/>
      <c r="AD22" s="513"/>
      <c r="AE22" s="513"/>
      <c r="AF22" s="513"/>
      <c r="AG22" s="513"/>
    </row>
    <row r="23" ht="39.75" customHeight="1">
      <c r="A23" s="56"/>
      <c r="B23" s="56" t="s">
        <v>17</v>
      </c>
      <c r="C23" s="56" t="s">
        <v>1641</v>
      </c>
      <c r="D23" s="416" t="s">
        <v>41</v>
      </c>
      <c r="E23" s="416" t="s">
        <v>1642</v>
      </c>
      <c r="F23" s="56" t="s">
        <v>34</v>
      </c>
      <c r="G23" s="201" t="s">
        <v>23</v>
      </c>
      <c r="H23" s="56" t="s">
        <v>1628</v>
      </c>
      <c r="I23" s="201" t="s">
        <v>76</v>
      </c>
      <c r="J23" s="439">
        <v>46045.0</v>
      </c>
      <c r="K23" s="439">
        <v>46070.0</v>
      </c>
      <c r="L23" s="56">
        <v>40.0</v>
      </c>
      <c r="M23" s="56">
        <v>0.0</v>
      </c>
      <c r="N23" s="56">
        <v>0.0</v>
      </c>
      <c r="O23" s="56">
        <f t="shared" si="2"/>
        <v>40</v>
      </c>
      <c r="P23" s="205" t="s">
        <v>1610</v>
      </c>
      <c r="Q23" s="201" t="s">
        <v>78</v>
      </c>
      <c r="R23" s="513"/>
      <c r="S23" s="513"/>
      <c r="T23" s="513"/>
      <c r="U23" s="513"/>
      <c r="V23" s="513"/>
      <c r="W23" s="513"/>
      <c r="X23" s="513"/>
      <c r="Y23" s="513"/>
      <c r="Z23" s="513"/>
      <c r="AA23" s="513"/>
      <c r="AB23" s="513"/>
      <c r="AC23" s="513"/>
      <c r="AD23" s="513"/>
      <c r="AE23" s="513"/>
      <c r="AF23" s="513"/>
      <c r="AG23" s="513"/>
    </row>
    <row r="24" ht="34.5" customHeight="1">
      <c r="A24" s="56" t="str">
        <f>A25+1</f>
        <v>#REF!</v>
      </c>
      <c r="B24" s="56" t="s">
        <v>17</v>
      </c>
      <c r="C24" s="56" t="s">
        <v>1643</v>
      </c>
      <c r="D24" s="416" t="s">
        <v>42</v>
      </c>
      <c r="E24" s="524" t="s">
        <v>1644</v>
      </c>
      <c r="F24" s="56" t="s">
        <v>34</v>
      </c>
      <c r="G24" s="201" t="s">
        <v>23</v>
      </c>
      <c r="H24" s="56" t="s">
        <v>1645</v>
      </c>
      <c r="I24" s="201" t="s">
        <v>76</v>
      </c>
      <c r="J24" s="439">
        <v>45960.0</v>
      </c>
      <c r="K24" s="439">
        <v>45700.0</v>
      </c>
      <c r="L24" s="56">
        <v>110.0</v>
      </c>
      <c r="M24" s="59"/>
      <c r="N24" s="56">
        <v>110.0</v>
      </c>
      <c r="O24" s="56">
        <f t="shared" si="2"/>
        <v>0</v>
      </c>
      <c r="P24" s="56" t="s">
        <v>1623</v>
      </c>
      <c r="Q24" s="201" t="s">
        <v>70</v>
      </c>
      <c r="R24" s="513"/>
      <c r="S24" s="513"/>
      <c r="T24" s="513"/>
      <c r="U24" s="513"/>
      <c r="V24" s="513"/>
      <c r="W24" s="513"/>
      <c r="X24" s="513"/>
      <c r="Y24" s="513"/>
      <c r="Z24" s="513"/>
      <c r="AA24" s="513"/>
      <c r="AB24" s="513"/>
      <c r="AC24" s="513"/>
      <c r="AD24" s="513"/>
      <c r="AE24" s="513"/>
      <c r="AF24" s="513"/>
      <c r="AG24" s="513"/>
    </row>
    <row r="25" ht="34.5" customHeight="1">
      <c r="A25" s="56" t="str">
        <f>A27+1</f>
        <v>#REF!</v>
      </c>
      <c r="B25" s="56" t="s">
        <v>17</v>
      </c>
      <c r="C25" s="56" t="s">
        <v>400</v>
      </c>
      <c r="D25" s="56" t="s">
        <v>42</v>
      </c>
      <c r="E25" s="56" t="s">
        <v>1646</v>
      </c>
      <c r="F25" s="56" t="s">
        <v>34</v>
      </c>
      <c r="G25" s="201" t="s">
        <v>22</v>
      </c>
      <c r="H25" s="56" t="s">
        <v>1613</v>
      </c>
      <c r="I25" s="201" t="s">
        <v>76</v>
      </c>
      <c r="J25" s="439">
        <v>45940.0</v>
      </c>
      <c r="K25" s="439">
        <v>46021.0</v>
      </c>
      <c r="L25" s="56">
        <v>65.0</v>
      </c>
      <c r="M25" s="59"/>
      <c r="N25" s="56">
        <v>65.0</v>
      </c>
      <c r="O25" s="56">
        <f t="shared" si="2"/>
        <v>0</v>
      </c>
      <c r="P25" s="201" t="s">
        <v>1614</v>
      </c>
      <c r="Q25" s="201" t="s">
        <v>70</v>
      </c>
      <c r="R25" s="513"/>
      <c r="S25" s="513"/>
      <c r="T25" s="513"/>
      <c r="U25" s="513"/>
      <c r="V25" s="513"/>
      <c r="W25" s="513"/>
      <c r="X25" s="513"/>
      <c r="Y25" s="513"/>
      <c r="Z25" s="513"/>
      <c r="AA25" s="513"/>
      <c r="AB25" s="513"/>
      <c r="AC25" s="513"/>
      <c r="AD25" s="513"/>
      <c r="AE25" s="513"/>
      <c r="AF25" s="513"/>
      <c r="AG25" s="513"/>
    </row>
    <row r="26" ht="34.5" customHeight="1">
      <c r="A26" s="56"/>
      <c r="B26" s="56" t="s">
        <v>17</v>
      </c>
      <c r="C26" s="56" t="s">
        <v>293</v>
      </c>
      <c r="D26" s="56" t="s">
        <v>43</v>
      </c>
      <c r="E26" s="56" t="s">
        <v>1647</v>
      </c>
      <c r="F26" s="56" t="s">
        <v>35</v>
      </c>
      <c r="G26" s="201" t="s">
        <v>23</v>
      </c>
      <c r="H26" s="56" t="s">
        <v>1648</v>
      </c>
      <c r="I26" s="201" t="s">
        <v>76</v>
      </c>
      <c r="J26" s="439">
        <v>46045.0</v>
      </c>
      <c r="K26" s="439">
        <v>46063.0</v>
      </c>
      <c r="L26" s="56">
        <v>35.0</v>
      </c>
      <c r="M26" s="59"/>
      <c r="N26" s="56">
        <v>35.0</v>
      </c>
      <c r="O26" s="56">
        <f t="shared" si="2"/>
        <v>0</v>
      </c>
      <c r="P26" s="201" t="s">
        <v>1610</v>
      </c>
      <c r="Q26" s="201" t="s">
        <v>70</v>
      </c>
      <c r="R26" s="513"/>
      <c r="S26" s="513"/>
      <c r="T26" s="513"/>
      <c r="U26" s="513"/>
      <c r="V26" s="513"/>
      <c r="W26" s="513"/>
      <c r="X26" s="513"/>
      <c r="Y26" s="513"/>
      <c r="Z26" s="513"/>
      <c r="AA26" s="513"/>
      <c r="AB26" s="513"/>
      <c r="AC26" s="513"/>
      <c r="AD26" s="513"/>
      <c r="AE26" s="513"/>
      <c r="AF26" s="513"/>
      <c r="AG26" s="513"/>
    </row>
    <row r="27" ht="34.5" customHeight="1">
      <c r="A27" s="56" t="str">
        <f>A94+1</f>
        <v>#REF!</v>
      </c>
      <c r="B27" s="56" t="s">
        <v>17</v>
      </c>
      <c r="C27" s="56" t="s">
        <v>607</v>
      </c>
      <c r="D27" s="56" t="s">
        <v>43</v>
      </c>
      <c r="E27" s="56" t="s">
        <v>1649</v>
      </c>
      <c r="F27" s="56" t="s">
        <v>34</v>
      </c>
      <c r="G27" s="201" t="s">
        <v>23</v>
      </c>
      <c r="H27" s="56" t="s">
        <v>1625</v>
      </c>
      <c r="I27" s="201" t="s">
        <v>76</v>
      </c>
      <c r="J27" s="439">
        <v>45960.0</v>
      </c>
      <c r="K27" s="439">
        <v>45735.0</v>
      </c>
      <c r="L27" s="56">
        <v>140.0</v>
      </c>
      <c r="M27" s="59"/>
      <c r="N27" s="56">
        <v>140.0</v>
      </c>
      <c r="O27" s="56">
        <f t="shared" si="2"/>
        <v>0</v>
      </c>
      <c r="P27" s="56" t="s">
        <v>1623</v>
      </c>
      <c r="Q27" s="201" t="s">
        <v>70</v>
      </c>
      <c r="R27" s="513"/>
      <c r="S27" s="513"/>
      <c r="T27" s="513"/>
      <c r="U27" s="513"/>
      <c r="V27" s="513"/>
      <c r="W27" s="513"/>
      <c r="X27" s="513"/>
      <c r="Y27" s="513"/>
      <c r="Z27" s="513"/>
      <c r="AA27" s="513"/>
      <c r="AB27" s="513"/>
      <c r="AC27" s="513"/>
      <c r="AD27" s="513"/>
      <c r="AE27" s="513"/>
      <c r="AF27" s="513"/>
      <c r="AG27" s="513"/>
    </row>
    <row r="28" ht="34.5" customHeight="1">
      <c r="A28" s="56"/>
      <c r="B28" s="56" t="s">
        <v>17</v>
      </c>
      <c r="C28" s="56" t="s">
        <v>653</v>
      </c>
      <c r="D28" s="416" t="s">
        <v>43</v>
      </c>
      <c r="E28" s="416" t="s">
        <v>1650</v>
      </c>
      <c r="F28" s="56" t="s">
        <v>35</v>
      </c>
      <c r="G28" s="201" t="s">
        <v>21</v>
      </c>
      <c r="H28" s="523">
        <v>46299.0</v>
      </c>
      <c r="I28" s="201" t="s">
        <v>92</v>
      </c>
      <c r="J28" s="439">
        <v>46045.0</v>
      </c>
      <c r="K28" s="439">
        <v>46049.0</v>
      </c>
      <c r="L28" s="56">
        <v>10.0</v>
      </c>
      <c r="M28" s="59"/>
      <c r="N28" s="56">
        <v>10.0</v>
      </c>
      <c r="O28" s="56">
        <f t="shared" si="2"/>
        <v>0</v>
      </c>
      <c r="P28" s="56" t="s">
        <v>1610</v>
      </c>
      <c r="Q28" s="201" t="s">
        <v>70</v>
      </c>
      <c r="R28" s="513"/>
      <c r="S28" s="513"/>
      <c r="T28" s="513"/>
      <c r="U28" s="513"/>
      <c r="V28" s="513"/>
      <c r="W28" s="513"/>
      <c r="X28" s="513"/>
      <c r="Y28" s="513"/>
      <c r="Z28" s="513"/>
      <c r="AA28" s="513"/>
      <c r="AB28" s="513"/>
      <c r="AC28" s="513"/>
      <c r="AD28" s="513"/>
      <c r="AE28" s="513"/>
      <c r="AF28" s="513"/>
      <c r="AG28" s="513"/>
    </row>
    <row r="29" ht="35.25" customHeight="1">
      <c r="A29" s="56" t="str">
        <f>#REF!+1</f>
        <v>#REF!</v>
      </c>
      <c r="B29" s="56" t="s">
        <v>17</v>
      </c>
      <c r="C29" s="56" t="s">
        <v>1495</v>
      </c>
      <c r="D29" s="416" t="s">
        <v>47</v>
      </c>
      <c r="E29" s="524" t="s">
        <v>1651</v>
      </c>
      <c r="F29" s="56" t="s">
        <v>35</v>
      </c>
      <c r="G29" s="201" t="s">
        <v>21</v>
      </c>
      <c r="H29" s="56" t="s">
        <v>1630</v>
      </c>
      <c r="I29" s="201" t="s">
        <v>76</v>
      </c>
      <c r="J29" s="415">
        <v>45974.0</v>
      </c>
      <c r="K29" s="415">
        <v>45983.0</v>
      </c>
      <c r="L29" s="56">
        <v>22.0</v>
      </c>
      <c r="M29" s="56"/>
      <c r="N29" s="56">
        <v>9.0</v>
      </c>
      <c r="O29" s="56">
        <f t="shared" si="2"/>
        <v>13</v>
      </c>
      <c r="P29" s="201" t="s">
        <v>1652</v>
      </c>
      <c r="Q29" s="201" t="s">
        <v>70</v>
      </c>
      <c r="R29" s="513"/>
      <c r="S29" s="513"/>
      <c r="T29" s="513"/>
      <c r="U29" s="513"/>
      <c r="V29" s="513"/>
      <c r="W29" s="513"/>
      <c r="X29" s="513"/>
      <c r="Y29" s="513"/>
      <c r="Z29" s="513"/>
      <c r="AA29" s="513"/>
      <c r="AB29" s="513"/>
      <c r="AC29" s="513"/>
      <c r="AD29" s="513"/>
      <c r="AE29" s="513"/>
      <c r="AF29" s="513"/>
      <c r="AG29" s="513"/>
    </row>
    <row r="30" ht="35.25" customHeight="1">
      <c r="A30" s="56"/>
      <c r="B30" s="56" t="s">
        <v>18</v>
      </c>
      <c r="C30" s="56" t="s">
        <v>1653</v>
      </c>
      <c r="D30" s="416" t="s">
        <v>40</v>
      </c>
      <c r="E30" s="524" t="s">
        <v>1654</v>
      </c>
      <c r="F30" s="56" t="s">
        <v>1655</v>
      </c>
      <c r="G30" s="201" t="s">
        <v>29</v>
      </c>
      <c r="H30" s="56">
        <v>8.0</v>
      </c>
      <c r="I30" s="201" t="s">
        <v>92</v>
      </c>
      <c r="J30" s="415"/>
      <c r="K30" s="415"/>
      <c r="L30" s="56">
        <v>8.0</v>
      </c>
      <c r="M30" s="56">
        <v>0.0</v>
      </c>
      <c r="N30" s="56">
        <v>0.0</v>
      </c>
      <c r="O30" s="56">
        <f t="shared" si="2"/>
        <v>8</v>
      </c>
      <c r="P30" s="201" t="s">
        <v>1640</v>
      </c>
      <c r="Q30" s="201" t="s">
        <v>70</v>
      </c>
      <c r="R30" s="513"/>
      <c r="S30" s="513"/>
      <c r="T30" s="513"/>
      <c r="U30" s="513"/>
      <c r="V30" s="513"/>
      <c r="W30" s="513"/>
      <c r="X30" s="513"/>
      <c r="Y30" s="513"/>
      <c r="Z30" s="513"/>
      <c r="AA30" s="513"/>
      <c r="AB30" s="513"/>
      <c r="AC30" s="513"/>
      <c r="AD30" s="513"/>
      <c r="AE30" s="513"/>
      <c r="AF30" s="513"/>
      <c r="AG30" s="513"/>
    </row>
    <row r="31" ht="35.25" customHeight="1">
      <c r="A31" s="56"/>
      <c r="B31" s="56" t="s">
        <v>18</v>
      </c>
      <c r="C31" s="56" t="s">
        <v>1656</v>
      </c>
      <c r="D31" s="416" t="s">
        <v>40</v>
      </c>
      <c r="E31" s="524" t="s">
        <v>1654</v>
      </c>
      <c r="F31" s="56" t="s">
        <v>1655</v>
      </c>
      <c r="G31" s="201" t="s">
        <v>29</v>
      </c>
      <c r="H31" s="56">
        <v>8.0</v>
      </c>
      <c r="I31" s="201" t="s">
        <v>92</v>
      </c>
      <c r="J31" s="415"/>
      <c r="K31" s="415"/>
      <c r="L31" s="56">
        <v>8.0</v>
      </c>
      <c r="M31" s="56">
        <v>0.0</v>
      </c>
      <c r="N31" s="56">
        <v>0.0</v>
      </c>
      <c r="O31" s="56">
        <f t="shared" si="2"/>
        <v>8</v>
      </c>
      <c r="P31" s="201" t="s">
        <v>1640</v>
      </c>
      <c r="Q31" s="201" t="s">
        <v>70</v>
      </c>
      <c r="R31" s="513"/>
      <c r="S31" s="513"/>
      <c r="T31" s="513"/>
      <c r="U31" s="513"/>
      <c r="V31" s="513"/>
      <c r="W31" s="513"/>
      <c r="X31" s="513"/>
      <c r="Y31" s="513"/>
      <c r="Z31" s="513"/>
      <c r="AA31" s="513"/>
      <c r="AB31" s="513"/>
      <c r="AC31" s="513"/>
      <c r="AD31" s="513"/>
      <c r="AE31" s="513"/>
      <c r="AF31" s="513"/>
      <c r="AG31" s="513"/>
    </row>
    <row r="32" ht="35.25" customHeight="1">
      <c r="A32" s="56"/>
      <c r="B32" s="56" t="s">
        <v>18</v>
      </c>
      <c r="C32" s="56" t="s">
        <v>1657</v>
      </c>
      <c r="D32" s="416" t="s">
        <v>40</v>
      </c>
      <c r="E32" s="524" t="s">
        <v>1654</v>
      </c>
      <c r="F32" s="56" t="s">
        <v>1655</v>
      </c>
      <c r="G32" s="201" t="s">
        <v>29</v>
      </c>
      <c r="H32" s="56">
        <v>8.0</v>
      </c>
      <c r="I32" s="201" t="s">
        <v>92</v>
      </c>
      <c r="J32" s="415"/>
      <c r="K32" s="415"/>
      <c r="L32" s="56">
        <v>8.0</v>
      </c>
      <c r="M32" s="56">
        <v>0.0</v>
      </c>
      <c r="N32" s="56">
        <v>0.0</v>
      </c>
      <c r="O32" s="56">
        <f t="shared" si="2"/>
        <v>8</v>
      </c>
      <c r="P32" s="201" t="s">
        <v>1640</v>
      </c>
      <c r="Q32" s="201" t="s">
        <v>70</v>
      </c>
      <c r="R32" s="513"/>
      <c r="S32" s="513"/>
      <c r="T32" s="513"/>
      <c r="U32" s="513"/>
      <c r="V32" s="513"/>
      <c r="W32" s="513"/>
      <c r="X32" s="513"/>
      <c r="Y32" s="513"/>
      <c r="Z32" s="513"/>
      <c r="AA32" s="513"/>
      <c r="AB32" s="513"/>
      <c r="AC32" s="513"/>
      <c r="AD32" s="513"/>
      <c r="AE32" s="513"/>
      <c r="AF32" s="513"/>
      <c r="AG32" s="513"/>
    </row>
    <row r="33" ht="35.25" customHeight="1">
      <c r="A33" s="56"/>
      <c r="B33" s="56" t="s">
        <v>18</v>
      </c>
      <c r="C33" s="56" t="s">
        <v>1658</v>
      </c>
      <c r="D33" s="416" t="s">
        <v>40</v>
      </c>
      <c r="E33" s="524" t="s">
        <v>1659</v>
      </c>
      <c r="F33" s="56" t="s">
        <v>1655</v>
      </c>
      <c r="G33" s="201" t="s">
        <v>29</v>
      </c>
      <c r="H33" s="56">
        <v>8.0</v>
      </c>
      <c r="I33" s="201" t="s">
        <v>92</v>
      </c>
      <c r="J33" s="415"/>
      <c r="K33" s="415"/>
      <c r="L33" s="56">
        <v>8.0</v>
      </c>
      <c r="M33" s="56">
        <v>0.0</v>
      </c>
      <c r="N33" s="56">
        <v>0.0</v>
      </c>
      <c r="O33" s="56">
        <f t="shared" si="2"/>
        <v>8</v>
      </c>
      <c r="P33" s="201" t="s">
        <v>1640</v>
      </c>
      <c r="Q33" s="201" t="s">
        <v>70</v>
      </c>
      <c r="R33" s="513"/>
      <c r="S33" s="513"/>
      <c r="T33" s="513"/>
      <c r="U33" s="513"/>
      <c r="V33" s="513"/>
      <c r="W33" s="513"/>
      <c r="X33" s="513"/>
      <c r="Y33" s="513"/>
      <c r="Z33" s="513"/>
      <c r="AA33" s="513"/>
      <c r="AB33" s="513"/>
      <c r="AC33" s="513"/>
      <c r="AD33" s="513"/>
      <c r="AE33" s="513"/>
      <c r="AF33" s="513"/>
      <c r="AG33" s="513"/>
    </row>
    <row r="34" ht="35.25" customHeight="1">
      <c r="A34" s="56"/>
      <c r="B34" s="56" t="s">
        <v>18</v>
      </c>
      <c r="C34" s="56" t="s">
        <v>1660</v>
      </c>
      <c r="D34" s="416" t="s">
        <v>40</v>
      </c>
      <c r="E34" s="524" t="s">
        <v>1661</v>
      </c>
      <c r="F34" s="56" t="s">
        <v>34</v>
      </c>
      <c r="G34" s="201" t="s">
        <v>23</v>
      </c>
      <c r="H34" s="56" t="s">
        <v>1613</v>
      </c>
      <c r="I34" s="201" t="s">
        <v>76</v>
      </c>
      <c r="J34" s="415">
        <v>46045.0</v>
      </c>
      <c r="K34" s="415">
        <v>46095.0</v>
      </c>
      <c r="L34" s="56">
        <v>65.0</v>
      </c>
      <c r="M34" s="56"/>
      <c r="N34" s="56"/>
      <c r="O34" s="56">
        <f t="shared" si="2"/>
        <v>65</v>
      </c>
      <c r="P34" s="201" t="s">
        <v>1610</v>
      </c>
      <c r="Q34" s="201" t="s">
        <v>78</v>
      </c>
      <c r="R34" s="513"/>
      <c r="S34" s="513"/>
      <c r="T34" s="513"/>
      <c r="U34" s="513"/>
      <c r="V34" s="513"/>
      <c r="W34" s="513"/>
      <c r="X34" s="513"/>
      <c r="Y34" s="513"/>
      <c r="Z34" s="513"/>
      <c r="AA34" s="513"/>
      <c r="AB34" s="513"/>
      <c r="AC34" s="513"/>
      <c r="AD34" s="513"/>
      <c r="AE34" s="513"/>
      <c r="AF34" s="513"/>
      <c r="AG34" s="513"/>
    </row>
    <row r="35" ht="35.25" customHeight="1">
      <c r="A35" s="56"/>
      <c r="B35" s="56" t="s">
        <v>18</v>
      </c>
      <c r="C35" s="56" t="s">
        <v>1662</v>
      </c>
      <c r="D35" s="416" t="s">
        <v>40</v>
      </c>
      <c r="E35" s="525" t="s">
        <v>1663</v>
      </c>
      <c r="F35" s="56" t="s">
        <v>34</v>
      </c>
      <c r="G35" s="201" t="s">
        <v>23</v>
      </c>
      <c r="H35" s="56" t="s">
        <v>1613</v>
      </c>
      <c r="I35" s="201" t="s">
        <v>76</v>
      </c>
      <c r="J35" s="415">
        <v>46045.0</v>
      </c>
      <c r="K35" s="415">
        <v>46095.0</v>
      </c>
      <c r="L35" s="56">
        <v>65.0</v>
      </c>
      <c r="M35" s="56"/>
      <c r="N35" s="56">
        <v>16.0</v>
      </c>
      <c r="O35" s="56">
        <f t="shared" si="2"/>
        <v>49</v>
      </c>
      <c r="P35" s="201" t="s">
        <v>1610</v>
      </c>
      <c r="Q35" s="201" t="s">
        <v>78</v>
      </c>
      <c r="R35" s="513"/>
      <c r="S35" s="513"/>
      <c r="T35" s="513"/>
      <c r="U35" s="513"/>
      <c r="V35" s="513"/>
      <c r="W35" s="513"/>
      <c r="X35" s="513"/>
      <c r="Y35" s="513"/>
      <c r="Z35" s="513"/>
      <c r="AA35" s="513"/>
      <c r="AB35" s="513"/>
      <c r="AC35" s="513"/>
      <c r="AD35" s="513"/>
      <c r="AE35" s="513"/>
      <c r="AF35" s="513"/>
      <c r="AG35" s="513"/>
    </row>
    <row r="36" ht="35.25" customHeight="1">
      <c r="A36" s="56"/>
      <c r="B36" s="56" t="s">
        <v>18</v>
      </c>
      <c r="C36" s="56" t="s">
        <v>1664</v>
      </c>
      <c r="D36" s="416" t="s">
        <v>41</v>
      </c>
      <c r="E36" s="525" t="s">
        <v>1654</v>
      </c>
      <c r="F36" s="56" t="s">
        <v>1655</v>
      </c>
      <c r="G36" s="201" t="s">
        <v>29</v>
      </c>
      <c r="H36" s="56">
        <v>8.0</v>
      </c>
      <c r="I36" s="201" t="s">
        <v>92</v>
      </c>
      <c r="J36" s="415"/>
      <c r="K36" s="415"/>
      <c r="L36" s="56">
        <v>8.0</v>
      </c>
      <c r="M36" s="56">
        <v>0.0</v>
      </c>
      <c r="N36" s="56">
        <v>0.0</v>
      </c>
      <c r="O36" s="56">
        <f t="shared" si="2"/>
        <v>8</v>
      </c>
      <c r="P36" s="201" t="s">
        <v>1640</v>
      </c>
      <c r="Q36" s="201" t="s">
        <v>100</v>
      </c>
      <c r="R36" s="513"/>
      <c r="S36" s="513"/>
      <c r="T36" s="513"/>
      <c r="U36" s="513"/>
      <c r="V36" s="513"/>
      <c r="W36" s="513"/>
      <c r="X36" s="513"/>
      <c r="Y36" s="513"/>
      <c r="Z36" s="513"/>
      <c r="AA36" s="513"/>
      <c r="AB36" s="513"/>
      <c r="AC36" s="513"/>
      <c r="AD36" s="513"/>
      <c r="AE36" s="513"/>
      <c r="AF36" s="513"/>
      <c r="AG36" s="513"/>
    </row>
    <row r="37" ht="35.25" customHeight="1">
      <c r="A37" s="56"/>
      <c r="B37" s="56" t="s">
        <v>18</v>
      </c>
      <c r="C37" s="56" t="s">
        <v>226</v>
      </c>
      <c r="D37" s="416" t="s">
        <v>41</v>
      </c>
      <c r="E37" s="525" t="s">
        <v>1654</v>
      </c>
      <c r="F37" s="56" t="s">
        <v>1655</v>
      </c>
      <c r="G37" s="201" t="s">
        <v>29</v>
      </c>
      <c r="H37" s="56">
        <v>8.0</v>
      </c>
      <c r="I37" s="201" t="s">
        <v>92</v>
      </c>
      <c r="J37" s="415"/>
      <c r="K37" s="415"/>
      <c r="L37" s="56">
        <v>8.0</v>
      </c>
      <c r="M37" s="56">
        <v>0.0</v>
      </c>
      <c r="N37" s="56">
        <v>0.0</v>
      </c>
      <c r="O37" s="56">
        <f t="shared" si="2"/>
        <v>8</v>
      </c>
      <c r="P37" s="201" t="s">
        <v>1640</v>
      </c>
      <c r="Q37" s="201" t="s">
        <v>100</v>
      </c>
      <c r="R37" s="513"/>
      <c r="S37" s="513"/>
      <c r="T37" s="513"/>
      <c r="U37" s="513"/>
      <c r="V37" s="513"/>
      <c r="W37" s="513"/>
      <c r="X37" s="513"/>
      <c r="Y37" s="513"/>
      <c r="Z37" s="513"/>
      <c r="AA37" s="513"/>
      <c r="AB37" s="513"/>
      <c r="AC37" s="513"/>
      <c r="AD37" s="513"/>
      <c r="AE37" s="513"/>
      <c r="AF37" s="513"/>
      <c r="AG37" s="513"/>
    </row>
    <row r="38" ht="37.5" customHeight="1">
      <c r="A38" s="56" t="str">
        <f>A29+1</f>
        <v>#REF!</v>
      </c>
      <c r="B38" s="56" t="s">
        <v>18</v>
      </c>
      <c r="C38" s="56" t="s">
        <v>189</v>
      </c>
      <c r="D38" s="416" t="s">
        <v>41</v>
      </c>
      <c r="E38" s="525" t="s">
        <v>1665</v>
      </c>
      <c r="F38" s="56" t="s">
        <v>34</v>
      </c>
      <c r="G38" s="201" t="s">
        <v>23</v>
      </c>
      <c r="H38" s="56" t="s">
        <v>1613</v>
      </c>
      <c r="I38" s="201" t="s">
        <v>76</v>
      </c>
      <c r="J38" s="415">
        <v>45974.0</v>
      </c>
      <c r="K38" s="415">
        <v>45659.0</v>
      </c>
      <c r="L38" s="56">
        <v>65.0</v>
      </c>
      <c r="M38" s="56">
        <v>0.0</v>
      </c>
      <c r="N38" s="56">
        <v>8.0</v>
      </c>
      <c r="O38" s="56">
        <f t="shared" si="2"/>
        <v>57</v>
      </c>
      <c r="P38" s="201" t="s">
        <v>1652</v>
      </c>
      <c r="Q38" s="201" t="s">
        <v>100</v>
      </c>
      <c r="R38" s="513"/>
      <c r="S38" s="513"/>
      <c r="T38" s="513"/>
      <c r="U38" s="513"/>
      <c r="V38" s="513"/>
      <c r="W38" s="513"/>
      <c r="X38" s="513"/>
      <c r="Y38" s="513"/>
      <c r="Z38" s="513"/>
      <c r="AA38" s="513"/>
      <c r="AB38" s="513"/>
      <c r="AC38" s="513"/>
      <c r="AD38" s="513"/>
      <c r="AE38" s="513"/>
      <c r="AF38" s="513"/>
      <c r="AG38" s="513"/>
    </row>
    <row r="39" ht="37.5" customHeight="1">
      <c r="A39" s="56"/>
      <c r="B39" s="56" t="s">
        <v>18</v>
      </c>
      <c r="C39" s="56" t="s">
        <v>488</v>
      </c>
      <c r="D39" s="416" t="s">
        <v>42</v>
      </c>
      <c r="E39" s="525" t="s">
        <v>1663</v>
      </c>
      <c r="F39" s="56" t="s">
        <v>34</v>
      </c>
      <c r="G39" s="201" t="s">
        <v>23</v>
      </c>
      <c r="H39" s="56" t="s">
        <v>1613</v>
      </c>
      <c r="I39" s="201" t="s">
        <v>76</v>
      </c>
      <c r="J39" s="415">
        <v>46045.0</v>
      </c>
      <c r="K39" s="415">
        <v>46095.0</v>
      </c>
      <c r="L39" s="56">
        <v>65.0</v>
      </c>
      <c r="M39" s="56"/>
      <c r="N39" s="56">
        <v>65.0</v>
      </c>
      <c r="O39" s="56">
        <f t="shared" si="2"/>
        <v>0</v>
      </c>
      <c r="P39" s="201" t="s">
        <v>1610</v>
      </c>
      <c r="Q39" s="201" t="s">
        <v>70</v>
      </c>
      <c r="R39" s="513"/>
      <c r="S39" s="513"/>
      <c r="T39" s="513"/>
      <c r="U39" s="513"/>
      <c r="V39" s="513"/>
      <c r="W39" s="513"/>
      <c r="X39" s="513"/>
      <c r="Y39" s="513"/>
      <c r="Z39" s="513"/>
      <c r="AA39" s="513"/>
      <c r="AB39" s="513"/>
      <c r="AC39" s="513"/>
      <c r="AD39" s="513"/>
      <c r="AE39" s="513"/>
      <c r="AF39" s="513"/>
      <c r="AG39" s="513"/>
    </row>
    <row r="40" ht="37.5" customHeight="1">
      <c r="A40" s="56"/>
      <c r="B40" s="56" t="s">
        <v>18</v>
      </c>
      <c r="C40" s="56" t="s">
        <v>1666</v>
      </c>
      <c r="D40" s="416" t="s">
        <v>42</v>
      </c>
      <c r="E40" s="525" t="s">
        <v>1663</v>
      </c>
      <c r="F40" s="56" t="s">
        <v>34</v>
      </c>
      <c r="G40" s="201" t="s">
        <v>23</v>
      </c>
      <c r="H40" s="56" t="s">
        <v>1613</v>
      </c>
      <c r="I40" s="201" t="s">
        <v>76</v>
      </c>
      <c r="J40" s="415">
        <v>46045.0</v>
      </c>
      <c r="K40" s="415">
        <v>46095.0</v>
      </c>
      <c r="L40" s="56">
        <v>65.0</v>
      </c>
      <c r="M40" s="56"/>
      <c r="N40" s="56"/>
      <c r="O40" s="56">
        <f t="shared" si="2"/>
        <v>65</v>
      </c>
      <c r="P40" s="201" t="s">
        <v>1610</v>
      </c>
      <c r="Q40" s="201" t="s">
        <v>100</v>
      </c>
      <c r="R40" s="513"/>
      <c r="S40" s="513"/>
      <c r="T40" s="513"/>
      <c r="U40" s="513"/>
      <c r="V40" s="513"/>
      <c r="W40" s="513"/>
      <c r="X40" s="513"/>
      <c r="Y40" s="513"/>
      <c r="Z40" s="513"/>
      <c r="AA40" s="513"/>
      <c r="AB40" s="513"/>
      <c r="AC40" s="513"/>
      <c r="AD40" s="513"/>
      <c r="AE40" s="513"/>
      <c r="AF40" s="513"/>
      <c r="AG40" s="513"/>
    </row>
    <row r="41" ht="37.5" customHeight="1">
      <c r="A41" s="56"/>
      <c r="B41" s="56" t="s">
        <v>18</v>
      </c>
      <c r="C41" s="56" t="s">
        <v>488</v>
      </c>
      <c r="D41" s="416" t="s">
        <v>42</v>
      </c>
      <c r="E41" s="525" t="s">
        <v>1667</v>
      </c>
      <c r="F41" s="56" t="s">
        <v>1655</v>
      </c>
      <c r="G41" s="201" t="s">
        <v>29</v>
      </c>
      <c r="H41" s="56">
        <v>8.0</v>
      </c>
      <c r="I41" s="201" t="s">
        <v>92</v>
      </c>
      <c r="J41" s="415"/>
      <c r="K41" s="415"/>
      <c r="L41" s="56">
        <v>8.0</v>
      </c>
      <c r="M41" s="56"/>
      <c r="N41" s="56">
        <v>8.0</v>
      </c>
      <c r="O41" s="56">
        <f t="shared" si="2"/>
        <v>0</v>
      </c>
      <c r="P41" s="201" t="s">
        <v>1610</v>
      </c>
      <c r="Q41" s="201" t="s">
        <v>70</v>
      </c>
      <c r="R41" s="513"/>
      <c r="S41" s="513"/>
      <c r="T41" s="513"/>
      <c r="U41" s="513"/>
      <c r="V41" s="513"/>
      <c r="W41" s="513"/>
      <c r="X41" s="513"/>
      <c r="Y41" s="513"/>
      <c r="Z41" s="513"/>
      <c r="AA41" s="513"/>
      <c r="AB41" s="513"/>
      <c r="AC41" s="513"/>
      <c r="AD41" s="513"/>
      <c r="AE41" s="513"/>
      <c r="AF41" s="513"/>
      <c r="AG41" s="513"/>
    </row>
    <row r="42" ht="37.5" customHeight="1">
      <c r="A42" s="56"/>
      <c r="B42" s="56" t="s">
        <v>18</v>
      </c>
      <c r="C42" s="56" t="s">
        <v>482</v>
      </c>
      <c r="D42" s="416" t="s">
        <v>42</v>
      </c>
      <c r="E42" s="525" t="s">
        <v>1667</v>
      </c>
      <c r="F42" s="56" t="s">
        <v>1655</v>
      </c>
      <c r="G42" s="201" t="s">
        <v>29</v>
      </c>
      <c r="H42" s="56">
        <v>8.0</v>
      </c>
      <c r="I42" s="201" t="s">
        <v>92</v>
      </c>
      <c r="J42" s="415"/>
      <c r="K42" s="415"/>
      <c r="L42" s="56">
        <v>8.0</v>
      </c>
      <c r="M42" s="56"/>
      <c r="N42" s="56"/>
      <c r="O42" s="56">
        <f t="shared" si="2"/>
        <v>8</v>
      </c>
      <c r="P42" s="201" t="s">
        <v>1610</v>
      </c>
      <c r="Q42" s="201" t="s">
        <v>70</v>
      </c>
      <c r="R42" s="513"/>
      <c r="S42" s="513"/>
      <c r="T42" s="513"/>
      <c r="U42" s="513"/>
      <c r="V42" s="513"/>
      <c r="W42" s="513"/>
      <c r="X42" s="513"/>
      <c r="Y42" s="513"/>
      <c r="Z42" s="513"/>
      <c r="AA42" s="513"/>
      <c r="AB42" s="513"/>
      <c r="AC42" s="513"/>
      <c r="AD42" s="513"/>
      <c r="AE42" s="513"/>
      <c r="AF42" s="513"/>
      <c r="AG42" s="513"/>
    </row>
    <row r="43" ht="37.5" customHeight="1">
      <c r="A43" s="56"/>
      <c r="B43" s="56" t="s">
        <v>18</v>
      </c>
      <c r="C43" s="56" t="s">
        <v>1668</v>
      </c>
      <c r="D43" s="416" t="s">
        <v>42</v>
      </c>
      <c r="E43" s="525" t="s">
        <v>1667</v>
      </c>
      <c r="F43" s="56" t="s">
        <v>1655</v>
      </c>
      <c r="G43" s="201" t="s">
        <v>29</v>
      </c>
      <c r="H43" s="56">
        <v>8.0</v>
      </c>
      <c r="I43" s="201" t="s">
        <v>92</v>
      </c>
      <c r="J43" s="415"/>
      <c r="K43" s="415"/>
      <c r="L43" s="56">
        <v>8.0</v>
      </c>
      <c r="M43" s="56"/>
      <c r="N43" s="56"/>
      <c r="O43" s="56">
        <f t="shared" si="2"/>
        <v>8</v>
      </c>
      <c r="P43" s="201" t="s">
        <v>1610</v>
      </c>
      <c r="Q43" s="201" t="s">
        <v>70</v>
      </c>
      <c r="R43" s="513"/>
      <c r="S43" s="513"/>
      <c r="T43" s="513"/>
      <c r="U43" s="513"/>
      <c r="V43" s="513"/>
      <c r="W43" s="513"/>
      <c r="X43" s="513"/>
      <c r="Y43" s="513"/>
      <c r="Z43" s="513"/>
      <c r="AA43" s="513"/>
      <c r="AB43" s="513"/>
      <c r="AC43" s="513"/>
      <c r="AD43" s="513"/>
      <c r="AE43" s="513"/>
      <c r="AF43" s="513"/>
      <c r="AG43" s="513"/>
    </row>
    <row r="44" ht="37.5" customHeight="1">
      <c r="A44" s="56"/>
      <c r="B44" s="56" t="s">
        <v>18</v>
      </c>
      <c r="C44" s="56" t="s">
        <v>477</v>
      </c>
      <c r="D44" s="416" t="s">
        <v>42</v>
      </c>
      <c r="E44" s="525" t="s">
        <v>1667</v>
      </c>
      <c r="F44" s="56" t="s">
        <v>1655</v>
      </c>
      <c r="G44" s="201" t="s">
        <v>29</v>
      </c>
      <c r="H44" s="56">
        <v>8.0</v>
      </c>
      <c r="I44" s="201" t="s">
        <v>92</v>
      </c>
      <c r="J44" s="415"/>
      <c r="K44" s="415"/>
      <c r="L44" s="56">
        <v>8.0</v>
      </c>
      <c r="M44" s="56"/>
      <c r="N44" s="56"/>
      <c r="O44" s="56">
        <f t="shared" si="2"/>
        <v>8</v>
      </c>
      <c r="P44" s="201" t="s">
        <v>1610</v>
      </c>
      <c r="Q44" s="201" t="s">
        <v>70</v>
      </c>
      <c r="R44" s="513"/>
      <c r="S44" s="513"/>
      <c r="T44" s="513"/>
      <c r="U44" s="513"/>
      <c r="V44" s="513"/>
      <c r="W44" s="513"/>
      <c r="X44" s="513"/>
      <c r="Y44" s="513"/>
      <c r="Z44" s="513"/>
      <c r="AA44" s="513"/>
      <c r="AB44" s="513"/>
      <c r="AC44" s="513"/>
      <c r="AD44" s="513"/>
      <c r="AE44" s="513"/>
      <c r="AF44" s="513"/>
      <c r="AG44" s="513"/>
    </row>
    <row r="45" ht="37.5" customHeight="1">
      <c r="A45" s="56"/>
      <c r="B45" s="56" t="s">
        <v>18</v>
      </c>
      <c r="C45" s="56" t="s">
        <v>256</v>
      </c>
      <c r="D45" s="416" t="s">
        <v>42</v>
      </c>
      <c r="E45" s="525" t="s">
        <v>1667</v>
      </c>
      <c r="F45" s="56" t="s">
        <v>1655</v>
      </c>
      <c r="G45" s="201" t="s">
        <v>29</v>
      </c>
      <c r="H45" s="56">
        <v>8.0</v>
      </c>
      <c r="I45" s="201" t="s">
        <v>92</v>
      </c>
      <c r="J45" s="415"/>
      <c r="K45" s="415"/>
      <c r="L45" s="56">
        <v>8.0</v>
      </c>
      <c r="M45" s="56"/>
      <c r="N45" s="56">
        <v>8.0</v>
      </c>
      <c r="O45" s="56">
        <f t="shared" si="2"/>
        <v>0</v>
      </c>
      <c r="P45" s="201" t="s">
        <v>1610</v>
      </c>
      <c r="Q45" s="201" t="s">
        <v>70</v>
      </c>
      <c r="R45" s="513"/>
      <c r="S45" s="513"/>
      <c r="T45" s="513"/>
      <c r="U45" s="513"/>
      <c r="V45" s="513"/>
      <c r="W45" s="513"/>
      <c r="X45" s="513"/>
      <c r="Y45" s="513"/>
      <c r="Z45" s="513"/>
      <c r="AA45" s="513"/>
      <c r="AB45" s="513"/>
      <c r="AC45" s="513"/>
      <c r="AD45" s="513"/>
      <c r="AE45" s="513"/>
      <c r="AF45" s="513"/>
      <c r="AG45" s="513"/>
    </row>
    <row r="46" ht="37.5" customHeight="1">
      <c r="A46" s="56"/>
      <c r="B46" s="56" t="s">
        <v>18</v>
      </c>
      <c r="C46" s="56" t="s">
        <v>1669</v>
      </c>
      <c r="D46" s="416" t="s">
        <v>44</v>
      </c>
      <c r="E46" s="524" t="s">
        <v>1670</v>
      </c>
      <c r="F46" s="56" t="s">
        <v>34</v>
      </c>
      <c r="G46" s="201" t="s">
        <v>22</v>
      </c>
      <c r="H46" s="56" t="s">
        <v>1634</v>
      </c>
      <c r="I46" s="201" t="s">
        <v>76</v>
      </c>
      <c r="J46" s="415">
        <v>46045.0</v>
      </c>
      <c r="K46" s="415">
        <v>46195.0</v>
      </c>
      <c r="L46" s="56">
        <v>150.0</v>
      </c>
      <c r="M46" s="56"/>
      <c r="N46" s="56">
        <v>150.0</v>
      </c>
      <c r="O46" s="56">
        <v>0.0</v>
      </c>
      <c r="P46" s="201" t="s">
        <v>1610</v>
      </c>
      <c r="Q46" s="201" t="s">
        <v>84</v>
      </c>
      <c r="R46" s="513"/>
      <c r="S46" s="513"/>
      <c r="T46" s="513"/>
      <c r="U46" s="513"/>
      <c r="V46" s="513"/>
      <c r="W46" s="513"/>
      <c r="X46" s="513"/>
      <c r="Y46" s="513"/>
      <c r="Z46" s="513"/>
      <c r="AA46" s="513"/>
      <c r="AB46" s="513"/>
      <c r="AC46" s="513"/>
      <c r="AD46" s="513"/>
      <c r="AE46" s="513"/>
      <c r="AF46" s="513"/>
      <c r="AG46" s="513"/>
    </row>
    <row r="47" ht="37.5" customHeight="1">
      <c r="A47" s="56"/>
      <c r="B47" s="56" t="s">
        <v>18</v>
      </c>
      <c r="C47" s="56" t="s">
        <v>1023</v>
      </c>
      <c r="D47" s="416" t="s">
        <v>44</v>
      </c>
      <c r="E47" s="524" t="s">
        <v>1671</v>
      </c>
      <c r="F47" s="56" t="s">
        <v>34</v>
      </c>
      <c r="G47" s="201" t="s">
        <v>22</v>
      </c>
      <c r="H47" s="56" t="s">
        <v>1634</v>
      </c>
      <c r="I47" s="201" t="s">
        <v>76</v>
      </c>
      <c r="J47" s="415">
        <v>46045.0</v>
      </c>
      <c r="K47" s="415">
        <v>46195.0</v>
      </c>
      <c r="L47" s="56">
        <v>150.0</v>
      </c>
      <c r="M47" s="56"/>
      <c r="N47" s="56">
        <v>150.0</v>
      </c>
      <c r="O47" s="56">
        <f t="shared" ref="O47:O49" si="4">L47-M47-N47</f>
        <v>0</v>
      </c>
      <c r="P47" s="201" t="s">
        <v>1610</v>
      </c>
      <c r="Q47" s="201" t="s">
        <v>84</v>
      </c>
      <c r="R47" s="513"/>
      <c r="S47" s="513"/>
      <c r="T47" s="513"/>
      <c r="U47" s="513"/>
      <c r="V47" s="513"/>
      <c r="W47" s="513"/>
      <c r="X47" s="513"/>
      <c r="Y47" s="513"/>
      <c r="Z47" s="513"/>
      <c r="AA47" s="513"/>
      <c r="AB47" s="513"/>
      <c r="AC47" s="513"/>
      <c r="AD47" s="513"/>
      <c r="AE47" s="513"/>
      <c r="AF47" s="513"/>
      <c r="AG47" s="513"/>
    </row>
    <row r="48" ht="45.0" customHeight="1">
      <c r="A48" s="56" t="str">
        <f>A38+1</f>
        <v>#REF!</v>
      </c>
      <c r="B48" s="56" t="s">
        <v>18</v>
      </c>
      <c r="C48" s="56" t="s">
        <v>1603</v>
      </c>
      <c r="D48" s="56" t="s">
        <v>47</v>
      </c>
      <c r="E48" s="56" t="s">
        <v>1672</v>
      </c>
      <c r="F48" s="56" t="s">
        <v>34</v>
      </c>
      <c r="G48" s="201" t="s">
        <v>23</v>
      </c>
      <c r="H48" s="56" t="s">
        <v>1613</v>
      </c>
      <c r="I48" s="201" t="s">
        <v>76</v>
      </c>
      <c r="J48" s="415">
        <v>45974.0</v>
      </c>
      <c r="K48" s="415">
        <v>45659.0</v>
      </c>
      <c r="L48" s="56">
        <v>65.0</v>
      </c>
      <c r="M48" s="56">
        <v>0.0</v>
      </c>
      <c r="N48" s="56">
        <v>1.0</v>
      </c>
      <c r="O48" s="56">
        <f t="shared" si="4"/>
        <v>64</v>
      </c>
      <c r="P48" s="201" t="s">
        <v>1652</v>
      </c>
      <c r="Q48" s="201" t="s">
        <v>78</v>
      </c>
      <c r="R48" s="513"/>
      <c r="S48" s="513"/>
      <c r="T48" s="513"/>
      <c r="U48" s="513"/>
      <c r="V48" s="513"/>
      <c r="W48" s="513"/>
      <c r="X48" s="513"/>
      <c r="Y48" s="513"/>
      <c r="Z48" s="513"/>
      <c r="AA48" s="513"/>
      <c r="AB48" s="513"/>
      <c r="AC48" s="513"/>
      <c r="AD48" s="513"/>
      <c r="AE48" s="513"/>
      <c r="AF48" s="513"/>
      <c r="AG48" s="513"/>
    </row>
    <row r="49" ht="36.0" customHeight="1">
      <c r="A49" s="56"/>
      <c r="B49" s="56" t="s">
        <v>18</v>
      </c>
      <c r="C49" s="56" t="s">
        <v>1603</v>
      </c>
      <c r="D49" s="56" t="s">
        <v>47</v>
      </c>
      <c r="E49" s="525" t="s">
        <v>1670</v>
      </c>
      <c r="F49" s="56" t="s">
        <v>34</v>
      </c>
      <c r="G49" s="201" t="s">
        <v>22</v>
      </c>
      <c r="H49" s="56" t="s">
        <v>1634</v>
      </c>
      <c r="I49" s="201" t="s">
        <v>76</v>
      </c>
      <c r="J49" s="415">
        <v>46045.0</v>
      </c>
      <c r="K49" s="521">
        <v>46195.0</v>
      </c>
      <c r="L49" s="56">
        <v>150.0</v>
      </c>
      <c r="M49" s="56"/>
      <c r="N49" s="56">
        <v>7.0</v>
      </c>
      <c r="O49" s="56">
        <f t="shared" si="4"/>
        <v>143</v>
      </c>
      <c r="P49" s="56" t="s">
        <v>1610</v>
      </c>
      <c r="Q49" s="201" t="s">
        <v>78</v>
      </c>
      <c r="R49" s="513"/>
      <c r="S49" s="513"/>
      <c r="T49" s="513"/>
      <c r="U49" s="513"/>
      <c r="V49" s="513"/>
      <c r="W49" s="513"/>
      <c r="X49" s="513"/>
      <c r="Y49" s="513"/>
      <c r="Z49" s="513"/>
      <c r="AA49" s="513"/>
      <c r="AB49" s="513"/>
      <c r="AC49" s="513"/>
      <c r="AD49" s="513"/>
      <c r="AE49" s="513"/>
      <c r="AF49" s="513"/>
      <c r="AG49" s="513"/>
    </row>
    <row r="50" ht="36.0" customHeight="1">
      <c r="A50" s="56"/>
      <c r="B50" s="56" t="s">
        <v>18</v>
      </c>
      <c r="C50" s="56" t="s">
        <v>1602</v>
      </c>
      <c r="D50" s="56" t="s">
        <v>47</v>
      </c>
      <c r="E50" s="525" t="s">
        <v>1670</v>
      </c>
      <c r="F50" s="56" t="s">
        <v>34</v>
      </c>
      <c r="G50" s="201" t="s">
        <v>22</v>
      </c>
      <c r="H50" s="56" t="s">
        <v>1634</v>
      </c>
      <c r="I50" s="201" t="s">
        <v>76</v>
      </c>
      <c r="J50" s="415">
        <v>46045.0</v>
      </c>
      <c r="K50" s="521">
        <v>46195.0</v>
      </c>
      <c r="L50" s="56">
        <v>150.0</v>
      </c>
      <c r="M50" s="56"/>
      <c r="N50" s="56">
        <v>111.0</v>
      </c>
      <c r="O50" s="201">
        <v>39.0</v>
      </c>
      <c r="P50" s="56" t="s">
        <v>1610</v>
      </c>
      <c r="Q50" s="201" t="s">
        <v>78</v>
      </c>
      <c r="R50" s="513"/>
      <c r="S50" s="513"/>
      <c r="T50" s="513"/>
      <c r="U50" s="513"/>
      <c r="V50" s="513"/>
      <c r="W50" s="513"/>
      <c r="X50" s="513"/>
      <c r="Y50" s="513"/>
      <c r="Z50" s="513"/>
      <c r="AA50" s="513"/>
      <c r="AB50" s="513"/>
      <c r="AC50" s="513"/>
      <c r="AD50" s="513"/>
      <c r="AE50" s="513"/>
      <c r="AF50" s="513"/>
      <c r="AG50" s="513"/>
    </row>
    <row r="51" ht="36.0" customHeight="1">
      <c r="A51" s="56"/>
      <c r="B51" s="56" t="s">
        <v>18</v>
      </c>
      <c r="C51" s="56" t="s">
        <v>1673</v>
      </c>
      <c r="D51" s="56" t="s">
        <v>47</v>
      </c>
      <c r="E51" s="525" t="s">
        <v>1670</v>
      </c>
      <c r="F51" s="56" t="s">
        <v>34</v>
      </c>
      <c r="G51" s="201" t="s">
        <v>22</v>
      </c>
      <c r="H51" s="56" t="s">
        <v>1634</v>
      </c>
      <c r="I51" s="201" t="s">
        <v>76</v>
      </c>
      <c r="J51" s="415">
        <v>46045.0</v>
      </c>
      <c r="K51" s="521">
        <v>46195.0</v>
      </c>
      <c r="L51" s="525">
        <v>150.0</v>
      </c>
      <c r="N51" s="56">
        <v>10.0</v>
      </c>
      <c r="O51" s="201">
        <v>140.0</v>
      </c>
      <c r="P51" s="56" t="s">
        <v>1610</v>
      </c>
      <c r="Q51" s="201" t="s">
        <v>78</v>
      </c>
      <c r="R51" s="513"/>
      <c r="S51" s="513"/>
      <c r="T51" s="513"/>
      <c r="U51" s="513"/>
      <c r="V51" s="513"/>
      <c r="W51" s="513"/>
      <c r="X51" s="513"/>
      <c r="Y51" s="513"/>
      <c r="Z51" s="513"/>
      <c r="AA51" s="513"/>
      <c r="AB51" s="513"/>
      <c r="AC51" s="513"/>
      <c r="AD51" s="513"/>
      <c r="AE51" s="513"/>
      <c r="AF51" s="513"/>
      <c r="AG51" s="513"/>
    </row>
    <row r="52" ht="36.0" customHeight="1">
      <c r="A52" s="56"/>
      <c r="B52" s="56" t="s">
        <v>18</v>
      </c>
      <c r="C52" s="56" t="s">
        <v>202</v>
      </c>
      <c r="D52" s="56" t="s">
        <v>47</v>
      </c>
      <c r="E52" s="525" t="s">
        <v>1670</v>
      </c>
      <c r="F52" s="56" t="s">
        <v>34</v>
      </c>
      <c r="G52" s="201" t="s">
        <v>22</v>
      </c>
      <c r="H52" s="56" t="s">
        <v>1634</v>
      </c>
      <c r="I52" s="201" t="s">
        <v>76</v>
      </c>
      <c r="J52" s="415">
        <v>46045.0</v>
      </c>
      <c r="K52" s="521">
        <v>46195.0</v>
      </c>
      <c r="L52" s="56">
        <v>150.0</v>
      </c>
      <c r="M52" s="56"/>
      <c r="N52" s="56">
        <v>87.0</v>
      </c>
      <c r="O52" s="201">
        <v>63.0</v>
      </c>
      <c r="P52" s="56" t="s">
        <v>1610</v>
      </c>
      <c r="Q52" s="201" t="s">
        <v>78</v>
      </c>
      <c r="R52" s="513"/>
      <c r="S52" s="513"/>
      <c r="T52" s="513"/>
      <c r="U52" s="513"/>
      <c r="V52" s="513"/>
      <c r="W52" s="513"/>
      <c r="X52" s="513"/>
      <c r="Y52" s="513"/>
      <c r="Z52" s="513"/>
      <c r="AA52" s="513"/>
      <c r="AB52" s="513"/>
      <c r="AC52" s="513"/>
      <c r="AD52" s="513"/>
      <c r="AE52" s="513"/>
      <c r="AF52" s="513"/>
      <c r="AG52" s="513"/>
    </row>
    <row r="53" ht="58.5" customHeight="1">
      <c r="A53" s="516" t="s">
        <v>144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7"/>
      <c r="R53" s="513"/>
      <c r="S53" s="513"/>
      <c r="T53" s="513"/>
      <c r="U53" s="513"/>
      <c r="V53" s="513"/>
      <c r="W53" s="513"/>
      <c r="X53" s="513"/>
      <c r="Y53" s="513"/>
      <c r="Z53" s="513"/>
      <c r="AA53" s="513"/>
      <c r="AB53" s="513"/>
      <c r="AC53" s="513"/>
      <c r="AD53" s="513"/>
      <c r="AE53" s="513"/>
      <c r="AF53" s="513"/>
      <c r="AG53" s="513"/>
    </row>
    <row r="54" ht="39.75" customHeight="1">
      <c r="A54" s="56"/>
      <c r="B54" s="56" t="s">
        <v>15</v>
      </c>
      <c r="C54" s="56" t="s">
        <v>1674</v>
      </c>
      <c r="D54" s="56" t="s">
        <v>40</v>
      </c>
      <c r="E54" s="56" t="s">
        <v>1675</v>
      </c>
      <c r="F54" s="56" t="s">
        <v>34</v>
      </c>
      <c r="G54" s="201" t="s">
        <v>21</v>
      </c>
      <c r="H54" s="205" t="s">
        <v>1676</v>
      </c>
      <c r="I54" s="201" t="s">
        <v>76</v>
      </c>
      <c r="J54" s="439">
        <v>45985.0</v>
      </c>
      <c r="K54" s="439">
        <v>46014.0</v>
      </c>
      <c r="L54" s="56">
        <v>50.0</v>
      </c>
      <c r="M54" s="56">
        <v>0.0</v>
      </c>
      <c r="N54" s="56">
        <v>50.0</v>
      </c>
      <c r="O54" s="56">
        <f t="shared" ref="O54:O56" si="5">L54-M54-N54</f>
        <v>0</v>
      </c>
      <c r="P54" s="56" t="s">
        <v>1640</v>
      </c>
      <c r="Q54" s="201" t="s">
        <v>70</v>
      </c>
      <c r="R54" s="201"/>
      <c r="S54" s="56"/>
      <c r="T54" s="201"/>
      <c r="U54" s="513"/>
      <c r="V54" s="513"/>
      <c r="W54" s="513"/>
      <c r="X54" s="513"/>
      <c r="Y54" s="513"/>
      <c r="Z54" s="513"/>
      <c r="AA54" s="513"/>
      <c r="AB54" s="513"/>
      <c r="AC54" s="513"/>
      <c r="AD54" s="513"/>
      <c r="AE54" s="513"/>
      <c r="AF54" s="513"/>
      <c r="AG54" s="513"/>
    </row>
    <row r="55" ht="34.5" customHeight="1">
      <c r="A55" s="56">
        <v>1.0</v>
      </c>
      <c r="B55" s="208" t="s">
        <v>15</v>
      </c>
      <c r="C55" s="208" t="s">
        <v>136</v>
      </c>
      <c r="D55" s="215" t="s">
        <v>41</v>
      </c>
      <c r="E55" s="150" t="s">
        <v>1677</v>
      </c>
      <c r="F55" s="208" t="s">
        <v>34</v>
      </c>
      <c r="G55" s="208" t="s">
        <v>21</v>
      </c>
      <c r="H55" s="205" t="s">
        <v>1609</v>
      </c>
      <c r="I55" s="208" t="s">
        <v>76</v>
      </c>
      <c r="J55" s="209">
        <v>45960.0</v>
      </c>
      <c r="K55" s="209">
        <v>45980.0</v>
      </c>
      <c r="L55" s="208">
        <v>39.0</v>
      </c>
      <c r="M55" s="221">
        <v>0.0</v>
      </c>
      <c r="N55" s="205">
        <v>39.0</v>
      </c>
      <c r="O55" s="56">
        <f t="shared" si="5"/>
        <v>0</v>
      </c>
      <c r="P55" s="221" t="s">
        <v>1623</v>
      </c>
      <c r="Q55" s="205" t="s">
        <v>70</v>
      </c>
      <c r="R55" s="513"/>
      <c r="S55" s="513"/>
      <c r="T55" s="513"/>
      <c r="U55" s="513"/>
      <c r="V55" s="513"/>
      <c r="W55" s="513"/>
      <c r="X55" s="513"/>
      <c r="Y55" s="513"/>
      <c r="Z55" s="513"/>
      <c r="AA55" s="513"/>
      <c r="AB55" s="513"/>
      <c r="AC55" s="513"/>
      <c r="AD55" s="513"/>
      <c r="AE55" s="513"/>
      <c r="AF55" s="513"/>
      <c r="AG55" s="513"/>
    </row>
    <row r="56" ht="33.0" customHeight="1">
      <c r="A56" s="56"/>
      <c r="B56" s="205" t="s">
        <v>15</v>
      </c>
      <c r="C56" s="205" t="s">
        <v>136</v>
      </c>
      <c r="D56" s="215" t="s">
        <v>41</v>
      </c>
      <c r="E56" s="382" t="s">
        <v>1675</v>
      </c>
      <c r="F56" s="205" t="s">
        <v>34</v>
      </c>
      <c r="G56" s="205" t="s">
        <v>21</v>
      </c>
      <c r="H56" s="205" t="s">
        <v>1628</v>
      </c>
      <c r="I56" s="205" t="s">
        <v>76</v>
      </c>
      <c r="J56" s="222">
        <v>45985.0</v>
      </c>
      <c r="K56" s="222">
        <v>46010.0</v>
      </c>
      <c r="L56" s="205">
        <v>40.0</v>
      </c>
      <c r="M56" s="205">
        <v>0.0</v>
      </c>
      <c r="N56" s="205">
        <v>40.0</v>
      </c>
      <c r="O56" s="56">
        <f t="shared" si="5"/>
        <v>0</v>
      </c>
      <c r="P56" s="205" t="s">
        <v>1640</v>
      </c>
      <c r="Q56" s="205" t="s">
        <v>70</v>
      </c>
      <c r="R56" s="513"/>
      <c r="S56" s="513"/>
      <c r="T56" s="513"/>
      <c r="U56" s="513"/>
      <c r="V56" s="513"/>
      <c r="W56" s="513"/>
      <c r="X56" s="513"/>
      <c r="Y56" s="513"/>
      <c r="Z56" s="513"/>
      <c r="AA56" s="513"/>
      <c r="AB56" s="513"/>
      <c r="AC56" s="513"/>
      <c r="AD56" s="513"/>
      <c r="AE56" s="513"/>
      <c r="AF56" s="513"/>
      <c r="AG56" s="513"/>
    </row>
    <row r="57" ht="39.75" customHeight="1">
      <c r="A57" s="56" t="str">
        <f>A106+1</f>
        <v>#VALUE!</v>
      </c>
      <c r="B57" s="201" t="s">
        <v>15</v>
      </c>
      <c r="C57" s="201" t="s">
        <v>1678</v>
      </c>
      <c r="D57" s="148" t="s">
        <v>41</v>
      </c>
      <c r="E57" s="526" t="s">
        <v>1679</v>
      </c>
      <c r="F57" s="201" t="s">
        <v>1655</v>
      </c>
      <c r="G57" s="201" t="s">
        <v>23</v>
      </c>
      <c r="H57" s="527">
        <v>45934.0</v>
      </c>
      <c r="I57" s="201" t="s">
        <v>76</v>
      </c>
      <c r="J57" s="202">
        <v>45960.0</v>
      </c>
      <c r="K57" s="202">
        <v>45964.0</v>
      </c>
      <c r="L57" s="201">
        <v>10.0</v>
      </c>
      <c r="M57" s="201">
        <v>2.0</v>
      </c>
      <c r="N57" s="201">
        <v>8.0</v>
      </c>
      <c r="O57" s="462">
        <f>L57-N57-M57</f>
        <v>0</v>
      </c>
      <c r="P57" s="201" t="s">
        <v>1623</v>
      </c>
      <c r="Q57" s="201" t="s">
        <v>70</v>
      </c>
      <c r="R57" s="513"/>
      <c r="S57" s="513"/>
      <c r="T57" s="513"/>
      <c r="U57" s="513"/>
      <c r="V57" s="513"/>
      <c r="W57" s="513"/>
      <c r="X57" s="513"/>
      <c r="Y57" s="513"/>
      <c r="Z57" s="513"/>
      <c r="AA57" s="513"/>
      <c r="AB57" s="513"/>
      <c r="AC57" s="513"/>
      <c r="AD57" s="513"/>
      <c r="AE57" s="513"/>
      <c r="AF57" s="513"/>
      <c r="AG57" s="513"/>
    </row>
    <row r="58" ht="40.5" customHeight="1">
      <c r="A58" s="56">
        <f>A55+1</f>
        <v>2</v>
      </c>
      <c r="B58" s="56" t="s">
        <v>15</v>
      </c>
      <c r="C58" s="56" t="s">
        <v>1611</v>
      </c>
      <c r="D58" s="56" t="s">
        <v>44</v>
      </c>
      <c r="E58" s="56" t="s">
        <v>1680</v>
      </c>
      <c r="F58" s="56" t="s">
        <v>34</v>
      </c>
      <c r="G58" s="201" t="s">
        <v>23</v>
      </c>
      <c r="H58" s="56" t="s">
        <v>1681</v>
      </c>
      <c r="I58" s="201" t="s">
        <v>76</v>
      </c>
      <c r="J58" s="439">
        <v>45940.0</v>
      </c>
      <c r="K58" s="521">
        <v>46015.0</v>
      </c>
      <c r="L58" s="56">
        <v>85.0</v>
      </c>
      <c r="M58" s="59"/>
      <c r="N58" s="56">
        <v>85.0</v>
      </c>
      <c r="O58" s="56">
        <f>L58-M58-N58</f>
        <v>0</v>
      </c>
      <c r="P58" s="56" t="s">
        <v>1614</v>
      </c>
      <c r="Q58" s="201" t="s">
        <v>70</v>
      </c>
      <c r="R58" s="513"/>
      <c r="S58" s="513"/>
      <c r="T58" s="513"/>
      <c r="U58" s="513"/>
      <c r="V58" s="513"/>
      <c r="W58" s="513"/>
      <c r="X58" s="513"/>
      <c r="Y58" s="513"/>
      <c r="Z58" s="513"/>
      <c r="AA58" s="513"/>
      <c r="AB58" s="513"/>
      <c r="AC58" s="513"/>
      <c r="AD58" s="513"/>
      <c r="AE58" s="513"/>
      <c r="AF58" s="513"/>
      <c r="AG58" s="513"/>
    </row>
    <row r="59" ht="34.5" customHeight="1">
      <c r="A59" s="528" t="str">
        <f>A57+1</f>
        <v>#VALUE!</v>
      </c>
      <c r="B59" s="528" t="s">
        <v>15</v>
      </c>
      <c r="C59" s="528" t="s">
        <v>1682</v>
      </c>
      <c r="D59" s="522" t="s">
        <v>44</v>
      </c>
      <c r="E59" s="179" t="s">
        <v>1683</v>
      </c>
      <c r="F59" s="528" t="s">
        <v>35</v>
      </c>
      <c r="G59" s="221" t="s">
        <v>21</v>
      </c>
      <c r="H59" s="529">
        <v>45934.0</v>
      </c>
      <c r="I59" s="205" t="s">
        <v>76</v>
      </c>
      <c r="J59" s="530"/>
      <c r="K59" s="531"/>
      <c r="L59" s="528">
        <v>10.0</v>
      </c>
      <c r="M59" s="528"/>
      <c r="N59" s="528">
        <v>10.0</v>
      </c>
      <c r="O59" s="221">
        <v>0.0</v>
      </c>
      <c r="P59" s="528"/>
      <c r="Q59" s="221" t="s">
        <v>70</v>
      </c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45"/>
      <c r="AI59" s="145"/>
      <c r="AJ59" s="145"/>
    </row>
    <row r="60" ht="34.5" customHeight="1">
      <c r="A60" s="56">
        <f>A9+1</f>
        <v>4</v>
      </c>
      <c r="B60" s="56" t="s">
        <v>15</v>
      </c>
      <c r="C60" s="56" t="s">
        <v>1074</v>
      </c>
      <c r="D60" s="416" t="s">
        <v>45</v>
      </c>
      <c r="E60" s="524" t="s">
        <v>1684</v>
      </c>
      <c r="F60" s="56" t="s">
        <v>34</v>
      </c>
      <c r="G60" s="201" t="s">
        <v>23</v>
      </c>
      <c r="H60" s="56" t="s">
        <v>1685</v>
      </c>
      <c r="I60" s="201" t="s">
        <v>76</v>
      </c>
      <c r="J60" s="439">
        <v>45960.0</v>
      </c>
      <c r="K60" s="521">
        <v>46010.0</v>
      </c>
      <c r="L60" s="56">
        <v>85.0</v>
      </c>
      <c r="M60" s="59"/>
      <c r="N60" s="56">
        <v>85.0</v>
      </c>
      <c r="O60" s="56">
        <f>L60-M60-N60</f>
        <v>0</v>
      </c>
      <c r="P60" s="56" t="s">
        <v>1623</v>
      </c>
      <c r="Q60" s="201" t="s">
        <v>70</v>
      </c>
      <c r="R60" s="513"/>
      <c r="S60" s="513"/>
      <c r="T60" s="513"/>
      <c r="U60" s="513"/>
      <c r="V60" s="513"/>
      <c r="W60" s="513"/>
      <c r="X60" s="513"/>
      <c r="Y60" s="513"/>
      <c r="Z60" s="513"/>
      <c r="AA60" s="513"/>
      <c r="AB60" s="513"/>
      <c r="AC60" s="513"/>
      <c r="AD60" s="513"/>
      <c r="AE60" s="513"/>
      <c r="AF60" s="513"/>
      <c r="AG60" s="513"/>
    </row>
    <row r="61" ht="39.75" customHeight="1">
      <c r="A61" s="56"/>
      <c r="B61" s="56" t="s">
        <v>15</v>
      </c>
      <c r="C61" s="56" t="s">
        <v>1174</v>
      </c>
      <c r="D61" s="416" t="s">
        <v>47</v>
      </c>
      <c r="E61" s="522" t="s">
        <v>1686</v>
      </c>
      <c r="F61" s="56" t="s">
        <v>34</v>
      </c>
      <c r="G61" s="201" t="s">
        <v>21</v>
      </c>
      <c r="H61" s="56" t="s">
        <v>1628</v>
      </c>
      <c r="I61" s="201" t="s">
        <v>76</v>
      </c>
      <c r="J61" s="439">
        <v>45974.0</v>
      </c>
      <c r="K61" s="521">
        <v>45998.0</v>
      </c>
      <c r="L61" s="56">
        <v>40.0</v>
      </c>
      <c r="M61" s="59"/>
      <c r="N61" s="56">
        <v>40.0</v>
      </c>
      <c r="O61" s="56">
        <v>0.0</v>
      </c>
      <c r="P61" s="56" t="s">
        <v>1652</v>
      </c>
      <c r="Q61" s="201" t="s">
        <v>70</v>
      </c>
      <c r="R61" s="513"/>
      <c r="S61" s="513"/>
      <c r="T61" s="513"/>
      <c r="U61" s="513"/>
      <c r="V61" s="513"/>
      <c r="W61" s="513"/>
      <c r="X61" s="513"/>
      <c r="Y61" s="513"/>
      <c r="Z61" s="513"/>
      <c r="AA61" s="513"/>
      <c r="AB61" s="513"/>
      <c r="AC61" s="513"/>
      <c r="AD61" s="513"/>
      <c r="AE61" s="513"/>
      <c r="AF61" s="513"/>
      <c r="AG61" s="513"/>
    </row>
    <row r="62" ht="33.0" customHeight="1">
      <c r="A62" s="528" t="str">
        <f>#REF!+1</f>
        <v>#REF!</v>
      </c>
      <c r="B62" s="528" t="s">
        <v>16</v>
      </c>
      <c r="C62" s="528" t="s">
        <v>1687</v>
      </c>
      <c r="D62" s="522" t="s">
        <v>40</v>
      </c>
      <c r="E62" s="532" t="s">
        <v>1688</v>
      </c>
      <c r="F62" s="528" t="s">
        <v>35</v>
      </c>
      <c r="G62" s="221" t="s">
        <v>21</v>
      </c>
      <c r="H62" s="529">
        <v>45934.0</v>
      </c>
      <c r="I62" s="221" t="s">
        <v>92</v>
      </c>
      <c r="J62" s="530">
        <v>45960.0</v>
      </c>
      <c r="K62" s="531">
        <v>45964.0</v>
      </c>
      <c r="L62" s="528">
        <v>10.0</v>
      </c>
      <c r="M62" s="528"/>
      <c r="N62" s="528">
        <v>10.0</v>
      </c>
      <c r="O62" s="221">
        <f>L62-N62-M62</f>
        <v>0</v>
      </c>
      <c r="P62" s="533" t="s">
        <v>1689</v>
      </c>
      <c r="Q62" s="221" t="s">
        <v>70</v>
      </c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45"/>
      <c r="AI62" s="145"/>
      <c r="AJ62" s="145"/>
    </row>
    <row r="63" ht="39.75" customHeight="1">
      <c r="A63" s="56"/>
      <c r="B63" s="56" t="s">
        <v>16</v>
      </c>
      <c r="C63" s="56" t="s">
        <v>371</v>
      </c>
      <c r="D63" s="56" t="s">
        <v>40</v>
      </c>
      <c r="E63" s="56" t="s">
        <v>1690</v>
      </c>
      <c r="F63" s="56" t="s">
        <v>34</v>
      </c>
      <c r="G63" s="201" t="s">
        <v>21</v>
      </c>
      <c r="H63" s="56" t="s">
        <v>1628</v>
      </c>
      <c r="I63" s="201" t="s">
        <v>76</v>
      </c>
      <c r="J63" s="439">
        <v>45985.0</v>
      </c>
      <c r="K63" s="439">
        <v>46010.0</v>
      </c>
      <c r="L63" s="56">
        <v>40.0</v>
      </c>
      <c r="M63" s="56">
        <v>0.0</v>
      </c>
      <c r="N63" s="56">
        <v>40.0</v>
      </c>
      <c r="O63" s="56">
        <f>L63-M63-N63</f>
        <v>0</v>
      </c>
      <c r="P63" s="205" t="s">
        <v>1640</v>
      </c>
      <c r="Q63" s="201" t="s">
        <v>70</v>
      </c>
      <c r="R63" s="513"/>
      <c r="S63" s="513"/>
      <c r="T63" s="513"/>
      <c r="U63" s="513"/>
      <c r="V63" s="513"/>
      <c r="W63" s="513"/>
      <c r="X63" s="513"/>
      <c r="Y63" s="513"/>
      <c r="Z63" s="513"/>
      <c r="AA63" s="513"/>
      <c r="AB63" s="513"/>
      <c r="AC63" s="513"/>
      <c r="AD63" s="513"/>
      <c r="AE63" s="513"/>
      <c r="AF63" s="513"/>
      <c r="AG63" s="513"/>
    </row>
    <row r="64" ht="37.5" customHeight="1">
      <c r="A64" s="56" t="str">
        <f t="shared" ref="A64:A65" si="6">#REF!+1</f>
        <v>#REF!</v>
      </c>
      <c r="B64" s="56" t="s">
        <v>16</v>
      </c>
      <c r="C64" s="56" t="s">
        <v>1691</v>
      </c>
      <c r="D64" s="416" t="s">
        <v>40</v>
      </c>
      <c r="E64" s="534" t="s">
        <v>1692</v>
      </c>
      <c r="F64" s="56" t="s">
        <v>35</v>
      </c>
      <c r="G64" s="201" t="s">
        <v>21</v>
      </c>
      <c r="H64" s="56">
        <v>10.0</v>
      </c>
      <c r="I64" s="201" t="s">
        <v>92</v>
      </c>
      <c r="J64" s="439">
        <v>45960.0</v>
      </c>
      <c r="K64" s="521">
        <v>45964.0</v>
      </c>
      <c r="L64" s="56">
        <v>10.0</v>
      </c>
      <c r="M64" s="59"/>
      <c r="N64" s="56">
        <v>10.0</v>
      </c>
      <c r="O64" s="463">
        <f t="shared" ref="O64:O68" si="7">L64-N64-M64</f>
        <v>0</v>
      </c>
      <c r="P64" s="59"/>
      <c r="Q64" s="201" t="s">
        <v>70</v>
      </c>
      <c r="R64" s="513"/>
      <c r="S64" s="513"/>
      <c r="T64" s="513"/>
      <c r="U64" s="513"/>
      <c r="V64" s="513"/>
      <c r="W64" s="513"/>
      <c r="X64" s="513"/>
      <c r="Y64" s="513"/>
      <c r="Z64" s="513"/>
      <c r="AA64" s="513"/>
      <c r="AB64" s="513"/>
      <c r="AC64" s="513"/>
      <c r="AD64" s="513"/>
      <c r="AE64" s="513"/>
      <c r="AF64" s="513"/>
      <c r="AG64" s="513"/>
    </row>
    <row r="65" ht="37.5" customHeight="1">
      <c r="A65" s="56" t="str">
        <f t="shared" si="6"/>
        <v>#REF!</v>
      </c>
      <c r="B65" s="56" t="s">
        <v>16</v>
      </c>
      <c r="C65" s="56" t="s">
        <v>1691</v>
      </c>
      <c r="D65" s="416" t="s">
        <v>40</v>
      </c>
      <c r="E65" s="534" t="s">
        <v>1693</v>
      </c>
      <c r="F65" s="56" t="s">
        <v>35</v>
      </c>
      <c r="G65" s="201" t="s">
        <v>23</v>
      </c>
      <c r="H65" s="56">
        <v>10.0</v>
      </c>
      <c r="I65" s="201" t="s">
        <v>92</v>
      </c>
      <c r="J65" s="439"/>
      <c r="K65" s="521"/>
      <c r="L65" s="56">
        <v>10.0</v>
      </c>
      <c r="M65" s="59"/>
      <c r="N65" s="56">
        <v>10.0</v>
      </c>
      <c r="O65" s="463">
        <f t="shared" si="7"/>
        <v>0</v>
      </c>
      <c r="P65" s="56" t="s">
        <v>1689</v>
      </c>
      <c r="Q65" s="201" t="s">
        <v>70</v>
      </c>
      <c r="R65" s="513"/>
      <c r="S65" s="513"/>
      <c r="T65" s="513"/>
      <c r="U65" s="513"/>
      <c r="V65" s="513"/>
      <c r="W65" s="513"/>
      <c r="X65" s="513"/>
      <c r="Y65" s="513"/>
      <c r="Z65" s="513"/>
      <c r="AA65" s="513"/>
      <c r="AB65" s="513"/>
      <c r="AC65" s="513"/>
      <c r="AD65" s="513"/>
      <c r="AE65" s="513"/>
      <c r="AF65" s="513"/>
      <c r="AG65" s="513"/>
    </row>
    <row r="66" ht="37.5" customHeight="1">
      <c r="A66" s="56" t="str">
        <f>A59+1</f>
        <v>#VALUE!</v>
      </c>
      <c r="B66" s="56" t="s">
        <v>16</v>
      </c>
      <c r="C66" s="56" t="s">
        <v>1694</v>
      </c>
      <c r="D66" s="56" t="s">
        <v>40</v>
      </c>
      <c r="E66" s="56" t="s">
        <v>1695</v>
      </c>
      <c r="F66" s="56" t="s">
        <v>35</v>
      </c>
      <c r="G66" s="201" t="s">
        <v>21</v>
      </c>
      <c r="H66" s="523">
        <v>45934.0</v>
      </c>
      <c r="I66" s="201" t="s">
        <v>76</v>
      </c>
      <c r="J66" s="439">
        <v>45960.0</v>
      </c>
      <c r="K66" s="521">
        <v>45964.0</v>
      </c>
      <c r="L66" s="56">
        <v>10.0</v>
      </c>
      <c r="M66" s="59"/>
      <c r="N66" s="56">
        <v>10.0</v>
      </c>
      <c r="O66" s="463">
        <f t="shared" si="7"/>
        <v>0</v>
      </c>
      <c r="P66" s="56" t="s">
        <v>1689</v>
      </c>
      <c r="Q66" s="201" t="s">
        <v>70</v>
      </c>
      <c r="R66" s="513"/>
      <c r="S66" s="513"/>
      <c r="T66" s="513"/>
      <c r="U66" s="513"/>
      <c r="V66" s="513"/>
      <c r="W66" s="513"/>
      <c r="X66" s="513"/>
      <c r="Y66" s="513"/>
      <c r="Z66" s="513"/>
      <c r="AA66" s="513"/>
      <c r="AB66" s="513"/>
      <c r="AC66" s="513"/>
      <c r="AD66" s="513"/>
      <c r="AE66" s="513"/>
      <c r="AF66" s="513"/>
      <c r="AG66" s="513"/>
    </row>
    <row r="67">
      <c r="A67" s="528" t="str">
        <f>A66+1</f>
        <v>#VALUE!</v>
      </c>
      <c r="B67" s="528" t="s">
        <v>16</v>
      </c>
      <c r="C67" s="528" t="s">
        <v>1696</v>
      </c>
      <c r="D67" s="522" t="s">
        <v>40</v>
      </c>
      <c r="E67" s="532" t="s">
        <v>1688</v>
      </c>
      <c r="F67" s="528" t="s">
        <v>35</v>
      </c>
      <c r="G67" s="221" t="s">
        <v>21</v>
      </c>
      <c r="H67" s="529">
        <v>45934.0</v>
      </c>
      <c r="I67" s="221" t="s">
        <v>92</v>
      </c>
      <c r="J67" s="530">
        <v>45960.0</v>
      </c>
      <c r="K67" s="531">
        <v>45964.0</v>
      </c>
      <c r="L67" s="528">
        <v>10.0</v>
      </c>
      <c r="M67" s="528"/>
      <c r="N67" s="528">
        <v>10.0</v>
      </c>
      <c r="O67" s="221">
        <f t="shared" si="7"/>
        <v>0</v>
      </c>
      <c r="P67" s="533" t="s">
        <v>1689</v>
      </c>
      <c r="Q67" s="221" t="s">
        <v>70</v>
      </c>
      <c r="R67" s="221" t="str">
        <f>O67-Q67-P67</f>
        <v>#VALUE!</v>
      </c>
      <c r="S67" s="528"/>
      <c r="T67" s="221" t="s">
        <v>84</v>
      </c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45"/>
      <c r="AI67" s="145"/>
      <c r="AJ67" s="145"/>
    </row>
    <row r="68" ht="34.5" customHeight="1">
      <c r="A68" s="528" t="str">
        <f>#REF!+1</f>
        <v>#REF!</v>
      </c>
      <c r="B68" s="528" t="s">
        <v>16</v>
      </c>
      <c r="C68" s="528" t="s">
        <v>1697</v>
      </c>
      <c r="D68" s="522" t="s">
        <v>40</v>
      </c>
      <c r="E68" s="532" t="s">
        <v>1688</v>
      </c>
      <c r="F68" s="528" t="s">
        <v>35</v>
      </c>
      <c r="G68" s="221" t="s">
        <v>21</v>
      </c>
      <c r="H68" s="529">
        <v>45934.0</v>
      </c>
      <c r="I68" s="221" t="s">
        <v>92</v>
      </c>
      <c r="J68" s="530">
        <v>45960.0</v>
      </c>
      <c r="K68" s="531">
        <v>45964.0</v>
      </c>
      <c r="L68" s="528">
        <v>10.0</v>
      </c>
      <c r="M68" s="528"/>
      <c r="N68" s="528">
        <v>10.0</v>
      </c>
      <c r="O68" s="221">
        <f t="shared" si="7"/>
        <v>0</v>
      </c>
      <c r="P68" s="533" t="s">
        <v>1689</v>
      </c>
      <c r="Q68" s="221" t="s">
        <v>70</v>
      </c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45"/>
      <c r="AI68" s="145"/>
      <c r="AJ68" s="145"/>
    </row>
    <row r="69" ht="36.0" customHeight="1">
      <c r="A69" s="535"/>
      <c r="B69" s="528" t="s">
        <v>16</v>
      </c>
      <c r="C69" s="528" t="s">
        <v>1698</v>
      </c>
      <c r="D69" s="528" t="s">
        <v>40</v>
      </c>
      <c r="E69" s="528" t="s">
        <v>1699</v>
      </c>
      <c r="F69" s="528" t="s">
        <v>34</v>
      </c>
      <c r="G69" s="221" t="s">
        <v>23</v>
      </c>
      <c r="H69" s="528" t="s">
        <v>1648</v>
      </c>
      <c r="I69" s="221" t="s">
        <v>76</v>
      </c>
      <c r="J69" s="530">
        <v>45981.0</v>
      </c>
      <c r="K69" s="530">
        <v>45998.0</v>
      </c>
      <c r="L69" s="528">
        <v>35.0</v>
      </c>
      <c r="M69" s="528">
        <v>0.0</v>
      </c>
      <c r="N69" s="528">
        <v>35.0</v>
      </c>
      <c r="O69" s="221">
        <v>0.0</v>
      </c>
      <c r="P69" s="156" t="s">
        <v>1640</v>
      </c>
      <c r="Q69" s="221" t="s">
        <v>70</v>
      </c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45"/>
      <c r="AI69" s="145"/>
      <c r="AJ69" s="145"/>
    </row>
    <row r="70" ht="37.5" customHeight="1">
      <c r="A70" s="56" t="str">
        <f>A15+1</f>
        <v>#REF!</v>
      </c>
      <c r="B70" s="56" t="s">
        <v>16</v>
      </c>
      <c r="C70" s="56" t="s">
        <v>1700</v>
      </c>
      <c r="D70" s="56" t="s">
        <v>41</v>
      </c>
      <c r="E70" s="56" t="s">
        <v>1701</v>
      </c>
      <c r="F70" s="56" t="s">
        <v>34</v>
      </c>
      <c r="G70" s="201" t="s">
        <v>23</v>
      </c>
      <c r="H70" s="56" t="s">
        <v>1613</v>
      </c>
      <c r="I70" s="201" t="s">
        <v>76</v>
      </c>
      <c r="J70" s="439">
        <v>45940.0</v>
      </c>
      <c r="K70" s="521">
        <v>45990.0</v>
      </c>
      <c r="L70" s="56">
        <v>65.0</v>
      </c>
      <c r="M70" s="56">
        <v>17.0</v>
      </c>
      <c r="N70" s="56">
        <v>48.0</v>
      </c>
      <c r="O70" s="463">
        <f t="shared" ref="O70:O74" si="8">L70-N70-M70</f>
        <v>0</v>
      </c>
      <c r="P70" s="201" t="s">
        <v>1620</v>
      </c>
      <c r="Q70" s="201" t="s">
        <v>70</v>
      </c>
      <c r="R70" s="513"/>
      <c r="S70" s="513"/>
      <c r="T70" s="513"/>
      <c r="U70" s="513"/>
      <c r="V70" s="513"/>
      <c r="W70" s="513"/>
      <c r="X70" s="513"/>
      <c r="Y70" s="513"/>
      <c r="Z70" s="513"/>
      <c r="AA70" s="513"/>
      <c r="AB70" s="513"/>
      <c r="AC70" s="513"/>
      <c r="AD70" s="513"/>
      <c r="AE70" s="513"/>
      <c r="AF70" s="513"/>
      <c r="AG70" s="513"/>
    </row>
    <row r="71">
      <c r="A71" s="528"/>
      <c r="B71" s="528" t="s">
        <v>16</v>
      </c>
      <c r="C71" s="528" t="s">
        <v>367</v>
      </c>
      <c r="D71" s="533" t="s">
        <v>42</v>
      </c>
      <c r="E71" s="528" t="s">
        <v>1692</v>
      </c>
      <c r="F71" s="528" t="s">
        <v>34</v>
      </c>
      <c r="G71" s="221" t="s">
        <v>23</v>
      </c>
      <c r="H71" s="529">
        <v>45934.0</v>
      </c>
      <c r="I71" s="221" t="s">
        <v>76</v>
      </c>
      <c r="J71" s="439">
        <v>45960.0</v>
      </c>
      <c r="K71" s="521">
        <v>45964.0</v>
      </c>
      <c r="L71" s="528">
        <v>10.0</v>
      </c>
      <c r="M71" s="528">
        <v>0.0</v>
      </c>
      <c r="N71" s="528">
        <v>10.0</v>
      </c>
      <c r="O71" s="221">
        <f t="shared" si="8"/>
        <v>0</v>
      </c>
      <c r="P71" s="179" t="s">
        <v>1702</v>
      </c>
      <c r="Q71" s="221" t="s">
        <v>70</v>
      </c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  <c r="AG71" s="179"/>
      <c r="AH71" s="145"/>
      <c r="AI71" s="145"/>
      <c r="AJ71" s="145"/>
    </row>
    <row r="72" ht="30.0" customHeight="1">
      <c r="A72" s="528">
        <f>A76+1</f>
        <v>1</v>
      </c>
      <c r="B72" s="528" t="s">
        <v>16</v>
      </c>
      <c r="C72" s="528" t="s">
        <v>1703</v>
      </c>
      <c r="D72" s="533" t="s">
        <v>42</v>
      </c>
      <c r="E72" s="528" t="s">
        <v>1704</v>
      </c>
      <c r="F72" s="528" t="s">
        <v>34</v>
      </c>
      <c r="G72" s="212" t="s">
        <v>23</v>
      </c>
      <c r="H72" s="533" t="s">
        <v>1619</v>
      </c>
      <c r="I72" s="221" t="s">
        <v>76</v>
      </c>
      <c r="J72" s="530">
        <v>45824.0</v>
      </c>
      <c r="K72" s="531">
        <v>46004.0</v>
      </c>
      <c r="L72" s="528">
        <v>180.0</v>
      </c>
      <c r="M72" s="535"/>
      <c r="N72" s="528">
        <v>180.0</v>
      </c>
      <c r="O72" s="221">
        <f t="shared" si="8"/>
        <v>0</v>
      </c>
      <c r="P72" s="535"/>
      <c r="Q72" s="221" t="s">
        <v>70</v>
      </c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45"/>
      <c r="AI72" s="145"/>
      <c r="AJ72" s="145"/>
    </row>
    <row r="73" ht="33.0" customHeight="1">
      <c r="A73" s="528">
        <f t="shared" ref="A73:A74" si="9">A72+1</f>
        <v>2</v>
      </c>
      <c r="B73" s="528" t="s">
        <v>16</v>
      </c>
      <c r="C73" s="528" t="s">
        <v>1705</v>
      </c>
      <c r="D73" s="533" t="s">
        <v>43</v>
      </c>
      <c r="E73" s="528" t="s">
        <v>1704</v>
      </c>
      <c r="F73" s="528" t="s">
        <v>34</v>
      </c>
      <c r="G73" s="212" t="s">
        <v>23</v>
      </c>
      <c r="H73" s="533" t="s">
        <v>1619</v>
      </c>
      <c r="I73" s="221" t="s">
        <v>76</v>
      </c>
      <c r="J73" s="530">
        <v>45824.0</v>
      </c>
      <c r="K73" s="531">
        <v>46004.0</v>
      </c>
      <c r="L73" s="528">
        <v>180.0</v>
      </c>
      <c r="M73" s="533">
        <v>0.0</v>
      </c>
      <c r="N73" s="528">
        <v>180.0</v>
      </c>
      <c r="O73" s="221">
        <f t="shared" si="8"/>
        <v>0</v>
      </c>
      <c r="P73" s="535"/>
      <c r="Q73" s="221" t="s">
        <v>70</v>
      </c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45"/>
      <c r="AI73" s="145"/>
      <c r="AJ73" s="145"/>
    </row>
    <row r="74" ht="33.0" customHeight="1">
      <c r="A74" s="528">
        <f t="shared" si="9"/>
        <v>3</v>
      </c>
      <c r="B74" s="528" t="s">
        <v>16</v>
      </c>
      <c r="C74" s="528" t="s">
        <v>896</v>
      </c>
      <c r="D74" s="536" t="s">
        <v>44</v>
      </c>
      <c r="E74" s="528" t="s">
        <v>1706</v>
      </c>
      <c r="F74" s="528" t="s">
        <v>34</v>
      </c>
      <c r="G74" s="221" t="s">
        <v>22</v>
      </c>
      <c r="H74" s="533" t="s">
        <v>1707</v>
      </c>
      <c r="I74" s="221" t="s">
        <v>76</v>
      </c>
      <c r="J74" s="530">
        <v>45940.0</v>
      </c>
      <c r="K74" s="530">
        <v>45980.0</v>
      </c>
      <c r="L74" s="528">
        <v>50.0</v>
      </c>
      <c r="M74" s="535"/>
      <c r="N74" s="528">
        <v>50.0</v>
      </c>
      <c r="O74" s="221">
        <f t="shared" si="8"/>
        <v>0</v>
      </c>
      <c r="P74" s="533" t="s">
        <v>1614</v>
      </c>
      <c r="Q74" s="221" t="s">
        <v>70</v>
      </c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45"/>
      <c r="AI74" s="145"/>
      <c r="AJ74" s="145"/>
    </row>
    <row r="75" ht="37.5" customHeight="1">
      <c r="A75" s="56" t="str">
        <f>A18+1</f>
        <v>#REF!</v>
      </c>
      <c r="B75" s="56" t="s">
        <v>16</v>
      </c>
      <c r="C75" s="56" t="s">
        <v>896</v>
      </c>
      <c r="D75" s="56" t="s">
        <v>44</v>
      </c>
      <c r="E75" s="56" t="s">
        <v>1708</v>
      </c>
      <c r="F75" s="56" t="s">
        <v>1655</v>
      </c>
      <c r="G75" s="201" t="s">
        <v>29</v>
      </c>
      <c r="H75" s="56">
        <v>4.0</v>
      </c>
      <c r="I75" s="201" t="s">
        <v>92</v>
      </c>
      <c r="J75" s="439"/>
      <c r="K75" s="521"/>
      <c r="L75" s="56">
        <v>4.0</v>
      </c>
      <c r="M75" s="56"/>
      <c r="N75" s="56">
        <v>4.0</v>
      </c>
      <c r="O75" s="201">
        <v>0.0</v>
      </c>
      <c r="P75" s="201"/>
      <c r="Q75" s="201" t="s">
        <v>70</v>
      </c>
      <c r="R75" s="513"/>
      <c r="S75" s="513"/>
      <c r="T75" s="513"/>
      <c r="U75" s="513"/>
      <c r="V75" s="513"/>
      <c r="W75" s="513"/>
      <c r="X75" s="513"/>
      <c r="Y75" s="513"/>
      <c r="Z75" s="513"/>
      <c r="AA75" s="513"/>
      <c r="AB75" s="513"/>
      <c r="AC75" s="513"/>
      <c r="AD75" s="513"/>
      <c r="AE75" s="513"/>
      <c r="AF75" s="513"/>
      <c r="AG75" s="513"/>
    </row>
    <row r="76" ht="39.75" customHeight="1">
      <c r="A76" s="56"/>
      <c r="B76" s="56" t="s">
        <v>16</v>
      </c>
      <c r="C76" s="56" t="s">
        <v>1059</v>
      </c>
      <c r="D76" s="56" t="s">
        <v>45</v>
      </c>
      <c r="E76" s="56" t="s">
        <v>1709</v>
      </c>
      <c r="F76" s="56" t="s">
        <v>35</v>
      </c>
      <c r="G76" s="201" t="s">
        <v>23</v>
      </c>
      <c r="H76" s="523">
        <v>45934.0</v>
      </c>
      <c r="I76" s="201" t="s">
        <v>92</v>
      </c>
      <c r="J76" s="439">
        <v>45960.0</v>
      </c>
      <c r="K76" s="439">
        <v>45964.0</v>
      </c>
      <c r="L76" s="56">
        <v>10.0</v>
      </c>
      <c r="M76" s="56">
        <v>0.0</v>
      </c>
      <c r="N76" s="56">
        <v>10.0</v>
      </c>
      <c r="O76" s="201">
        <v>0.0</v>
      </c>
      <c r="P76" s="416" t="s">
        <v>1710</v>
      </c>
      <c r="Q76" s="201" t="s">
        <v>70</v>
      </c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</row>
    <row r="77" ht="39.75" customHeight="1">
      <c r="A77" s="56"/>
      <c r="B77" s="56" t="s">
        <v>16</v>
      </c>
      <c r="C77" s="56" t="s">
        <v>1184</v>
      </c>
      <c r="D77" s="56" t="s">
        <v>45</v>
      </c>
      <c r="E77" s="56" t="s">
        <v>1711</v>
      </c>
      <c r="F77" s="56" t="s">
        <v>35</v>
      </c>
      <c r="G77" s="201" t="s">
        <v>23</v>
      </c>
      <c r="H77" s="56" t="s">
        <v>1712</v>
      </c>
      <c r="I77" s="201" t="s">
        <v>76</v>
      </c>
      <c r="J77" s="439">
        <v>45960.0</v>
      </c>
      <c r="K77" s="439">
        <v>45989.0</v>
      </c>
      <c r="L77" s="56">
        <v>39.0</v>
      </c>
      <c r="M77" s="56">
        <v>0.0</v>
      </c>
      <c r="N77" s="56">
        <v>39.0</v>
      </c>
      <c r="O77" s="201">
        <v>0.0</v>
      </c>
      <c r="P77" s="416" t="s">
        <v>1710</v>
      </c>
      <c r="Q77" s="201" t="s">
        <v>70</v>
      </c>
      <c r="R77" s="513"/>
      <c r="S77" s="513"/>
      <c r="T77" s="513"/>
      <c r="U77" s="513"/>
      <c r="V77" s="513"/>
      <c r="W77" s="513"/>
      <c r="X77" s="513"/>
      <c r="Y77" s="513"/>
      <c r="Z77" s="513"/>
      <c r="AA77" s="513"/>
      <c r="AB77" s="513"/>
      <c r="AC77" s="513"/>
      <c r="AD77" s="513"/>
      <c r="AE77" s="513"/>
      <c r="AF77" s="513"/>
      <c r="AG77" s="513"/>
    </row>
    <row r="78" ht="39.75" customHeight="1">
      <c r="A78" s="56"/>
      <c r="B78" s="56" t="s">
        <v>16</v>
      </c>
      <c r="C78" s="56" t="s">
        <v>1200</v>
      </c>
      <c r="D78" s="56" t="s">
        <v>45</v>
      </c>
      <c r="E78" s="56" t="s">
        <v>1709</v>
      </c>
      <c r="F78" s="56" t="s">
        <v>35</v>
      </c>
      <c r="G78" s="201" t="s">
        <v>23</v>
      </c>
      <c r="H78" s="523">
        <v>45934.0</v>
      </c>
      <c r="I78" s="201" t="s">
        <v>76</v>
      </c>
      <c r="J78" s="439">
        <v>45960.0</v>
      </c>
      <c r="K78" s="439">
        <v>45964.0</v>
      </c>
      <c r="L78" s="56">
        <v>10.0</v>
      </c>
      <c r="M78" s="56">
        <v>0.0</v>
      </c>
      <c r="N78" s="56">
        <v>10.0</v>
      </c>
      <c r="O78" s="201">
        <v>0.0</v>
      </c>
      <c r="P78" s="416" t="s">
        <v>1710</v>
      </c>
      <c r="Q78" s="201" t="s">
        <v>70</v>
      </c>
      <c r="R78" s="513"/>
      <c r="S78" s="513"/>
      <c r="T78" s="513"/>
      <c r="U78" s="513"/>
      <c r="V78" s="513"/>
      <c r="W78" s="513"/>
      <c r="X78" s="513"/>
      <c r="Y78" s="513"/>
      <c r="Z78" s="513"/>
      <c r="AA78" s="513"/>
      <c r="AB78" s="513"/>
      <c r="AC78" s="513"/>
      <c r="AD78" s="513"/>
      <c r="AE78" s="513"/>
      <c r="AF78" s="513"/>
      <c r="AG78" s="513"/>
    </row>
    <row r="79" ht="39.75" customHeight="1">
      <c r="A79" s="56"/>
      <c r="B79" s="56" t="s">
        <v>16</v>
      </c>
      <c r="C79" s="56" t="s">
        <v>1197</v>
      </c>
      <c r="D79" s="56" t="s">
        <v>45</v>
      </c>
      <c r="E79" s="56" t="s">
        <v>1709</v>
      </c>
      <c r="F79" s="56" t="s">
        <v>35</v>
      </c>
      <c r="G79" s="201" t="s">
        <v>23</v>
      </c>
      <c r="H79" s="523">
        <v>45934.0</v>
      </c>
      <c r="I79" s="201" t="s">
        <v>76</v>
      </c>
      <c r="J79" s="439">
        <v>45960.0</v>
      </c>
      <c r="K79" s="439">
        <v>45964.0</v>
      </c>
      <c r="L79" s="56">
        <v>10.0</v>
      </c>
      <c r="M79" s="56">
        <v>0.0</v>
      </c>
      <c r="N79" s="56">
        <v>10.0</v>
      </c>
      <c r="O79" s="201">
        <v>0.0</v>
      </c>
      <c r="P79" s="416" t="s">
        <v>1710</v>
      </c>
      <c r="Q79" s="201" t="s">
        <v>70</v>
      </c>
      <c r="R79" s="513"/>
      <c r="S79" s="513"/>
      <c r="T79" s="513"/>
      <c r="U79" s="513"/>
      <c r="V79" s="513"/>
      <c r="W79" s="513"/>
      <c r="X79" s="513"/>
      <c r="Y79" s="513"/>
      <c r="Z79" s="513"/>
      <c r="AA79" s="513"/>
      <c r="AB79" s="513"/>
      <c r="AC79" s="513"/>
      <c r="AD79" s="513"/>
      <c r="AE79" s="513"/>
      <c r="AF79" s="513"/>
      <c r="AG79" s="513"/>
    </row>
    <row r="80" ht="39.75" customHeight="1">
      <c r="A80" s="56"/>
      <c r="B80" s="56" t="s">
        <v>16</v>
      </c>
      <c r="C80" s="56" t="s">
        <v>1216</v>
      </c>
      <c r="D80" s="56" t="s">
        <v>45</v>
      </c>
      <c r="E80" s="56" t="s">
        <v>1709</v>
      </c>
      <c r="F80" s="56" t="s">
        <v>35</v>
      </c>
      <c r="G80" s="201" t="s">
        <v>23</v>
      </c>
      <c r="H80" s="523">
        <v>45934.0</v>
      </c>
      <c r="I80" s="201" t="s">
        <v>92</v>
      </c>
      <c r="J80" s="439">
        <v>45960.0</v>
      </c>
      <c r="K80" s="439">
        <v>45964.0</v>
      </c>
      <c r="L80" s="56">
        <v>10.0</v>
      </c>
      <c r="M80" s="56">
        <v>0.0</v>
      </c>
      <c r="N80" s="56">
        <v>10.0</v>
      </c>
      <c r="O80" s="201">
        <v>0.0</v>
      </c>
      <c r="P80" s="416" t="s">
        <v>1710</v>
      </c>
      <c r="Q80" s="201" t="s">
        <v>70</v>
      </c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</row>
    <row r="81" ht="39.75" customHeight="1">
      <c r="A81" s="56"/>
      <c r="B81" s="56" t="s">
        <v>16</v>
      </c>
      <c r="C81" s="56" t="s">
        <v>1713</v>
      </c>
      <c r="D81" s="56" t="s">
        <v>46</v>
      </c>
      <c r="E81" s="56" t="s">
        <v>1714</v>
      </c>
      <c r="F81" s="56" t="s">
        <v>34</v>
      </c>
      <c r="G81" s="201" t="s">
        <v>23</v>
      </c>
      <c r="H81" s="56" t="s">
        <v>1628</v>
      </c>
      <c r="I81" s="201" t="s">
        <v>76</v>
      </c>
      <c r="J81" s="439">
        <v>45985.0</v>
      </c>
      <c r="K81" s="439">
        <v>46010.0</v>
      </c>
      <c r="L81" s="56">
        <v>40.0</v>
      </c>
      <c r="M81" s="56">
        <v>0.0</v>
      </c>
      <c r="N81" s="56">
        <v>40.0</v>
      </c>
      <c r="O81" s="201">
        <f>L81-N81-M81</f>
        <v>0</v>
      </c>
      <c r="P81" s="416" t="s">
        <v>1640</v>
      </c>
      <c r="Q81" s="201" t="s">
        <v>70</v>
      </c>
      <c r="R81" s="513"/>
      <c r="S81" s="513"/>
      <c r="T81" s="513"/>
      <c r="U81" s="513"/>
      <c r="V81" s="513"/>
      <c r="W81" s="513"/>
      <c r="X81" s="513"/>
      <c r="Y81" s="513"/>
      <c r="Z81" s="513"/>
      <c r="AA81" s="513"/>
      <c r="AB81" s="513"/>
      <c r="AC81" s="513"/>
      <c r="AD81" s="513"/>
      <c r="AE81" s="513"/>
      <c r="AF81" s="513"/>
      <c r="AG81" s="513"/>
    </row>
    <row r="82">
      <c r="A82" s="528" t="str">
        <f>A62+1</f>
        <v>#REF!</v>
      </c>
      <c r="B82" s="221" t="s">
        <v>16</v>
      </c>
      <c r="C82" s="221" t="s">
        <v>1715</v>
      </c>
      <c r="D82" s="205" t="s">
        <v>46</v>
      </c>
      <c r="E82" s="221" t="s">
        <v>1716</v>
      </c>
      <c r="F82" s="221" t="s">
        <v>35</v>
      </c>
      <c r="G82" s="221" t="s">
        <v>21</v>
      </c>
      <c r="H82" s="533">
        <v>10.0</v>
      </c>
      <c r="I82" s="221" t="s">
        <v>92</v>
      </c>
      <c r="J82" s="439"/>
      <c r="K82" s="521"/>
      <c r="L82" s="221">
        <v>10.0</v>
      </c>
      <c r="M82" s="221">
        <v>0.0</v>
      </c>
      <c r="N82" s="221">
        <v>10.0</v>
      </c>
      <c r="O82" s="221">
        <f t="shared" ref="O82:O84" si="10">L82-M82-N82</f>
        <v>0</v>
      </c>
      <c r="P82" s="221" t="s">
        <v>1717</v>
      </c>
      <c r="Q82" s="221" t="s">
        <v>70</v>
      </c>
      <c r="R82" s="537"/>
      <c r="S82" s="537"/>
      <c r="T82" s="537"/>
      <c r="U82" s="537"/>
      <c r="V82" s="537"/>
      <c r="W82" s="537"/>
      <c r="X82" s="537"/>
      <c r="Y82" s="537"/>
      <c r="Z82" s="538"/>
      <c r="AA82" s="538"/>
      <c r="AB82" s="537"/>
      <c r="AC82" s="537"/>
      <c r="AD82" s="537"/>
      <c r="AE82" s="537"/>
      <c r="AF82" s="537"/>
      <c r="AG82" s="537"/>
      <c r="AH82" s="159"/>
      <c r="AI82" s="159"/>
      <c r="AJ82" s="159"/>
    </row>
    <row r="83" ht="33.0" customHeight="1">
      <c r="A83" s="56" t="str">
        <f>#REF!+1</f>
        <v>#REF!</v>
      </c>
      <c r="B83" s="384" t="s">
        <v>16</v>
      </c>
      <c r="C83" s="201" t="s">
        <v>1718</v>
      </c>
      <c r="D83" s="201" t="s">
        <v>46</v>
      </c>
      <c r="E83" s="201" t="s">
        <v>1719</v>
      </c>
      <c r="F83" s="201" t="s">
        <v>34</v>
      </c>
      <c r="G83" s="201" t="s">
        <v>22</v>
      </c>
      <c r="H83" s="201" t="s">
        <v>1619</v>
      </c>
      <c r="I83" s="201" t="s">
        <v>76</v>
      </c>
      <c r="J83" s="459">
        <v>45940.0</v>
      </c>
      <c r="K83" s="459">
        <v>45755.0</v>
      </c>
      <c r="L83" s="201">
        <v>180.0</v>
      </c>
      <c r="M83" s="201">
        <v>45.0</v>
      </c>
      <c r="N83" s="201">
        <v>135.0</v>
      </c>
      <c r="O83" s="201">
        <f t="shared" si="10"/>
        <v>0</v>
      </c>
      <c r="P83" s="201" t="s">
        <v>1614</v>
      </c>
      <c r="Q83" s="201" t="s">
        <v>70</v>
      </c>
      <c r="R83" s="201"/>
      <c r="S83" s="384"/>
      <c r="T83" s="201"/>
      <c r="U83" s="201"/>
      <c r="V83" s="201"/>
      <c r="W83" s="201"/>
      <c r="X83" s="201"/>
      <c r="Y83" s="201"/>
      <c r="Z83" s="459"/>
      <c r="AA83" s="459"/>
      <c r="AB83" s="201"/>
      <c r="AC83" s="201"/>
      <c r="AD83" s="201"/>
      <c r="AE83" s="201"/>
      <c r="AF83" s="201"/>
      <c r="AG83" s="201"/>
      <c r="AH83" s="148"/>
      <c r="AI83" s="148"/>
      <c r="AJ83" s="148"/>
    </row>
    <row r="84" ht="39.75" customHeight="1">
      <c r="A84" s="56"/>
      <c r="B84" s="56" t="s">
        <v>16</v>
      </c>
      <c r="C84" s="56" t="s">
        <v>1720</v>
      </c>
      <c r="D84" s="56" t="s">
        <v>46</v>
      </c>
      <c r="E84" s="56" t="s">
        <v>1721</v>
      </c>
      <c r="F84" s="56" t="s">
        <v>35</v>
      </c>
      <c r="G84" s="201" t="s">
        <v>23</v>
      </c>
      <c r="H84" s="56" t="s">
        <v>1609</v>
      </c>
      <c r="I84" s="201" t="s">
        <v>76</v>
      </c>
      <c r="J84" s="439">
        <v>45974.0</v>
      </c>
      <c r="K84" s="439">
        <v>45984.0</v>
      </c>
      <c r="L84" s="56">
        <v>39.0</v>
      </c>
      <c r="M84" s="56">
        <v>5.0</v>
      </c>
      <c r="N84" s="56">
        <v>34.0</v>
      </c>
      <c r="O84" s="201">
        <f t="shared" si="10"/>
        <v>0</v>
      </c>
      <c r="P84" s="201" t="s">
        <v>1702</v>
      </c>
      <c r="Q84" s="201" t="s">
        <v>70</v>
      </c>
      <c r="R84" s="513"/>
      <c r="S84" s="513"/>
      <c r="T84" s="513"/>
      <c r="U84" s="513"/>
      <c r="V84" s="513"/>
      <c r="W84" s="513"/>
      <c r="X84" s="513"/>
      <c r="Y84" s="513"/>
      <c r="Z84" s="513"/>
      <c r="AA84" s="513"/>
      <c r="AB84" s="513"/>
      <c r="AC84" s="513"/>
      <c r="AD84" s="513"/>
      <c r="AE84" s="513"/>
      <c r="AF84" s="513"/>
      <c r="AG84" s="513"/>
    </row>
    <row r="85" ht="39.75" customHeight="1">
      <c r="A85" s="56"/>
      <c r="B85" s="56" t="s">
        <v>16</v>
      </c>
      <c r="C85" s="56" t="s">
        <v>1483</v>
      </c>
      <c r="D85" s="56" t="s">
        <v>47</v>
      </c>
      <c r="E85" s="56" t="s">
        <v>1722</v>
      </c>
      <c r="F85" s="56" t="s">
        <v>35</v>
      </c>
      <c r="G85" s="201" t="s">
        <v>21</v>
      </c>
      <c r="H85" s="523">
        <v>45934.0</v>
      </c>
      <c r="I85" s="201" t="s">
        <v>76</v>
      </c>
      <c r="J85" s="439">
        <v>45960.0</v>
      </c>
      <c r="K85" s="439">
        <v>45964.0</v>
      </c>
      <c r="L85" s="56">
        <v>10.0</v>
      </c>
      <c r="M85" s="56">
        <v>0.0</v>
      </c>
      <c r="N85" s="56">
        <v>10.0</v>
      </c>
      <c r="O85" s="201">
        <v>0.0</v>
      </c>
      <c r="P85" s="205"/>
      <c r="Q85" s="201" t="s">
        <v>70</v>
      </c>
      <c r="R85" s="513"/>
      <c r="S85" s="513"/>
      <c r="T85" s="513"/>
      <c r="U85" s="513"/>
      <c r="V85" s="513"/>
      <c r="W85" s="513"/>
      <c r="X85" s="513"/>
      <c r="Y85" s="513"/>
      <c r="Z85" s="513"/>
      <c r="AA85" s="513"/>
      <c r="AB85" s="513"/>
      <c r="AC85" s="513"/>
      <c r="AD85" s="513"/>
      <c r="AE85" s="513"/>
      <c r="AF85" s="513"/>
      <c r="AG85" s="513"/>
    </row>
    <row r="86" ht="39.75" customHeight="1">
      <c r="A86" s="56"/>
      <c r="B86" s="56" t="s">
        <v>16</v>
      </c>
      <c r="C86" s="56" t="s">
        <v>1483</v>
      </c>
      <c r="D86" s="56" t="s">
        <v>47</v>
      </c>
      <c r="E86" s="56" t="s">
        <v>1723</v>
      </c>
      <c r="F86" s="56" t="s">
        <v>35</v>
      </c>
      <c r="G86" s="201" t="s">
        <v>24</v>
      </c>
      <c r="H86" s="56" t="s">
        <v>1609</v>
      </c>
      <c r="I86" s="201" t="s">
        <v>76</v>
      </c>
      <c r="J86" s="439">
        <v>45985.0</v>
      </c>
      <c r="K86" s="439">
        <v>46011.0</v>
      </c>
      <c r="L86" s="56">
        <v>39.0</v>
      </c>
      <c r="M86" s="56">
        <v>0.0</v>
      </c>
      <c r="N86" s="56">
        <v>39.0</v>
      </c>
      <c r="O86" s="201">
        <v>0.0</v>
      </c>
      <c r="P86" s="205" t="s">
        <v>1640</v>
      </c>
      <c r="Q86" s="201" t="s">
        <v>70</v>
      </c>
      <c r="R86" s="513"/>
      <c r="S86" s="513"/>
      <c r="T86" s="513"/>
      <c r="U86" s="513"/>
      <c r="V86" s="513"/>
      <c r="W86" s="513"/>
      <c r="X86" s="513"/>
      <c r="Y86" s="513"/>
      <c r="Z86" s="513"/>
      <c r="AA86" s="513"/>
      <c r="AB86" s="513"/>
      <c r="AC86" s="513"/>
      <c r="AD86" s="513"/>
      <c r="AE86" s="513"/>
      <c r="AF86" s="513"/>
      <c r="AG86" s="513"/>
    </row>
    <row r="87" ht="37.5" customHeight="1">
      <c r="A87" s="539"/>
      <c r="B87" s="536" t="s">
        <v>17</v>
      </c>
      <c r="C87" s="536" t="s">
        <v>1724</v>
      </c>
      <c r="D87" s="536" t="s">
        <v>40</v>
      </c>
      <c r="E87" s="536" t="s">
        <v>1688</v>
      </c>
      <c r="F87" s="536" t="s">
        <v>35</v>
      </c>
      <c r="G87" s="208" t="s">
        <v>21</v>
      </c>
      <c r="H87" s="540">
        <v>45934.0</v>
      </c>
      <c r="I87" s="208" t="s">
        <v>76</v>
      </c>
      <c r="J87" s="530">
        <v>45960.0</v>
      </c>
      <c r="K87" s="531">
        <v>45964.0</v>
      </c>
      <c r="L87" s="536">
        <v>10.0</v>
      </c>
      <c r="M87" s="535"/>
      <c r="N87" s="536">
        <v>10.0</v>
      </c>
      <c r="O87" s="208">
        <f t="shared" ref="O87:O88" si="11">L87-N87-M87</f>
        <v>0</v>
      </c>
      <c r="P87" s="268" t="s">
        <v>1689</v>
      </c>
      <c r="Q87" s="208" t="s">
        <v>70</v>
      </c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45"/>
      <c r="AI87" s="145"/>
      <c r="AJ87" s="145"/>
    </row>
    <row r="88" ht="37.5" customHeight="1">
      <c r="A88" s="56"/>
      <c r="B88" s="56" t="s">
        <v>17</v>
      </c>
      <c r="C88" s="56" t="s">
        <v>1725</v>
      </c>
      <c r="D88" s="416" t="s">
        <v>40</v>
      </c>
      <c r="E88" s="534" t="s">
        <v>1726</v>
      </c>
      <c r="F88" s="56" t="s">
        <v>35</v>
      </c>
      <c r="G88" s="201" t="s">
        <v>21</v>
      </c>
      <c r="H88" s="523">
        <v>45934.0</v>
      </c>
      <c r="I88" s="201" t="s">
        <v>76</v>
      </c>
      <c r="J88" s="439">
        <v>45960.0</v>
      </c>
      <c r="K88" s="521">
        <v>45964.0</v>
      </c>
      <c r="L88" s="56">
        <v>10.0</v>
      </c>
      <c r="M88" s="59"/>
      <c r="N88" s="56">
        <v>10.0</v>
      </c>
      <c r="O88" s="463">
        <f t="shared" si="11"/>
        <v>0</v>
      </c>
      <c r="P88" s="56" t="s">
        <v>1689</v>
      </c>
      <c r="Q88" s="201" t="s">
        <v>70</v>
      </c>
      <c r="R88" s="513"/>
      <c r="S88" s="513"/>
      <c r="T88" s="513"/>
      <c r="U88" s="513"/>
      <c r="V88" s="513"/>
      <c r="W88" s="513"/>
      <c r="X88" s="513"/>
      <c r="Y88" s="513"/>
      <c r="Z88" s="513"/>
      <c r="AA88" s="513"/>
      <c r="AB88" s="513"/>
      <c r="AC88" s="513"/>
      <c r="AD88" s="513"/>
      <c r="AE88" s="513"/>
      <c r="AF88" s="513"/>
      <c r="AG88" s="513"/>
    </row>
    <row r="89" ht="37.5" customHeight="1">
      <c r="A89" s="56" t="str">
        <f>#REF!+1</f>
        <v>#REF!</v>
      </c>
      <c r="B89" s="56" t="s">
        <v>17</v>
      </c>
      <c r="C89" s="56" t="s">
        <v>1727</v>
      </c>
      <c r="D89" s="416" t="s">
        <v>40</v>
      </c>
      <c r="E89" s="541" t="s">
        <v>1728</v>
      </c>
      <c r="F89" s="56" t="s">
        <v>35</v>
      </c>
      <c r="G89" s="201" t="s">
        <v>21</v>
      </c>
      <c r="H89" s="523">
        <v>45934.0</v>
      </c>
      <c r="I89" s="201" t="s">
        <v>92</v>
      </c>
      <c r="J89" s="439">
        <v>45960.0</v>
      </c>
      <c r="K89" s="439">
        <v>45964.0</v>
      </c>
      <c r="L89" s="56">
        <v>10.0</v>
      </c>
      <c r="M89" s="59"/>
      <c r="N89" s="56">
        <v>10.0</v>
      </c>
      <c r="O89" s="201">
        <v>0.0</v>
      </c>
      <c r="P89" s="56" t="s">
        <v>1689</v>
      </c>
      <c r="Q89" s="201" t="s">
        <v>70</v>
      </c>
      <c r="R89" s="208" t="str">
        <f>O89-Q89-P89</f>
        <v>#VALUE!</v>
      </c>
      <c r="S89" s="535"/>
      <c r="T89" s="208" t="s">
        <v>100</v>
      </c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45"/>
      <c r="AI89" s="145"/>
      <c r="AJ89" s="145"/>
    </row>
    <row r="90" ht="39.75" customHeight="1">
      <c r="A90" s="56"/>
      <c r="B90" s="56" t="s">
        <v>17</v>
      </c>
      <c r="C90" s="56" t="s">
        <v>125</v>
      </c>
      <c r="D90" s="56" t="s">
        <v>40</v>
      </c>
      <c r="E90" s="56" t="s">
        <v>1729</v>
      </c>
      <c r="F90" s="56" t="s">
        <v>34</v>
      </c>
      <c r="G90" s="201" t="s">
        <v>20</v>
      </c>
      <c r="H90" s="56" t="s">
        <v>1628</v>
      </c>
      <c r="I90" s="201" t="s">
        <v>76</v>
      </c>
      <c r="J90" s="439">
        <v>45985.0</v>
      </c>
      <c r="K90" s="439">
        <v>46010.0</v>
      </c>
      <c r="L90" s="56">
        <v>40.0</v>
      </c>
      <c r="M90" s="56">
        <v>0.0</v>
      </c>
      <c r="N90" s="56">
        <v>40.0</v>
      </c>
      <c r="O90" s="201">
        <v>0.0</v>
      </c>
      <c r="P90" s="205" t="s">
        <v>1640</v>
      </c>
      <c r="Q90" s="201" t="s">
        <v>70</v>
      </c>
      <c r="R90" s="513"/>
      <c r="S90" s="513"/>
      <c r="T90" s="513"/>
      <c r="U90" s="513"/>
      <c r="V90" s="513"/>
      <c r="W90" s="513"/>
      <c r="X90" s="513"/>
      <c r="Y90" s="513"/>
      <c r="Z90" s="513"/>
      <c r="AA90" s="513"/>
      <c r="AB90" s="513"/>
      <c r="AC90" s="513"/>
      <c r="AD90" s="513"/>
      <c r="AE90" s="513"/>
      <c r="AF90" s="513"/>
      <c r="AG90" s="513"/>
    </row>
    <row r="91" ht="34.5" customHeight="1">
      <c r="A91" s="56" t="str">
        <f>A24+1</f>
        <v>#REF!</v>
      </c>
      <c r="B91" s="56" t="s">
        <v>17</v>
      </c>
      <c r="C91" s="56" t="s">
        <v>1641</v>
      </c>
      <c r="D91" s="416" t="s">
        <v>41</v>
      </c>
      <c r="E91" s="524" t="s">
        <v>1730</v>
      </c>
      <c r="F91" s="56" t="s">
        <v>34</v>
      </c>
      <c r="G91" s="201" t="s">
        <v>23</v>
      </c>
      <c r="H91" s="56" t="s">
        <v>1681</v>
      </c>
      <c r="I91" s="201" t="s">
        <v>76</v>
      </c>
      <c r="J91" s="439">
        <v>45960.0</v>
      </c>
      <c r="K91" s="439">
        <v>45670.0</v>
      </c>
      <c r="L91" s="56">
        <v>85.0</v>
      </c>
      <c r="M91" s="59"/>
      <c r="N91" s="56">
        <v>85.0</v>
      </c>
      <c r="O91" s="201">
        <v>0.0</v>
      </c>
      <c r="P91" s="56" t="s">
        <v>1623</v>
      </c>
      <c r="Q91" s="201" t="s">
        <v>70</v>
      </c>
      <c r="R91" s="513"/>
      <c r="S91" s="513"/>
      <c r="T91" s="513"/>
      <c r="U91" s="513"/>
      <c r="V91" s="513"/>
      <c r="W91" s="513"/>
      <c r="X91" s="513"/>
      <c r="Y91" s="513"/>
      <c r="Z91" s="513"/>
      <c r="AA91" s="513"/>
      <c r="AB91" s="513"/>
      <c r="AC91" s="513"/>
      <c r="AD91" s="513"/>
      <c r="AE91" s="513"/>
      <c r="AF91" s="513"/>
      <c r="AG91" s="513"/>
    </row>
    <row r="92" ht="34.5" customHeight="1">
      <c r="A92" s="56" t="str">
        <f>#REF!+1</f>
        <v>#REF!</v>
      </c>
      <c r="B92" s="208" t="s">
        <v>17</v>
      </c>
      <c r="C92" s="208" t="s">
        <v>1731</v>
      </c>
      <c r="D92" s="215" t="s">
        <v>41</v>
      </c>
      <c r="E92" s="150" t="s">
        <v>1732</v>
      </c>
      <c r="F92" s="208" t="s">
        <v>35</v>
      </c>
      <c r="G92" s="208" t="s">
        <v>21</v>
      </c>
      <c r="H92" s="542">
        <v>45934.0</v>
      </c>
      <c r="I92" s="208" t="s">
        <v>76</v>
      </c>
      <c r="J92" s="209">
        <v>45960.0</v>
      </c>
      <c r="K92" s="209">
        <v>45964.0</v>
      </c>
      <c r="L92" s="208">
        <v>10.0</v>
      </c>
      <c r="M92" s="221">
        <v>0.0</v>
      </c>
      <c r="N92" s="205">
        <v>10.0</v>
      </c>
      <c r="O92" s="208">
        <f>L92-N92-M92</f>
        <v>0</v>
      </c>
      <c r="P92" s="221" t="s">
        <v>1623</v>
      </c>
      <c r="Q92" s="205" t="s">
        <v>70</v>
      </c>
      <c r="R92" s="513"/>
      <c r="S92" s="513"/>
      <c r="T92" s="513"/>
      <c r="U92" s="513"/>
      <c r="V92" s="513"/>
      <c r="W92" s="513"/>
      <c r="X92" s="513"/>
      <c r="Y92" s="513"/>
      <c r="Z92" s="513"/>
      <c r="AA92" s="513"/>
      <c r="AB92" s="513"/>
      <c r="AC92" s="513"/>
      <c r="AD92" s="513"/>
      <c r="AE92" s="513"/>
      <c r="AF92" s="513"/>
      <c r="AG92" s="513"/>
    </row>
    <row r="93" ht="39.75" customHeight="1">
      <c r="A93" s="56"/>
      <c r="B93" s="56" t="s">
        <v>17</v>
      </c>
      <c r="C93" s="56" t="s">
        <v>1733</v>
      </c>
      <c r="D93" s="56" t="s">
        <v>41</v>
      </c>
      <c r="E93" s="56" t="s">
        <v>1734</v>
      </c>
      <c r="F93" s="56" t="s">
        <v>34</v>
      </c>
      <c r="G93" s="201" t="s">
        <v>23</v>
      </c>
      <c r="H93" s="56" t="s">
        <v>1628</v>
      </c>
      <c r="I93" s="201" t="s">
        <v>76</v>
      </c>
      <c r="J93" s="439">
        <v>45985.0</v>
      </c>
      <c r="K93" s="439">
        <v>46010.0</v>
      </c>
      <c r="L93" s="56">
        <v>40.0</v>
      </c>
      <c r="M93" s="56">
        <v>0.0</v>
      </c>
      <c r="N93" s="56">
        <v>40.0</v>
      </c>
      <c r="O93" s="201">
        <v>0.0</v>
      </c>
      <c r="P93" s="205" t="s">
        <v>1640</v>
      </c>
      <c r="Q93" s="201" t="s">
        <v>70</v>
      </c>
      <c r="R93" s="513"/>
      <c r="S93" s="513"/>
      <c r="T93" s="513"/>
      <c r="U93" s="513"/>
      <c r="V93" s="513"/>
      <c r="W93" s="513"/>
      <c r="X93" s="513"/>
      <c r="Y93" s="513"/>
      <c r="Z93" s="513"/>
      <c r="AA93" s="513"/>
      <c r="AB93" s="513"/>
      <c r="AC93" s="513"/>
      <c r="AD93" s="513"/>
      <c r="AE93" s="513"/>
      <c r="AF93" s="513"/>
      <c r="AG93" s="513"/>
    </row>
    <row r="94" ht="34.5" customHeight="1">
      <c r="A94" s="56" t="str">
        <f>A92+1</f>
        <v>#REF!</v>
      </c>
      <c r="B94" s="208" t="s">
        <v>17</v>
      </c>
      <c r="C94" s="208" t="s">
        <v>142</v>
      </c>
      <c r="D94" s="215" t="s">
        <v>41</v>
      </c>
      <c r="E94" s="150" t="s">
        <v>1735</v>
      </c>
      <c r="F94" s="208" t="s">
        <v>34</v>
      </c>
      <c r="G94" s="208" t="s">
        <v>21</v>
      </c>
      <c r="H94" s="205" t="s">
        <v>1609</v>
      </c>
      <c r="I94" s="208" t="s">
        <v>76</v>
      </c>
      <c r="J94" s="209">
        <v>45960.0</v>
      </c>
      <c r="K94" s="209">
        <v>45980.0</v>
      </c>
      <c r="L94" s="208">
        <v>39.0</v>
      </c>
      <c r="M94" s="221">
        <v>0.0</v>
      </c>
      <c r="N94" s="205">
        <v>39.0</v>
      </c>
      <c r="O94" s="208">
        <f t="shared" ref="O94:O95" si="12">L94-N94-M94</f>
        <v>0</v>
      </c>
      <c r="P94" s="221" t="s">
        <v>1623</v>
      </c>
      <c r="Q94" s="205" t="s">
        <v>70</v>
      </c>
      <c r="R94" s="513"/>
      <c r="S94" s="513"/>
      <c r="T94" s="513"/>
      <c r="U94" s="513"/>
      <c r="V94" s="513"/>
      <c r="W94" s="513"/>
      <c r="X94" s="513"/>
      <c r="Y94" s="513"/>
      <c r="Z94" s="513"/>
      <c r="AA94" s="513"/>
      <c r="AB94" s="513"/>
      <c r="AC94" s="513"/>
      <c r="AD94" s="513"/>
      <c r="AE94" s="513"/>
      <c r="AF94" s="513"/>
      <c r="AG94" s="513"/>
    </row>
    <row r="95">
      <c r="A95" s="528">
        <f>A102+1</f>
        <v>1</v>
      </c>
      <c r="B95" s="528" t="s">
        <v>17</v>
      </c>
      <c r="C95" s="528" t="s">
        <v>421</v>
      </c>
      <c r="D95" s="533" t="s">
        <v>42</v>
      </c>
      <c r="E95" s="528" t="s">
        <v>1692</v>
      </c>
      <c r="F95" s="533" t="s">
        <v>35</v>
      </c>
      <c r="G95" s="205" t="s">
        <v>21</v>
      </c>
      <c r="H95" s="529">
        <v>45934.0</v>
      </c>
      <c r="I95" s="221" t="s">
        <v>76</v>
      </c>
      <c r="J95" s="543">
        <v>45960.0</v>
      </c>
      <c r="K95" s="544">
        <v>45964.0</v>
      </c>
      <c r="L95" s="528">
        <v>10.0</v>
      </c>
      <c r="M95" s="528">
        <v>0.0</v>
      </c>
      <c r="N95" s="528">
        <v>10.0</v>
      </c>
      <c r="O95" s="221">
        <f t="shared" si="12"/>
        <v>0</v>
      </c>
      <c r="P95" s="221" t="s">
        <v>1736</v>
      </c>
      <c r="Q95" s="221" t="s">
        <v>70</v>
      </c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45"/>
      <c r="AI95" s="145"/>
      <c r="AJ95" s="145"/>
    </row>
    <row r="96" ht="27.0" customHeight="1">
      <c r="A96" s="528"/>
      <c r="B96" s="533" t="s">
        <v>17</v>
      </c>
      <c r="C96" s="533" t="s">
        <v>1737</v>
      </c>
      <c r="D96" s="533" t="s">
        <v>42</v>
      </c>
      <c r="E96" s="533" t="s">
        <v>1692</v>
      </c>
      <c r="F96" s="533" t="s">
        <v>35</v>
      </c>
      <c r="G96" s="205" t="s">
        <v>21</v>
      </c>
      <c r="H96" s="529">
        <v>45934.0</v>
      </c>
      <c r="I96" s="205" t="s">
        <v>76</v>
      </c>
      <c r="J96" s="543">
        <v>45960.0</v>
      </c>
      <c r="K96" s="544">
        <v>45964.0</v>
      </c>
      <c r="L96" s="533">
        <v>10.0</v>
      </c>
      <c r="M96" s="533">
        <v>0.0</v>
      </c>
      <c r="N96" s="533">
        <v>10.0</v>
      </c>
      <c r="O96" s="205">
        <v>0.0</v>
      </c>
      <c r="P96" s="221"/>
      <c r="Q96" s="221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45"/>
      <c r="AI96" s="145"/>
      <c r="AJ96" s="145"/>
    </row>
    <row r="97" ht="39.75" customHeight="1">
      <c r="A97" s="56"/>
      <c r="B97" s="56" t="s">
        <v>17</v>
      </c>
      <c r="C97" s="56" t="s">
        <v>1738</v>
      </c>
      <c r="D97" s="56" t="s">
        <v>42</v>
      </c>
      <c r="E97" s="56" t="s">
        <v>1739</v>
      </c>
      <c r="F97" s="56" t="s">
        <v>34</v>
      </c>
      <c r="G97" s="201" t="s">
        <v>21</v>
      </c>
      <c r="H97" s="56" t="s">
        <v>1628</v>
      </c>
      <c r="I97" s="201" t="s">
        <v>76</v>
      </c>
      <c r="J97" s="439">
        <v>45985.0</v>
      </c>
      <c r="K97" s="439">
        <v>46010.0</v>
      </c>
      <c r="L97" s="56">
        <v>40.0</v>
      </c>
      <c r="M97" s="56">
        <v>0.0</v>
      </c>
      <c r="N97" s="56">
        <v>40.0</v>
      </c>
      <c r="O97" s="201">
        <v>0.0</v>
      </c>
      <c r="P97" s="205" t="s">
        <v>1640</v>
      </c>
      <c r="Q97" s="201" t="s">
        <v>70</v>
      </c>
      <c r="R97" s="513"/>
      <c r="S97" s="513"/>
      <c r="T97" s="513"/>
      <c r="U97" s="513"/>
      <c r="V97" s="513"/>
      <c r="W97" s="513"/>
      <c r="X97" s="513"/>
      <c r="Y97" s="513"/>
      <c r="Z97" s="513"/>
      <c r="AA97" s="513"/>
      <c r="AB97" s="513"/>
      <c r="AC97" s="513"/>
      <c r="AD97" s="513"/>
      <c r="AE97" s="513"/>
      <c r="AF97" s="513"/>
      <c r="AG97" s="513"/>
    </row>
    <row r="98" ht="33.0" customHeight="1">
      <c r="A98" s="528"/>
      <c r="B98" s="533" t="s">
        <v>17</v>
      </c>
      <c r="C98" s="533" t="s">
        <v>1740</v>
      </c>
      <c r="D98" s="533" t="s">
        <v>43</v>
      </c>
      <c r="E98" s="533" t="s">
        <v>1692</v>
      </c>
      <c r="F98" s="533" t="s">
        <v>35</v>
      </c>
      <c r="G98" s="205" t="s">
        <v>21</v>
      </c>
      <c r="H98" s="529">
        <v>45934.0</v>
      </c>
      <c r="I98" s="205" t="s">
        <v>92</v>
      </c>
      <c r="J98" s="543">
        <v>45960.0</v>
      </c>
      <c r="K98" s="544">
        <v>45964.0</v>
      </c>
      <c r="L98" s="533">
        <v>10.0</v>
      </c>
      <c r="M98" s="533">
        <v>0.0</v>
      </c>
      <c r="N98" s="533">
        <v>10.0</v>
      </c>
      <c r="O98" s="205">
        <v>0.0</v>
      </c>
      <c r="P98" s="535"/>
      <c r="Q98" s="205" t="s">
        <v>70</v>
      </c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45"/>
      <c r="AI98" s="145"/>
      <c r="AJ98" s="145"/>
    </row>
    <row r="99" ht="39.75" customHeight="1">
      <c r="A99" s="56" t="str">
        <f>#REF!+1</f>
        <v>#REF!</v>
      </c>
      <c r="B99" s="56" t="s">
        <v>17</v>
      </c>
      <c r="C99" s="56" t="s">
        <v>641</v>
      </c>
      <c r="D99" s="56" t="s">
        <v>44</v>
      </c>
      <c r="E99" s="56" t="s">
        <v>1741</v>
      </c>
      <c r="F99" s="56" t="s">
        <v>34</v>
      </c>
      <c r="G99" s="201" t="s">
        <v>23</v>
      </c>
      <c r="H99" s="56" t="s">
        <v>1681</v>
      </c>
      <c r="I99" s="201" t="s">
        <v>76</v>
      </c>
      <c r="J99" s="439">
        <v>45940.0</v>
      </c>
      <c r="K99" s="439">
        <v>46015.0</v>
      </c>
      <c r="L99" s="56">
        <v>85.0</v>
      </c>
      <c r="M99" s="56">
        <v>0.0</v>
      </c>
      <c r="N99" s="56">
        <v>85.0</v>
      </c>
      <c r="O99" s="463">
        <f>L99-N99-M99</f>
        <v>0</v>
      </c>
      <c r="P99" s="205" t="s">
        <v>1614</v>
      </c>
      <c r="Q99" s="201" t="s">
        <v>70</v>
      </c>
      <c r="R99" s="513"/>
      <c r="S99" s="513"/>
      <c r="T99" s="513"/>
      <c r="U99" s="513"/>
      <c r="V99" s="513"/>
      <c r="W99" s="513"/>
      <c r="X99" s="513"/>
      <c r="Y99" s="513"/>
      <c r="Z99" s="513"/>
      <c r="AA99" s="513"/>
      <c r="AB99" s="513"/>
      <c r="AC99" s="513"/>
      <c r="AD99" s="513"/>
      <c r="AE99" s="513"/>
      <c r="AF99" s="513"/>
      <c r="AG99" s="513"/>
    </row>
    <row r="100" ht="28.5" customHeight="1">
      <c r="A100" s="528" t="str">
        <f>A82+1</f>
        <v>#REF!</v>
      </c>
      <c r="B100" s="528" t="s">
        <v>17</v>
      </c>
      <c r="C100" s="528" t="s">
        <v>1742</v>
      </c>
      <c r="D100" s="522" t="s">
        <v>44</v>
      </c>
      <c r="E100" s="537" t="s">
        <v>1743</v>
      </c>
      <c r="F100" s="528" t="s">
        <v>35</v>
      </c>
      <c r="G100" s="221" t="s">
        <v>21</v>
      </c>
      <c r="H100" s="529">
        <v>45934.0</v>
      </c>
      <c r="I100" s="221" t="s">
        <v>92</v>
      </c>
      <c r="J100" s="543">
        <v>45960.0</v>
      </c>
      <c r="K100" s="544">
        <v>45964.0</v>
      </c>
      <c r="L100" s="528">
        <v>10.0</v>
      </c>
      <c r="M100" s="528"/>
      <c r="N100" s="528">
        <v>10.0</v>
      </c>
      <c r="O100" s="221">
        <v>0.0</v>
      </c>
      <c r="P100" s="528"/>
      <c r="Q100" s="221" t="s">
        <v>70</v>
      </c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45"/>
      <c r="AI100" s="145"/>
      <c r="AJ100" s="145"/>
    </row>
    <row r="101" ht="34.5" customHeight="1">
      <c r="A101" s="56">
        <f>A181+1</f>
        <v>1</v>
      </c>
      <c r="B101" s="56" t="s">
        <v>17</v>
      </c>
      <c r="C101" s="56" t="s">
        <v>1744</v>
      </c>
      <c r="D101" s="416" t="s">
        <v>44</v>
      </c>
      <c r="E101" s="427" t="s">
        <v>1745</v>
      </c>
      <c r="F101" s="56" t="s">
        <v>34</v>
      </c>
      <c r="G101" s="201" t="s">
        <v>23</v>
      </c>
      <c r="H101" s="56" t="s">
        <v>1625</v>
      </c>
      <c r="I101" s="201" t="s">
        <v>76</v>
      </c>
      <c r="J101" s="439">
        <v>45960.0</v>
      </c>
      <c r="K101" s="439">
        <v>45735.0</v>
      </c>
      <c r="L101" s="56">
        <v>140.0</v>
      </c>
      <c r="M101" s="56">
        <v>12.0</v>
      </c>
      <c r="N101" s="56">
        <v>128.0</v>
      </c>
      <c r="O101" s="201">
        <f>L101-M101-N101</f>
        <v>0</v>
      </c>
      <c r="P101" s="56" t="s">
        <v>1623</v>
      </c>
      <c r="Q101" s="201" t="s">
        <v>70</v>
      </c>
      <c r="R101" s="513"/>
      <c r="S101" s="513"/>
      <c r="T101" s="513"/>
      <c r="U101" s="513"/>
      <c r="V101" s="513"/>
      <c r="W101" s="513"/>
      <c r="X101" s="513"/>
      <c r="Y101" s="513"/>
      <c r="Z101" s="513"/>
      <c r="AA101" s="513"/>
      <c r="AB101" s="513"/>
      <c r="AC101" s="513"/>
      <c r="AD101" s="513"/>
      <c r="AE101" s="513"/>
      <c r="AF101" s="513"/>
      <c r="AG101" s="513"/>
    </row>
    <row r="102">
      <c r="A102" s="528"/>
      <c r="B102" s="528" t="s">
        <v>17</v>
      </c>
      <c r="C102" s="528" t="s">
        <v>1746</v>
      </c>
      <c r="D102" s="522" t="s">
        <v>45</v>
      </c>
      <c r="E102" s="179" t="s">
        <v>1747</v>
      </c>
      <c r="F102" s="528" t="s">
        <v>1655</v>
      </c>
      <c r="G102" s="221" t="s">
        <v>23</v>
      </c>
      <c r="H102" s="529">
        <v>45934.0</v>
      </c>
      <c r="I102" s="205" t="s">
        <v>76</v>
      </c>
      <c r="J102" s="505">
        <v>45940.0</v>
      </c>
      <c r="K102" s="505">
        <v>45964.0</v>
      </c>
      <c r="L102" s="528">
        <v>10.0</v>
      </c>
      <c r="M102" s="528">
        <v>0.0</v>
      </c>
      <c r="N102" s="528">
        <v>10.0</v>
      </c>
      <c r="O102" s="221">
        <v>0.0</v>
      </c>
      <c r="P102" s="537" t="s">
        <v>1710</v>
      </c>
      <c r="Q102" s="221" t="s">
        <v>70</v>
      </c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45"/>
      <c r="AI102" s="145"/>
      <c r="AJ102" s="145"/>
    </row>
    <row r="103" ht="33.0" customHeight="1">
      <c r="A103" s="56" t="str">
        <f>A89+1</f>
        <v>#REF!</v>
      </c>
      <c r="B103" s="384" t="s">
        <v>17</v>
      </c>
      <c r="C103" s="201" t="s">
        <v>1748</v>
      </c>
      <c r="D103" s="201" t="s">
        <v>46</v>
      </c>
      <c r="E103" s="201" t="s">
        <v>1749</v>
      </c>
      <c r="F103" s="201" t="s">
        <v>34</v>
      </c>
      <c r="G103" s="201" t="s">
        <v>22</v>
      </c>
      <c r="H103" s="201" t="s">
        <v>1634</v>
      </c>
      <c r="I103" s="201" t="s">
        <v>76</v>
      </c>
      <c r="J103" s="459">
        <v>45940.0</v>
      </c>
      <c r="K103" s="459">
        <v>45755.0</v>
      </c>
      <c r="L103" s="201">
        <v>150.0</v>
      </c>
      <c r="M103" s="201">
        <v>0.0</v>
      </c>
      <c r="N103" s="201">
        <v>150.0</v>
      </c>
      <c r="O103" s="201">
        <f>L103-M103-N103</f>
        <v>0</v>
      </c>
      <c r="P103" s="201" t="s">
        <v>1614</v>
      </c>
      <c r="Q103" s="201" t="s">
        <v>70</v>
      </c>
      <c r="R103" s="201">
        <v>20.0</v>
      </c>
      <c r="S103" s="384" t="s">
        <v>17</v>
      </c>
      <c r="T103" s="201" t="s">
        <v>1748</v>
      </c>
      <c r="U103" s="201" t="s">
        <v>1749</v>
      </c>
      <c r="V103" s="201" t="s">
        <v>34</v>
      </c>
      <c r="W103" s="201" t="s">
        <v>22</v>
      </c>
      <c r="X103" s="201">
        <v>0.0</v>
      </c>
      <c r="Y103" s="201" t="s">
        <v>76</v>
      </c>
      <c r="Z103" s="459">
        <v>45940.0</v>
      </c>
      <c r="AA103" s="459">
        <v>45755.0</v>
      </c>
      <c r="AB103" s="201">
        <v>150.0</v>
      </c>
      <c r="AC103" s="201">
        <v>0.0</v>
      </c>
      <c r="AD103" s="201">
        <v>45.0</v>
      </c>
      <c r="AE103" s="201">
        <f>AB103-AC103-AD103</f>
        <v>105</v>
      </c>
      <c r="AF103" s="201" t="s">
        <v>1614</v>
      </c>
      <c r="AG103" s="201" t="s">
        <v>78</v>
      </c>
      <c r="AH103" s="148"/>
      <c r="AI103" s="148"/>
      <c r="AJ103" s="148"/>
    </row>
    <row r="104">
      <c r="A104" s="528" t="str">
        <f>A65+1</f>
        <v>#REF!</v>
      </c>
      <c r="B104" s="528" t="s">
        <v>17</v>
      </c>
      <c r="C104" s="528" t="s">
        <v>1750</v>
      </c>
      <c r="D104" s="533" t="s">
        <v>46</v>
      </c>
      <c r="E104" s="533" t="s">
        <v>1751</v>
      </c>
      <c r="F104" s="528" t="s">
        <v>35</v>
      </c>
      <c r="G104" s="221" t="s">
        <v>21</v>
      </c>
      <c r="H104" s="533" t="s">
        <v>1630</v>
      </c>
      <c r="I104" s="221" t="s">
        <v>92</v>
      </c>
      <c r="J104" s="543">
        <v>45960.0</v>
      </c>
      <c r="K104" s="544">
        <v>45970.0</v>
      </c>
      <c r="L104" s="528">
        <v>22.0</v>
      </c>
      <c r="M104" s="528">
        <v>10.0</v>
      </c>
      <c r="N104" s="528">
        <v>12.0</v>
      </c>
      <c r="O104" s="221">
        <f t="shared" ref="O104:O108" si="13">L104-N104-M104</f>
        <v>0</v>
      </c>
      <c r="P104" s="221" t="s">
        <v>1614</v>
      </c>
      <c r="Q104" s="221" t="s">
        <v>70</v>
      </c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45"/>
      <c r="AI104" s="145"/>
      <c r="AJ104" s="145"/>
    </row>
    <row r="105">
      <c r="A105" s="528">
        <f>A111+1</f>
        <v>1</v>
      </c>
      <c r="B105" s="528" t="s">
        <v>17</v>
      </c>
      <c r="C105" s="528" t="s">
        <v>1752</v>
      </c>
      <c r="D105" s="528" t="s">
        <v>46</v>
      </c>
      <c r="E105" s="528" t="s">
        <v>1753</v>
      </c>
      <c r="F105" s="528" t="s">
        <v>35</v>
      </c>
      <c r="G105" s="221" t="s">
        <v>21</v>
      </c>
      <c r="H105" s="540">
        <v>45934.0</v>
      </c>
      <c r="I105" s="221" t="s">
        <v>76</v>
      </c>
      <c r="J105" s="530">
        <v>45960.0</v>
      </c>
      <c r="K105" s="531">
        <v>45964.0</v>
      </c>
      <c r="L105" s="528">
        <v>10.0</v>
      </c>
      <c r="M105" s="528">
        <v>0.0</v>
      </c>
      <c r="N105" s="528">
        <v>10.0</v>
      </c>
      <c r="O105" s="221">
        <f t="shared" si="13"/>
        <v>0</v>
      </c>
      <c r="P105" s="221" t="s">
        <v>1614</v>
      </c>
      <c r="Q105" s="221" t="s">
        <v>70</v>
      </c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45"/>
      <c r="AI105" s="145"/>
      <c r="AJ105" s="145"/>
    </row>
    <row r="106">
      <c r="A106" s="56" t="str">
        <f>A53+1</f>
        <v>#VALUE!</v>
      </c>
      <c r="B106" s="56" t="s">
        <v>17</v>
      </c>
      <c r="C106" s="56" t="s">
        <v>1754</v>
      </c>
      <c r="D106" s="56" t="s">
        <v>46</v>
      </c>
      <c r="E106" s="56" t="s">
        <v>1755</v>
      </c>
      <c r="F106" s="56" t="s">
        <v>1655</v>
      </c>
      <c r="G106" s="201" t="s">
        <v>23</v>
      </c>
      <c r="H106" s="56">
        <v>7.0</v>
      </c>
      <c r="I106" s="201" t="s">
        <v>92</v>
      </c>
      <c r="J106" s="439"/>
      <c r="K106" s="521"/>
      <c r="L106" s="56">
        <v>7.0</v>
      </c>
      <c r="M106" s="56">
        <v>7.0</v>
      </c>
      <c r="N106" s="56">
        <v>0.0</v>
      </c>
      <c r="O106" s="201">
        <f t="shared" si="13"/>
        <v>0</v>
      </c>
      <c r="P106" s="201" t="s">
        <v>1614</v>
      </c>
      <c r="Q106" s="201" t="s">
        <v>70</v>
      </c>
      <c r="R106" s="513"/>
      <c r="S106" s="513"/>
      <c r="T106" s="513"/>
      <c r="U106" s="513"/>
      <c r="V106" s="513"/>
      <c r="W106" s="513"/>
      <c r="X106" s="513"/>
      <c r="Y106" s="513"/>
      <c r="Z106" s="513"/>
      <c r="AA106" s="513"/>
      <c r="AB106" s="513"/>
      <c r="AC106" s="513"/>
      <c r="AD106" s="513"/>
      <c r="AE106" s="513"/>
      <c r="AF106" s="513"/>
      <c r="AG106" s="513"/>
    </row>
    <row r="107">
      <c r="A107" s="56" t="str">
        <f t="shared" ref="A107:A108" si="14">#REF!+1</f>
        <v>#REF!</v>
      </c>
      <c r="B107" s="56" t="s">
        <v>17</v>
      </c>
      <c r="C107" s="56" t="s">
        <v>1754</v>
      </c>
      <c r="D107" s="56" t="s">
        <v>46</v>
      </c>
      <c r="E107" s="56" t="s">
        <v>1756</v>
      </c>
      <c r="F107" s="56" t="s">
        <v>35</v>
      </c>
      <c r="G107" s="201" t="s">
        <v>23</v>
      </c>
      <c r="H107" s="56" t="s">
        <v>1609</v>
      </c>
      <c r="I107" s="201" t="s">
        <v>76</v>
      </c>
      <c r="J107" s="439">
        <v>45974.0</v>
      </c>
      <c r="K107" s="439">
        <v>45993.0</v>
      </c>
      <c r="L107" s="56">
        <v>39.0</v>
      </c>
      <c r="M107" s="56">
        <v>25.0</v>
      </c>
      <c r="N107" s="56">
        <v>14.0</v>
      </c>
      <c r="O107" s="201">
        <f t="shared" si="13"/>
        <v>0</v>
      </c>
      <c r="P107" s="201" t="s">
        <v>1702</v>
      </c>
      <c r="Q107" s="201" t="s">
        <v>70</v>
      </c>
      <c r="R107" s="513"/>
      <c r="S107" s="513"/>
      <c r="T107" s="513"/>
      <c r="U107" s="513"/>
      <c r="V107" s="513"/>
      <c r="W107" s="513"/>
      <c r="X107" s="513"/>
      <c r="Y107" s="513"/>
      <c r="Z107" s="513"/>
      <c r="AA107" s="513"/>
      <c r="AB107" s="513"/>
      <c r="AC107" s="513"/>
      <c r="AD107" s="513"/>
      <c r="AE107" s="513"/>
      <c r="AF107" s="513"/>
      <c r="AG107" s="513"/>
    </row>
    <row r="108">
      <c r="A108" s="56" t="str">
        <f t="shared" si="14"/>
        <v>#REF!</v>
      </c>
      <c r="B108" s="56" t="s">
        <v>17</v>
      </c>
      <c r="C108" s="56" t="s">
        <v>1754</v>
      </c>
      <c r="D108" s="56" t="s">
        <v>46</v>
      </c>
      <c r="E108" s="56" t="s">
        <v>1756</v>
      </c>
      <c r="F108" s="56" t="s">
        <v>35</v>
      </c>
      <c r="G108" s="201" t="s">
        <v>23</v>
      </c>
      <c r="H108" s="56" t="s">
        <v>1609</v>
      </c>
      <c r="I108" s="201" t="s">
        <v>76</v>
      </c>
      <c r="J108" s="439">
        <v>45974.0</v>
      </c>
      <c r="K108" s="439">
        <v>45993.0</v>
      </c>
      <c r="L108" s="56">
        <v>39.0</v>
      </c>
      <c r="M108" s="56">
        <v>0.0</v>
      </c>
      <c r="N108" s="56">
        <v>39.0</v>
      </c>
      <c r="O108" s="201">
        <f t="shared" si="13"/>
        <v>0</v>
      </c>
      <c r="P108" s="201" t="s">
        <v>1702</v>
      </c>
      <c r="Q108" s="201" t="s">
        <v>70</v>
      </c>
      <c r="R108" s="513"/>
      <c r="S108" s="513"/>
      <c r="T108" s="513"/>
      <c r="U108" s="513"/>
      <c r="V108" s="513"/>
      <c r="W108" s="513"/>
      <c r="X108" s="513"/>
      <c r="Y108" s="513"/>
      <c r="Z108" s="513"/>
      <c r="AA108" s="513"/>
      <c r="AB108" s="513"/>
      <c r="AC108" s="513"/>
      <c r="AD108" s="513"/>
      <c r="AE108" s="513"/>
      <c r="AF108" s="513"/>
      <c r="AG108" s="513"/>
    </row>
    <row r="109">
      <c r="A109" s="535"/>
      <c r="B109" s="528" t="s">
        <v>17</v>
      </c>
      <c r="C109" s="528" t="s">
        <v>1581</v>
      </c>
      <c r="D109" s="537" t="s">
        <v>47</v>
      </c>
      <c r="E109" s="179" t="s">
        <v>1757</v>
      </c>
      <c r="F109" s="528" t="s">
        <v>35</v>
      </c>
      <c r="G109" s="221" t="s">
        <v>21</v>
      </c>
      <c r="H109" s="540">
        <v>45934.0</v>
      </c>
      <c r="I109" s="221" t="s">
        <v>76</v>
      </c>
      <c r="J109" s="505">
        <v>45960.0</v>
      </c>
      <c r="K109" s="505">
        <v>45964.0</v>
      </c>
      <c r="L109" s="528">
        <v>10.0</v>
      </c>
      <c r="M109" s="528">
        <v>0.0</v>
      </c>
      <c r="N109" s="528">
        <v>10.0</v>
      </c>
      <c r="O109" s="221">
        <v>0.0</v>
      </c>
      <c r="P109" s="221" t="s">
        <v>1717</v>
      </c>
      <c r="Q109" s="221" t="s">
        <v>70</v>
      </c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45"/>
      <c r="AI109" s="145"/>
      <c r="AJ109" s="145"/>
    </row>
    <row r="110">
      <c r="A110" s="535"/>
      <c r="B110" s="528" t="s">
        <v>17</v>
      </c>
      <c r="C110" s="528" t="s">
        <v>525</v>
      </c>
      <c r="D110" s="537" t="s">
        <v>47</v>
      </c>
      <c r="E110" s="179" t="s">
        <v>1757</v>
      </c>
      <c r="F110" s="528" t="s">
        <v>35</v>
      </c>
      <c r="G110" s="221" t="s">
        <v>21</v>
      </c>
      <c r="H110" s="540">
        <v>45934.0</v>
      </c>
      <c r="I110" s="221" t="s">
        <v>76</v>
      </c>
      <c r="J110" s="505">
        <v>45960.0</v>
      </c>
      <c r="K110" s="505">
        <v>45964.0</v>
      </c>
      <c r="L110" s="528">
        <v>10.0</v>
      </c>
      <c r="M110" s="528">
        <v>0.0</v>
      </c>
      <c r="N110" s="528">
        <v>10.0</v>
      </c>
      <c r="O110" s="221">
        <v>0.0</v>
      </c>
      <c r="P110" s="221" t="s">
        <v>1717</v>
      </c>
      <c r="Q110" s="221" t="s">
        <v>70</v>
      </c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45"/>
      <c r="AI110" s="145"/>
      <c r="AJ110" s="145"/>
    </row>
    <row r="111">
      <c r="A111" s="535"/>
      <c r="B111" s="528" t="s">
        <v>17</v>
      </c>
      <c r="C111" s="528" t="s">
        <v>1454</v>
      </c>
      <c r="D111" s="537" t="s">
        <v>47</v>
      </c>
      <c r="E111" s="179" t="s">
        <v>1757</v>
      </c>
      <c r="F111" s="528" t="s">
        <v>35</v>
      </c>
      <c r="G111" s="221" t="s">
        <v>21</v>
      </c>
      <c r="H111" s="540">
        <v>45934.0</v>
      </c>
      <c r="I111" s="221" t="s">
        <v>76</v>
      </c>
      <c r="J111" s="505">
        <v>45960.0</v>
      </c>
      <c r="K111" s="505">
        <v>45964.0</v>
      </c>
      <c r="L111" s="528">
        <v>10.0</v>
      </c>
      <c r="M111" s="528">
        <v>0.0</v>
      </c>
      <c r="N111" s="528">
        <v>10.0</v>
      </c>
      <c r="O111" s="221">
        <v>0.0</v>
      </c>
      <c r="P111" s="221" t="s">
        <v>1717</v>
      </c>
      <c r="Q111" s="221" t="s">
        <v>70</v>
      </c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45"/>
      <c r="AI111" s="145"/>
      <c r="AJ111" s="145"/>
    </row>
    <row r="112" ht="35.25" customHeight="1">
      <c r="A112" s="56"/>
      <c r="B112" s="56" t="s">
        <v>18</v>
      </c>
      <c r="C112" s="56" t="s">
        <v>1758</v>
      </c>
      <c r="D112" s="416" t="s">
        <v>41</v>
      </c>
      <c r="E112" s="524" t="s">
        <v>1654</v>
      </c>
      <c r="F112" s="56" t="s">
        <v>1655</v>
      </c>
      <c r="G112" s="201" t="s">
        <v>29</v>
      </c>
      <c r="H112" s="56">
        <v>8.0</v>
      </c>
      <c r="I112" s="201" t="s">
        <v>92</v>
      </c>
      <c r="J112" s="415"/>
      <c r="K112" s="415"/>
      <c r="L112" s="56">
        <v>8.0</v>
      </c>
      <c r="M112" s="56">
        <v>0.0</v>
      </c>
      <c r="N112" s="56">
        <v>8.0</v>
      </c>
      <c r="O112" s="201">
        <v>0.0</v>
      </c>
      <c r="P112" s="201" t="s">
        <v>1640</v>
      </c>
      <c r="Q112" s="201" t="s">
        <v>70</v>
      </c>
      <c r="R112" s="513"/>
      <c r="S112" s="513"/>
      <c r="T112" s="513"/>
      <c r="U112" s="513"/>
      <c r="V112" s="513"/>
      <c r="W112" s="513"/>
      <c r="X112" s="513"/>
      <c r="Y112" s="513"/>
      <c r="Z112" s="513"/>
      <c r="AA112" s="513"/>
      <c r="AB112" s="513"/>
      <c r="AC112" s="513"/>
      <c r="AD112" s="513"/>
      <c r="AE112" s="513"/>
      <c r="AF112" s="513"/>
      <c r="AG112" s="513"/>
    </row>
    <row r="113" ht="35.25" customHeight="1">
      <c r="A113" s="56"/>
      <c r="B113" s="56" t="s">
        <v>18</v>
      </c>
      <c r="C113" s="56" t="s">
        <v>1759</v>
      </c>
      <c r="D113" s="416" t="s">
        <v>41</v>
      </c>
      <c r="E113" s="524" t="s">
        <v>27</v>
      </c>
      <c r="F113" s="56" t="s">
        <v>1655</v>
      </c>
      <c r="G113" s="201" t="s">
        <v>29</v>
      </c>
      <c r="H113" s="56">
        <v>8.0</v>
      </c>
      <c r="I113" s="201" t="s">
        <v>92</v>
      </c>
      <c r="J113" s="415"/>
      <c r="K113" s="415"/>
      <c r="L113" s="56">
        <v>8.0</v>
      </c>
      <c r="M113" s="56">
        <v>0.0</v>
      </c>
      <c r="N113" s="56">
        <v>8.0</v>
      </c>
      <c r="O113" s="201">
        <v>0.0</v>
      </c>
      <c r="P113" s="201" t="s">
        <v>1640</v>
      </c>
      <c r="Q113" s="201" t="s">
        <v>70</v>
      </c>
      <c r="R113" s="513"/>
      <c r="S113" s="513"/>
      <c r="T113" s="513"/>
      <c r="U113" s="513"/>
      <c r="V113" s="513"/>
      <c r="W113" s="513"/>
      <c r="X113" s="513"/>
      <c r="Y113" s="513"/>
      <c r="Z113" s="513"/>
      <c r="AA113" s="513"/>
      <c r="AB113" s="513"/>
      <c r="AC113" s="513"/>
      <c r="AD113" s="513"/>
      <c r="AE113" s="513"/>
      <c r="AF113" s="513"/>
      <c r="AG113" s="513"/>
    </row>
    <row r="114" ht="35.25" customHeight="1">
      <c r="A114" s="56"/>
      <c r="B114" s="56" t="s">
        <v>18</v>
      </c>
      <c r="C114" s="56" t="s">
        <v>1760</v>
      </c>
      <c r="D114" s="416" t="s">
        <v>41</v>
      </c>
      <c r="E114" s="524" t="s">
        <v>1654</v>
      </c>
      <c r="F114" s="56" t="s">
        <v>1655</v>
      </c>
      <c r="G114" s="201" t="s">
        <v>29</v>
      </c>
      <c r="H114" s="56">
        <v>8.0</v>
      </c>
      <c r="I114" s="201" t="s">
        <v>92</v>
      </c>
      <c r="J114" s="415"/>
      <c r="K114" s="415"/>
      <c r="L114" s="56">
        <v>8.0</v>
      </c>
      <c r="M114" s="56">
        <v>0.0</v>
      </c>
      <c r="N114" s="56">
        <v>8.0</v>
      </c>
      <c r="O114" s="201">
        <v>0.0</v>
      </c>
      <c r="P114" s="201" t="s">
        <v>1640</v>
      </c>
      <c r="Q114" s="201" t="s">
        <v>70</v>
      </c>
      <c r="R114" s="513"/>
      <c r="S114" s="513"/>
      <c r="T114" s="513"/>
      <c r="U114" s="513"/>
      <c r="V114" s="513"/>
      <c r="W114" s="513"/>
      <c r="X114" s="513"/>
      <c r="Y114" s="513"/>
      <c r="Z114" s="513"/>
      <c r="AA114" s="513"/>
      <c r="AB114" s="513"/>
      <c r="AC114" s="513"/>
      <c r="AD114" s="513"/>
      <c r="AE114" s="513"/>
      <c r="AF114" s="513"/>
      <c r="AG114" s="513"/>
    </row>
    <row r="115" ht="35.25" customHeight="1">
      <c r="A115" s="56"/>
      <c r="B115" s="56" t="s">
        <v>18</v>
      </c>
      <c r="C115" s="56" t="s">
        <v>1761</v>
      </c>
      <c r="D115" s="416" t="s">
        <v>41</v>
      </c>
      <c r="E115" s="524" t="s">
        <v>1654</v>
      </c>
      <c r="F115" s="56" t="s">
        <v>1655</v>
      </c>
      <c r="G115" s="201" t="s">
        <v>29</v>
      </c>
      <c r="H115" s="56">
        <v>8.0</v>
      </c>
      <c r="I115" s="201" t="s">
        <v>92</v>
      </c>
      <c r="J115" s="415"/>
      <c r="K115" s="415"/>
      <c r="L115" s="56">
        <v>8.0</v>
      </c>
      <c r="M115" s="56">
        <v>0.0</v>
      </c>
      <c r="N115" s="56">
        <v>8.0</v>
      </c>
      <c r="O115" s="201">
        <v>0.0</v>
      </c>
      <c r="P115" s="201" t="s">
        <v>1640</v>
      </c>
      <c r="Q115" s="201" t="s">
        <v>70</v>
      </c>
      <c r="R115" s="513"/>
      <c r="S115" s="513"/>
      <c r="T115" s="513"/>
      <c r="U115" s="513"/>
      <c r="V115" s="513"/>
      <c r="W115" s="513"/>
      <c r="X115" s="513"/>
      <c r="Y115" s="513"/>
      <c r="Z115" s="513"/>
      <c r="AA115" s="513"/>
      <c r="AB115" s="513"/>
      <c r="AC115" s="513"/>
      <c r="AD115" s="513"/>
      <c r="AE115" s="513"/>
      <c r="AF115" s="513"/>
      <c r="AG115" s="513"/>
    </row>
    <row r="116">
      <c r="A116" s="528"/>
      <c r="B116" s="528" t="s">
        <v>18</v>
      </c>
      <c r="C116" s="528" t="s">
        <v>1518</v>
      </c>
      <c r="D116" s="528" t="s">
        <v>47</v>
      </c>
      <c r="E116" s="528" t="s">
        <v>1762</v>
      </c>
      <c r="F116" s="528" t="s">
        <v>35</v>
      </c>
      <c r="G116" s="221" t="s">
        <v>21</v>
      </c>
      <c r="H116" s="528" t="s">
        <v>1609</v>
      </c>
      <c r="I116" s="221" t="s">
        <v>76</v>
      </c>
      <c r="J116" s="505">
        <v>45974.0</v>
      </c>
      <c r="K116" s="531">
        <v>45993.0</v>
      </c>
      <c r="L116" s="528">
        <v>39.0</v>
      </c>
      <c r="M116" s="528">
        <v>0.0</v>
      </c>
      <c r="N116" s="528">
        <v>0.0</v>
      </c>
      <c r="O116" s="528">
        <f>L116-M116-N116</f>
        <v>39</v>
      </c>
      <c r="P116" s="528" t="s">
        <v>1652</v>
      </c>
      <c r="Q116" s="221" t="s">
        <v>100</v>
      </c>
    </row>
    <row r="117" ht="35.25" customHeight="1">
      <c r="A117" s="528">
        <f t="shared" ref="A117:A118" si="15">A116+1</f>
        <v>1</v>
      </c>
      <c r="B117" s="528" t="s">
        <v>18</v>
      </c>
      <c r="C117" s="528" t="s">
        <v>1588</v>
      </c>
      <c r="D117" s="528" t="s">
        <v>47</v>
      </c>
      <c r="E117" s="528" t="s">
        <v>1672</v>
      </c>
      <c r="F117" s="528" t="s">
        <v>34</v>
      </c>
      <c r="G117" s="221" t="s">
        <v>23</v>
      </c>
      <c r="H117" s="528" t="s">
        <v>1613</v>
      </c>
      <c r="I117" s="221" t="s">
        <v>76</v>
      </c>
      <c r="J117" s="505">
        <v>45974.0</v>
      </c>
      <c r="K117" s="505">
        <v>45659.0</v>
      </c>
      <c r="L117" s="528">
        <v>65.0</v>
      </c>
      <c r="M117" s="528">
        <v>0.0</v>
      </c>
      <c r="N117" s="528">
        <v>65.0</v>
      </c>
      <c r="O117" s="528">
        <v>0.0</v>
      </c>
      <c r="P117" s="221" t="s">
        <v>1652</v>
      </c>
      <c r="Q117" s="221" t="s">
        <v>70</v>
      </c>
    </row>
    <row r="118" ht="20.25" customHeight="1">
      <c r="A118" s="528">
        <f t="shared" si="15"/>
        <v>2</v>
      </c>
      <c r="B118" s="528" t="s">
        <v>18</v>
      </c>
      <c r="C118" s="528" t="s">
        <v>1533</v>
      </c>
      <c r="D118" s="528" t="s">
        <v>47</v>
      </c>
      <c r="E118" s="528" t="s">
        <v>1672</v>
      </c>
      <c r="F118" s="528" t="s">
        <v>34</v>
      </c>
      <c r="G118" s="221" t="s">
        <v>23</v>
      </c>
      <c r="H118" s="528" t="s">
        <v>1613</v>
      </c>
      <c r="I118" s="221" t="s">
        <v>76</v>
      </c>
      <c r="J118" s="505">
        <v>45974.0</v>
      </c>
      <c r="K118" s="505">
        <v>45659.0</v>
      </c>
      <c r="L118" s="528">
        <v>65.0</v>
      </c>
      <c r="M118" s="528">
        <v>0.0</v>
      </c>
      <c r="N118" s="528">
        <v>65.0</v>
      </c>
      <c r="O118" s="528">
        <v>0.0</v>
      </c>
      <c r="P118" s="221" t="s">
        <v>1652</v>
      </c>
      <c r="Q118" s="221" t="s">
        <v>70</v>
      </c>
    </row>
  </sheetData>
  <mergeCells count="19">
    <mergeCell ref="B6:B7"/>
    <mergeCell ref="C6:C7"/>
    <mergeCell ref="D6:D7"/>
    <mergeCell ref="E6:E7"/>
    <mergeCell ref="F6:F7"/>
    <mergeCell ref="G6:G7"/>
    <mergeCell ref="H6:H7"/>
    <mergeCell ref="I6:K6"/>
    <mergeCell ref="L6:O6"/>
    <mergeCell ref="P6:P7"/>
    <mergeCell ref="Q6:Q7"/>
    <mergeCell ref="A53:Q53"/>
    <mergeCell ref="A1:Q1"/>
    <mergeCell ref="A2:Q2"/>
    <mergeCell ref="A3:E3"/>
    <mergeCell ref="F3:Q3"/>
    <mergeCell ref="A4:Q4"/>
    <mergeCell ref="A5:Q5"/>
    <mergeCell ref="A6:A7"/>
  </mergeCells>
  <dataValidations>
    <dataValidation type="list" allowBlank="1" showErrorMessage="1" sqref="B8:B52 S82:S83 S103 B54:B118">
      <formula1>"1CL,2CL,3CL,4CL"</formula1>
    </dataValidation>
    <dataValidation type="list" allowBlank="1" showErrorMessage="1" sqref="Q8:Q52 T54 T67 AG82:AJ83 T89 AG103:AJ103 Q54:Q118">
      <formula1>"SERVED,ONGOING,CONFINED,ONGOING/CONFINED"</formula1>
    </dataValidation>
    <dataValidation type="list" allowBlank="1" sqref="G8:G52 W82:W83 W103 G54:G118">
      <formula1>SUMMARY!$E$10:$E$19</formula1>
    </dataValidation>
    <dataValidation type="list" allowBlank="1" showErrorMessage="1" sqref="F8:F11 F13:F52 F54 V82:V83 F58:F91 F93 V103 F95:F118">
      <formula1>"I,II,III,IV"</formula1>
    </dataValidation>
    <dataValidation type="custom" allowBlank="1" showDropDown="1" sqref="F3 J12:K12 J55:K57 J59:K59 J62:K62 J67:K68 J83:K83 Z82:AA83 J92:K92 J94:K94 J103:K103 Z103:AA103">
      <formula1>OR(NOT(ISERROR(DATEVALUE(F3))), AND(ISNUMBER(F3), LEFT(CELL("format", F3))="D"))</formula1>
    </dataValidation>
    <dataValidation type="list" allowBlank="1" showErrorMessage="1" sqref="F12 F55:F57 F92 F94">
      <formula1>"I,II,III,IV"</formula1>
    </dataValidation>
    <dataValidation type="list" allowBlank="1" showDropDown="1" showErrorMessage="1" sqref="I8:I52 Y82:Y83 Y103 I54:I118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